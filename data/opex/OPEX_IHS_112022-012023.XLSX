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dramane.kone\AppData\Local\Microsoft\Windows\INetCache\Content.Outlook\Y61KWNFI\"/>
    </mc:Choice>
  </mc:AlternateContent>
  <xr:revisionPtr revIDLastSave="0" documentId="13_ncr:1_{BDE0D55B-1A44-4BC2-9CA4-8AD4490FF3CB}" xr6:coauthVersionLast="47" xr6:coauthVersionMax="47" xr10:uidLastSave="{00000000-0000-0000-0000-000000000000}"/>
  <bookViews>
    <workbookView xWindow="-108" yWindow="-108" windowWidth="23256" windowHeight="12456" activeTab="1" xr2:uid="{00000000-000D-0000-FFFF-FFFF00000000}"/>
  </bookViews>
  <sheets>
    <sheet name="PRICING " sheetId="16" r:id="rId1"/>
    <sheet name="SUMMARY ORANGE Q1-2023 INVOICES" sheetId="17" r:id="rId2"/>
    <sheet name="OCI-MLL 1108 SIT Q1 -2023" sheetId="1" r:id="rId3"/>
    <sheet name="OCI-MLL BPCI 22  SIT Q1- 2023" sheetId="13" r:id="rId4"/>
    <sheet name="OCI-MLL BPCI 18  SIT Q1 - 2023" sheetId="6" r:id="rId5"/>
    <sheet name="OCI-COLOC 399 SIT Q1 - 2023" sheetId="3" r:id="rId6"/>
    <sheet name="OCI-PREST 193 ATHENA 1 Q1- 2023" sheetId="7" r:id="rId7"/>
    <sheet name="OCI-ATHENA 2-125 SIT Q1- 2023" sheetId="14" r:id="rId8"/>
    <sheet name="OCI-BTS 150 SIT Q1 - 2023" sheetId="5" r:id="rId9"/>
    <sheet name="OCI-65 SIT  BARTER Q1 - 2023" sheetId="10" r:id="rId10"/>
    <sheet name="OCI-33 SITES TIERS JANVIER  23" sheetId="12" r:id="rId11"/>
    <sheet name="AVOIR 18 SIT LOYER BARTER Q1-23" sheetId="23" r:id="rId12"/>
    <sheet name="PROV 18 Sites Coloc Nawa  22-23" sheetId="29" r:id="rId13"/>
    <sheet name="PROV 13 SITES BTS Nawa 22-23" sheetId="32" r:id="rId14"/>
    <sheet name="AVOIR TERRAFRIC décom 01 NOV 22" sheetId="30" r:id="rId15"/>
    <sheet name="PROV ORANGE -PRESTAT° ONE RADIO" sheetId="31" r:id="rId16"/>
  </sheets>
  <externalReferences>
    <externalReference r:id="rId17"/>
    <externalReference r:id="rId18"/>
    <externalReference r:id="rId19"/>
  </externalReferences>
  <definedNames>
    <definedName name="_xlnm._FilterDatabase" localSheetId="10" hidden="1">'OCI-33 SITES TIERS JANVIER  23'!$A$16:$F$49</definedName>
    <definedName name="_xlnm._FilterDatabase" localSheetId="9" hidden="1">'OCI-65 SIT  BARTER Q1 - 2023'!$A$16:$Y$81</definedName>
    <definedName name="_xlnm._FilterDatabase" localSheetId="7" hidden="1">'OCI-ATHENA 2-125 SIT Q1- 2023'!$A$16:$L$141</definedName>
    <definedName name="_xlnm._FilterDatabase" localSheetId="8" hidden="1">'OCI-BTS 150 SIT Q1 - 2023'!$A$16:$K$166</definedName>
    <definedName name="_xlnm._FilterDatabase" localSheetId="5" hidden="1">'OCI-COLOC 399 SIT Q1 - 2023'!$A$15:$M$414</definedName>
    <definedName name="_xlnm._FilterDatabase" localSheetId="2" hidden="1">'OCI-MLL 1108 SIT Q1 -2023'!$A$16:$W$1124</definedName>
    <definedName name="_xlnm._FilterDatabase" localSheetId="4" hidden="1">'OCI-MLL BPCI 18  SIT Q1 - 2023'!$A$16:$F$34</definedName>
    <definedName name="_xlnm._FilterDatabase" localSheetId="3" hidden="1">'OCI-MLL BPCI 22  SIT Q1- 2023'!$A$16:$F$36</definedName>
    <definedName name="_xlnm._FilterDatabase" localSheetId="6" hidden="1">'OCI-PREST 193 ATHENA 1 Q1- 2023'!$A$16:$K$209</definedName>
    <definedName name="_xlnm._FilterDatabase" localSheetId="13" hidden="1">'PROV 13 SITES BTS Nawa 22-23'!$B$6:$P$96</definedName>
    <definedName name="_xlnm._FilterDatabase" localSheetId="12" hidden="1">'PROV 18 Sites Coloc Nawa  22-23'!$B$6:$P$206</definedName>
    <definedName name="a">#REF!</definedName>
    <definedName name="aaaza">#REF!</definedName>
    <definedName name="aas">#REF!</definedName>
    <definedName name="aee">#REF!</definedName>
    <definedName name="avril">#REF!</definedName>
    <definedName name="az">#REF!</definedName>
    <definedName name="aze">#REF!</definedName>
    <definedName name="azezz">#REF!</definedName>
    <definedName name="azr">#REF!</definedName>
    <definedName name="BD">#REF!</definedName>
    <definedName name="BV">#REF!</definedName>
    <definedName name="cezcz">#REF!</definedName>
    <definedName name="Comparison">#REF!</definedName>
    <definedName name="cz">#REF!</definedName>
    <definedName name="czczczccz">#REF!</definedName>
    <definedName name="cze">#REF!</definedName>
    <definedName name="e">#REF!</definedName>
    <definedName name="er">#REF!</definedName>
    <definedName name="EtatTravaux">'[1]Listes Données'!$B$16:$B$18</definedName>
    <definedName name="ferri">#REF!</definedName>
    <definedName name="FEV">#REF!</definedName>
    <definedName name="FG">#REF!</definedName>
    <definedName name="JGVEPVJE">#REF!</definedName>
    <definedName name="LKNV">#REF!</definedName>
    <definedName name="LNVSEV">#REF!</definedName>
    <definedName name="LVEDV">#REF!</definedName>
    <definedName name="Mai">#REF!</definedName>
    <definedName name="mar">#REF!</definedName>
    <definedName name="MOJEGV">#REF!</definedName>
    <definedName name="moo">#REF!</definedName>
    <definedName name="Myplage">[2]!Tableau2[#Data]</definedName>
    <definedName name="NgnEuro">[3]Sheet1!$J$1</definedName>
    <definedName name="OENVEVE">#REF!</definedName>
    <definedName name="OHEEV">#REF!</definedName>
    <definedName name="ok">#REF!</definedName>
    <definedName name="ON">#REF!</definedName>
    <definedName name="PAR">#REF!</definedName>
    <definedName name="PO">#REF!</definedName>
    <definedName name="Print_Area_MI">#REF!</definedName>
    <definedName name="prn">#REF!</definedName>
    <definedName name="REGUL">#REF!</definedName>
    <definedName name="RO">#REF!</definedName>
    <definedName name="top">#REF!</definedName>
    <definedName name="TypeActivités">'[1]Listes Données'!$B$3:$B$8</definedName>
    <definedName name="z">#REF!</definedName>
    <definedName name="ze">#REF!</definedName>
    <definedName name="zeaz">#REF!</definedName>
    <definedName name="ze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7" i="31" l="1"/>
  <c r="M18" i="31"/>
  <c r="M16" i="31"/>
  <c r="M96" i="32"/>
  <c r="N96" i="32" s="1"/>
  <c r="O96" i="32" s="1"/>
  <c r="M95" i="32"/>
  <c r="M94" i="32"/>
  <c r="M93" i="32"/>
  <c r="M92" i="32"/>
  <c r="N91" i="32"/>
  <c r="O91" i="32" s="1"/>
  <c r="M91" i="32"/>
  <c r="N90" i="32"/>
  <c r="O90" i="32" s="1"/>
  <c r="M90" i="32"/>
  <c r="M89" i="32"/>
  <c r="M88" i="32"/>
  <c r="N88" i="32" s="1"/>
  <c r="O88" i="32" s="1"/>
  <c r="M87" i="32"/>
  <c r="M86" i="32"/>
  <c r="M85" i="32"/>
  <c r="N84" i="32"/>
  <c r="M84" i="32"/>
  <c r="M83" i="32"/>
  <c r="M82" i="32"/>
  <c r="N81" i="32"/>
  <c r="O81" i="32" s="1"/>
  <c r="M81" i="32"/>
  <c r="M80" i="32"/>
  <c r="M79" i="32"/>
  <c r="M78" i="32"/>
  <c r="N78" i="32" s="1"/>
  <c r="O78" i="32" s="1"/>
  <c r="N77" i="32"/>
  <c r="M77" i="32"/>
  <c r="M76" i="32"/>
  <c r="N76" i="32" s="1"/>
  <c r="N75" i="32"/>
  <c r="M75" i="32"/>
  <c r="M74" i="32"/>
  <c r="M73" i="32"/>
  <c r="N73" i="32" s="1"/>
  <c r="O73" i="32" s="1"/>
  <c r="M72" i="32"/>
  <c r="M71" i="32"/>
  <c r="N70" i="32"/>
  <c r="M70" i="32"/>
  <c r="M69" i="32"/>
  <c r="M68" i="32"/>
  <c r="N68" i="32" s="1"/>
  <c r="O68" i="32" s="1"/>
  <c r="M67" i="32"/>
  <c r="N67" i="32" s="1"/>
  <c r="O67" i="32" s="1"/>
  <c r="M66" i="32"/>
  <c r="M65" i="32"/>
  <c r="N65" i="32" s="1"/>
  <c r="O65" i="32" s="1"/>
  <c r="N64" i="32"/>
  <c r="O64" i="32" s="1"/>
  <c r="M64" i="32"/>
  <c r="M63" i="32"/>
  <c r="M62" i="32"/>
  <c r="N62" i="32" s="1"/>
  <c r="M61" i="32"/>
  <c r="M60" i="32"/>
  <c r="N60" i="32" s="1"/>
  <c r="O60" i="32" s="1"/>
  <c r="M59" i="32"/>
  <c r="N59" i="32" s="1"/>
  <c r="O59" i="32" s="1"/>
  <c r="M58" i="32"/>
  <c r="M206" i="29"/>
  <c r="M205" i="29"/>
  <c r="N205" i="29" s="1"/>
  <c r="O205" i="29" s="1"/>
  <c r="M204" i="29"/>
  <c r="N204" i="29" s="1"/>
  <c r="O204" i="29" s="1"/>
  <c r="M203" i="29"/>
  <c r="M202" i="29"/>
  <c r="M201" i="29"/>
  <c r="N201" i="29" s="1"/>
  <c r="O201" i="29" s="1"/>
  <c r="N200" i="29"/>
  <c r="O200" i="29" s="1"/>
  <c r="M200" i="29"/>
  <c r="M199" i="29"/>
  <c r="M198" i="29"/>
  <c r="M197" i="29"/>
  <c r="N197" i="29" s="1"/>
  <c r="O197" i="29" s="1"/>
  <c r="M196" i="29"/>
  <c r="N196" i="29" s="1"/>
  <c r="O196" i="29" s="1"/>
  <c r="M195" i="29"/>
  <c r="N194" i="29"/>
  <c r="M194" i="29"/>
  <c r="M193" i="29"/>
  <c r="N193" i="29" s="1"/>
  <c r="M192" i="29"/>
  <c r="N192" i="29" s="1"/>
  <c r="O192" i="29" s="1"/>
  <c r="M191" i="29"/>
  <c r="M190" i="29"/>
  <c r="M189" i="29"/>
  <c r="N189" i="29" s="1"/>
  <c r="O189" i="29" s="1"/>
  <c r="M188" i="29"/>
  <c r="M187" i="29"/>
  <c r="M186" i="29"/>
  <c r="N186" i="29" s="1"/>
  <c r="O186" i="29" s="1"/>
  <c r="N185" i="29"/>
  <c r="O185" i="29" s="1"/>
  <c r="M185" i="29"/>
  <c r="M184" i="29"/>
  <c r="N184" i="29" s="1"/>
  <c r="M183" i="29"/>
  <c r="N183" i="29" s="1"/>
  <c r="O183" i="29" s="1"/>
  <c r="M182" i="29"/>
  <c r="M181" i="29"/>
  <c r="M180" i="29"/>
  <c r="M179" i="29"/>
  <c r="M178" i="29"/>
  <c r="N178" i="29" s="1"/>
  <c r="O178" i="29" s="1"/>
  <c r="M177" i="29"/>
  <c r="M176" i="29"/>
  <c r="M175" i="29"/>
  <c r="N175" i="29" s="1"/>
  <c r="O175" i="29" s="1"/>
  <c r="M174" i="29"/>
  <c r="M173" i="29"/>
  <c r="M172" i="29"/>
  <c r="M171" i="29"/>
  <c r="M170" i="29"/>
  <c r="M169" i="29"/>
  <c r="M168" i="29"/>
  <c r="M167" i="29"/>
  <c r="N167" i="29" s="1"/>
  <c r="O167" i="29" s="1"/>
  <c r="M166" i="29"/>
  <c r="M165" i="29"/>
  <c r="M164" i="29"/>
  <c r="N164" i="29" s="1"/>
  <c r="O164" i="29" s="1"/>
  <c r="M163" i="29"/>
  <c r="M162" i="29"/>
  <c r="M161" i="29"/>
  <c r="M160" i="29"/>
  <c r="N159" i="29"/>
  <c r="O159" i="29" s="1"/>
  <c r="M159" i="29"/>
  <c r="M158" i="29"/>
  <c r="M157" i="29"/>
  <c r="M156" i="29"/>
  <c r="N156" i="29" s="1"/>
  <c r="O156" i="29" s="1"/>
  <c r="M155" i="29"/>
  <c r="M154" i="29"/>
  <c r="M153" i="29"/>
  <c r="D26" i="17"/>
  <c r="E26" i="17"/>
  <c r="F26" i="17"/>
  <c r="O92" i="32" l="1"/>
  <c r="O75" i="32"/>
  <c r="N92" i="32"/>
  <c r="O70" i="32"/>
  <c r="O77" i="32"/>
  <c r="O62" i="32"/>
  <c r="N66" i="32"/>
  <c r="O66" i="32" s="1"/>
  <c r="O84" i="32"/>
  <c r="N86" i="32"/>
  <c r="O86" i="32" s="1"/>
  <c r="N94" i="32"/>
  <c r="O94" i="32" s="1"/>
  <c r="N89" i="32"/>
  <c r="O89" i="32" s="1"/>
  <c r="N87" i="32"/>
  <c r="O87" i="32" s="1"/>
  <c r="N95" i="32"/>
  <c r="O95" i="32" s="1"/>
  <c r="N85" i="32"/>
  <c r="O85" i="32" s="1"/>
  <c r="N93" i="32"/>
  <c r="O93" i="32" s="1"/>
  <c r="N79" i="32"/>
  <c r="O79" i="32" s="1"/>
  <c r="N71" i="32"/>
  <c r="O71" i="32" s="1"/>
  <c r="O76" i="32"/>
  <c r="N74" i="32"/>
  <c r="O74" i="32" s="1"/>
  <c r="N82" i="32"/>
  <c r="O82" i="32" s="1"/>
  <c r="N72" i="32"/>
  <c r="O72" i="32" s="1"/>
  <c r="N80" i="32"/>
  <c r="O80" i="32" s="1"/>
  <c r="N83" i="32"/>
  <c r="O83" i="32" s="1"/>
  <c r="N63" i="32"/>
  <c r="O63" i="32" s="1"/>
  <c r="N58" i="32"/>
  <c r="O58" i="32" s="1"/>
  <c r="N61" i="32"/>
  <c r="O61" i="32" s="1"/>
  <c r="N69" i="32"/>
  <c r="O69" i="32" s="1"/>
  <c r="O182" i="29"/>
  <c r="N174" i="29"/>
  <c r="O174" i="29" s="1"/>
  <c r="O202" i="29"/>
  <c r="N202" i="29"/>
  <c r="N182" i="29"/>
  <c r="O184" i="29"/>
  <c r="N176" i="29"/>
  <c r="O176" i="29" s="1"/>
  <c r="N177" i="29"/>
  <c r="O177" i="29" s="1"/>
  <c r="O194" i="29"/>
  <c r="O203" i="29"/>
  <c r="O193" i="29"/>
  <c r="N191" i="29"/>
  <c r="O191" i="29" s="1"/>
  <c r="N199" i="29"/>
  <c r="O199" i="29" s="1"/>
  <c r="N190" i="29"/>
  <c r="O190" i="29" s="1"/>
  <c r="N195" i="29"/>
  <c r="O195" i="29" s="1"/>
  <c r="N203" i="29"/>
  <c r="N198" i="29"/>
  <c r="O198" i="29" s="1"/>
  <c r="N206" i="29"/>
  <c r="O206" i="29" s="1"/>
  <c r="O181" i="29"/>
  <c r="O173" i="29"/>
  <c r="O187" i="29"/>
  <c r="N173" i="29"/>
  <c r="N181" i="29"/>
  <c r="N171" i="29"/>
  <c r="O171" i="29" s="1"/>
  <c r="N179" i="29"/>
  <c r="O179" i="29" s="1"/>
  <c r="N187" i="29"/>
  <c r="N172" i="29"/>
  <c r="O172" i="29" s="1"/>
  <c r="N180" i="29"/>
  <c r="O180" i="29" s="1"/>
  <c r="N188" i="29"/>
  <c r="O188" i="29" s="1"/>
  <c r="O165" i="29"/>
  <c r="N154" i="29"/>
  <c r="O154" i="29" s="1"/>
  <c r="N162" i="29"/>
  <c r="O162" i="29" s="1"/>
  <c r="N170" i="29"/>
  <c r="O170" i="29" s="1"/>
  <c r="N157" i="29"/>
  <c r="O157" i="29" s="1"/>
  <c r="N165" i="29"/>
  <c r="N160" i="29"/>
  <c r="O160" i="29" s="1"/>
  <c r="N168" i="29"/>
  <c r="O168" i="29" s="1"/>
  <c r="N155" i="29"/>
  <c r="O155" i="29" s="1"/>
  <c r="N163" i="29"/>
  <c r="O163" i="29" s="1"/>
  <c r="N158" i="29"/>
  <c r="O158" i="29" s="1"/>
  <c r="N166" i="29"/>
  <c r="O166" i="29" s="1"/>
  <c r="N153" i="29"/>
  <c r="O153" i="29" s="1"/>
  <c r="N161" i="29"/>
  <c r="O161" i="29" s="1"/>
  <c r="N169" i="29"/>
  <c r="O169" i="29" s="1"/>
  <c r="M152" i="29"/>
  <c r="N152" i="29" s="1"/>
  <c r="M134" i="29"/>
  <c r="N134" i="29" s="1"/>
  <c r="M116" i="29"/>
  <c r="N116" i="29" s="1"/>
  <c r="O116" i="29" s="1"/>
  <c r="O152" i="29" l="1"/>
  <c r="O134" i="29"/>
  <c r="M32" i="32" l="1"/>
  <c r="M33" i="32"/>
  <c r="M34" i="32"/>
  <c r="M35" i="32"/>
  <c r="M36" i="32"/>
  <c r="M37" i="32"/>
  <c r="M38" i="32"/>
  <c r="M39" i="32"/>
  <c r="M40" i="32"/>
  <c r="M41" i="32"/>
  <c r="M42" i="32"/>
  <c r="M43" i="32"/>
  <c r="M44" i="32"/>
  <c r="M45" i="32"/>
  <c r="M46" i="32"/>
  <c r="M47" i="32"/>
  <c r="M48" i="32"/>
  <c r="M49" i="32"/>
  <c r="M50" i="32"/>
  <c r="M51" i="32"/>
  <c r="M52" i="32"/>
  <c r="M53" i="32"/>
  <c r="M54" i="32"/>
  <c r="M55" i="32"/>
  <c r="M56" i="32"/>
  <c r="M57" i="32"/>
  <c r="J31" i="32"/>
  <c r="M31" i="32" s="1"/>
  <c r="I18" i="32" l="1"/>
  <c r="I17" i="32"/>
  <c r="I16" i="32"/>
  <c r="I15" i="32"/>
  <c r="I14" i="32"/>
  <c r="I13" i="32"/>
  <c r="I12" i="32"/>
  <c r="I11" i="32"/>
  <c r="I10" i="32"/>
  <c r="I9" i="32"/>
  <c r="I8" i="32"/>
  <c r="I7" i="32"/>
  <c r="N57" i="32" l="1"/>
  <c r="O57" i="32" s="1"/>
  <c r="N56" i="32"/>
  <c r="N54" i="32"/>
  <c r="O54" i="32" s="1"/>
  <c r="N53" i="32"/>
  <c r="O53" i="32" s="1"/>
  <c r="N49" i="32"/>
  <c r="O49" i="32" s="1"/>
  <c r="N48" i="32"/>
  <c r="N45" i="32"/>
  <c r="N41" i="32"/>
  <c r="O41" i="32" s="1"/>
  <c r="N40" i="32"/>
  <c r="N38" i="32"/>
  <c r="O38" i="32" s="1"/>
  <c r="N37" i="32"/>
  <c r="O37" i="32" s="1"/>
  <c r="N33" i="32"/>
  <c r="O33" i="32" s="1"/>
  <c r="N32" i="32"/>
  <c r="J30" i="32"/>
  <c r="J29" i="32"/>
  <c r="M29" i="32" s="1"/>
  <c r="J28" i="32"/>
  <c r="M28" i="32" s="1"/>
  <c r="J27" i="32"/>
  <c r="J26" i="32"/>
  <c r="M26" i="32" s="1"/>
  <c r="J25" i="32"/>
  <c r="M25" i="32" s="1"/>
  <c r="J24" i="32"/>
  <c r="M24" i="32" s="1"/>
  <c r="J23" i="32"/>
  <c r="J22" i="32"/>
  <c r="J21" i="32"/>
  <c r="M21" i="32" s="1"/>
  <c r="J20" i="32"/>
  <c r="J19" i="32"/>
  <c r="M19" i="32" s="1"/>
  <c r="J18" i="32"/>
  <c r="J17" i="32"/>
  <c r="M17" i="32" s="1"/>
  <c r="J16" i="32"/>
  <c r="M16" i="32" s="1"/>
  <c r="J15" i="32"/>
  <c r="M15" i="32" s="1"/>
  <c r="J14" i="32"/>
  <c r="M14" i="32" s="1"/>
  <c r="J13" i="32"/>
  <c r="M13" i="32" s="1"/>
  <c r="J12" i="32"/>
  <c r="M12" i="32" s="1"/>
  <c r="J11" i="32"/>
  <c r="M11" i="32" s="1"/>
  <c r="J10" i="32"/>
  <c r="J9" i="32"/>
  <c r="J8" i="32"/>
  <c r="M8" i="32" s="1"/>
  <c r="J7" i="32"/>
  <c r="M7" i="32" s="1"/>
  <c r="M13" i="31"/>
  <c r="M14" i="31"/>
  <c r="M15" i="31"/>
  <c r="M20" i="32" l="1"/>
  <c r="N20" i="32" s="1"/>
  <c r="O20" i="32" s="1"/>
  <c r="M22" i="32"/>
  <c r="N22" i="32" s="1"/>
  <c r="O22" i="32" s="1"/>
  <c r="M30" i="32"/>
  <c r="N30" i="32" s="1"/>
  <c r="O30" i="32" s="1"/>
  <c r="M27" i="32"/>
  <c r="N27" i="32" s="1"/>
  <c r="O27" i="32" s="1"/>
  <c r="M23" i="32"/>
  <c r="N23" i="32" s="1"/>
  <c r="O23" i="32" s="1"/>
  <c r="M9" i="32"/>
  <c r="N9" i="32" s="1"/>
  <c r="O9" i="32" s="1"/>
  <c r="M10" i="32"/>
  <c r="N10" i="32" s="1"/>
  <c r="O10" i="32" s="1"/>
  <c r="M18" i="32"/>
  <c r="O45" i="32"/>
  <c r="N46" i="32"/>
  <c r="O46" i="32" s="1"/>
  <c r="O48" i="32"/>
  <c r="O32" i="32"/>
  <c r="O56" i="32"/>
  <c r="O40" i="32"/>
  <c r="N7" i="32"/>
  <c r="O7" i="32" s="1"/>
  <c r="N19" i="32"/>
  <c r="O19" i="32" s="1"/>
  <c r="N15" i="32"/>
  <c r="O15" i="32" s="1"/>
  <c r="N16" i="32"/>
  <c r="O16" i="32" s="1"/>
  <c r="N11" i="32"/>
  <c r="O11" i="32" s="1"/>
  <c r="N8" i="32"/>
  <c r="O8" i="32" s="1"/>
  <c r="N12" i="32"/>
  <c r="O12" i="32" s="1"/>
  <c r="N13" i="32"/>
  <c r="O13" i="32" s="1"/>
  <c r="N21" i="32"/>
  <c r="O21" i="32" s="1"/>
  <c r="N28" i="32"/>
  <c r="O28" i="32" s="1"/>
  <c r="N52" i="32"/>
  <c r="O52" i="32" s="1"/>
  <c r="N29" i="32"/>
  <c r="O29" i="32" s="1"/>
  <c r="N44" i="32"/>
  <c r="O44" i="32" s="1"/>
  <c r="N25" i="32"/>
  <c r="O25" i="32" s="1"/>
  <c r="N26" i="32"/>
  <c r="O26" i="32" s="1"/>
  <c r="N36" i="32"/>
  <c r="O36" i="32" s="1"/>
  <c r="N24" i="32"/>
  <c r="O24" i="32" s="1"/>
  <c r="N17" i="32"/>
  <c r="O17" i="32" s="1"/>
  <c r="N14" i="32"/>
  <c r="O14" i="32" s="1"/>
  <c r="N35" i="32"/>
  <c r="O35" i="32" s="1"/>
  <c r="N43" i="32"/>
  <c r="O43" i="32" s="1"/>
  <c r="N51" i="32"/>
  <c r="O51" i="32" s="1"/>
  <c r="N31" i="32"/>
  <c r="O31" i="32" s="1"/>
  <c r="N39" i="32"/>
  <c r="O39" i="32" s="1"/>
  <c r="N47" i="32"/>
  <c r="O47" i="32" s="1"/>
  <c r="N55" i="32"/>
  <c r="O55" i="32" s="1"/>
  <c r="N34" i="32"/>
  <c r="O34" i="32" s="1"/>
  <c r="N42" i="32"/>
  <c r="O42" i="32" s="1"/>
  <c r="N50" i="32"/>
  <c r="O50" i="32" s="1"/>
  <c r="M12" i="31"/>
  <c r="M11" i="31"/>
  <c r="M10" i="31"/>
  <c r="L9" i="30"/>
  <c r="N18" i="32" l="1"/>
  <c r="O18" i="32" s="1"/>
  <c r="L8" i="30"/>
  <c r="L12" i="30" s="1"/>
  <c r="L13" i="30" l="1"/>
  <c r="L14" i="30" l="1"/>
  <c r="M151" i="29" l="1"/>
  <c r="N151" i="29" s="1"/>
  <c r="O151" i="29" s="1"/>
  <c r="M150" i="29"/>
  <c r="N150" i="29" s="1"/>
  <c r="O150" i="29" s="1"/>
  <c r="M149" i="29"/>
  <c r="M148" i="29"/>
  <c r="M147" i="29"/>
  <c r="M146" i="29"/>
  <c r="N146" i="29" s="1"/>
  <c r="O146" i="29" s="1"/>
  <c r="M145" i="29"/>
  <c r="N145" i="29" s="1"/>
  <c r="O145" i="29" s="1"/>
  <c r="M144" i="29"/>
  <c r="M143" i="29"/>
  <c r="N143" i="29" s="1"/>
  <c r="O143" i="29" s="1"/>
  <c r="M142" i="29"/>
  <c r="N142" i="29" s="1"/>
  <c r="O142" i="29" s="1"/>
  <c r="M141" i="29"/>
  <c r="M140" i="29"/>
  <c r="M139" i="29"/>
  <c r="M138" i="29"/>
  <c r="N138" i="29" s="1"/>
  <c r="O138" i="29" s="1"/>
  <c r="M137" i="29"/>
  <c r="N137" i="29" s="1"/>
  <c r="O137" i="29" s="1"/>
  <c r="M136" i="29"/>
  <c r="M135" i="29"/>
  <c r="N135" i="29" s="1"/>
  <c r="O135" i="29" s="1"/>
  <c r="M133" i="29"/>
  <c r="N133" i="29" s="1"/>
  <c r="O133" i="29" s="1"/>
  <c r="M132" i="29"/>
  <c r="M131" i="29"/>
  <c r="N131" i="29" s="1"/>
  <c r="M130" i="29"/>
  <c r="M129" i="29"/>
  <c r="M128" i="29"/>
  <c r="N128" i="29" s="1"/>
  <c r="O128" i="29" s="1"/>
  <c r="M127" i="29"/>
  <c r="M126" i="29"/>
  <c r="N126" i="29" s="1"/>
  <c r="M125" i="29"/>
  <c r="N125" i="29" s="1"/>
  <c r="O125" i="29" s="1"/>
  <c r="M124" i="29"/>
  <c r="N124" i="29" s="1"/>
  <c r="O124" i="29" s="1"/>
  <c r="M123" i="29"/>
  <c r="M122" i="29"/>
  <c r="N122" i="29" s="1"/>
  <c r="M121" i="29"/>
  <c r="M120" i="29"/>
  <c r="N120" i="29" s="1"/>
  <c r="O120" i="29" s="1"/>
  <c r="M119" i="29"/>
  <c r="N119" i="29" s="1"/>
  <c r="O119" i="29" s="1"/>
  <c r="M118" i="29"/>
  <c r="N118" i="29" s="1"/>
  <c r="M117" i="29"/>
  <c r="N117" i="29" s="1"/>
  <c r="O117" i="29" s="1"/>
  <c r="M115" i="29"/>
  <c r="N115" i="29" s="1"/>
  <c r="O115" i="29" s="1"/>
  <c r="M114" i="29"/>
  <c r="M113" i="29"/>
  <c r="M112" i="29"/>
  <c r="M111" i="29"/>
  <c r="M110" i="29"/>
  <c r="N110" i="29" s="1"/>
  <c r="O110" i="29" s="1"/>
  <c r="M109" i="29"/>
  <c r="N109" i="29" s="1"/>
  <c r="O109" i="29" s="1"/>
  <c r="M108" i="29"/>
  <c r="M107" i="29"/>
  <c r="N107" i="29" s="1"/>
  <c r="O107" i="29" s="1"/>
  <c r="M106" i="29"/>
  <c r="M105" i="29"/>
  <c r="M104" i="29"/>
  <c r="M103" i="29"/>
  <c r="M102" i="29"/>
  <c r="N102" i="29" s="1"/>
  <c r="O102" i="29" s="1"/>
  <c r="M101" i="29"/>
  <c r="N101" i="29" s="1"/>
  <c r="O101" i="29" s="1"/>
  <c r="M100" i="29"/>
  <c r="M99" i="29"/>
  <c r="N99" i="29" s="1"/>
  <c r="O99" i="29" s="1"/>
  <c r="N127" i="29" l="1"/>
  <c r="O127" i="29" s="1"/>
  <c r="O122" i="29"/>
  <c r="N130" i="29"/>
  <c r="O130" i="29" s="1"/>
  <c r="N141" i="29"/>
  <c r="O141" i="29" s="1"/>
  <c r="N149" i="29"/>
  <c r="O149" i="29" s="1"/>
  <c r="N136" i="29"/>
  <c r="O136" i="29" s="1"/>
  <c r="N144" i="29"/>
  <c r="O144" i="29" s="1"/>
  <c r="N139" i="29"/>
  <c r="O139" i="29" s="1"/>
  <c r="N147" i="29"/>
  <c r="O147" i="29" s="1"/>
  <c r="N140" i="29"/>
  <c r="O140" i="29" s="1"/>
  <c r="N148" i="29"/>
  <c r="O148" i="29" s="1"/>
  <c r="N123" i="29"/>
  <c r="O123" i="29" s="1"/>
  <c r="O131" i="29"/>
  <c r="O118" i="29"/>
  <c r="N121" i="29"/>
  <c r="O121" i="29" s="1"/>
  <c r="O126" i="29"/>
  <c r="N129" i="29"/>
  <c r="O129" i="29" s="1"/>
  <c r="N132" i="29"/>
  <c r="O132" i="29" s="1"/>
  <c r="N105" i="29"/>
  <c r="O105" i="29" s="1"/>
  <c r="N113" i="29"/>
  <c r="O113" i="29" s="1"/>
  <c r="N100" i="29"/>
  <c r="O100" i="29" s="1"/>
  <c r="N108" i="29"/>
  <c r="O108" i="29" s="1"/>
  <c r="N103" i="29"/>
  <c r="O103" i="29" s="1"/>
  <c r="N111" i="29"/>
  <c r="O111" i="29" s="1"/>
  <c r="N106" i="29"/>
  <c r="O106" i="29" s="1"/>
  <c r="N114" i="29"/>
  <c r="O114" i="29" s="1"/>
  <c r="N104" i="29"/>
  <c r="O104" i="29" s="1"/>
  <c r="N112" i="29"/>
  <c r="O112" i="29" s="1"/>
  <c r="L18" i="14"/>
  <c r="L19" i="14"/>
  <c r="L20" i="14"/>
  <c r="L21" i="14"/>
  <c r="L23" i="14"/>
  <c r="L24" i="14"/>
  <c r="L26" i="14"/>
  <c r="L27" i="14"/>
  <c r="L28" i="14"/>
  <c r="L30" i="14"/>
  <c r="L31" i="14"/>
  <c r="L33" i="14"/>
  <c r="L34" i="14"/>
  <c r="L35" i="14"/>
  <c r="L38" i="14"/>
  <c r="L39" i="14"/>
  <c r="L40" i="14"/>
  <c r="L41" i="14"/>
  <c r="L43" i="14"/>
  <c r="L45" i="14"/>
  <c r="L47" i="14"/>
  <c r="L48" i="14"/>
  <c r="L49" i="14"/>
  <c r="L51" i="14"/>
  <c r="L52" i="14"/>
  <c r="L53" i="14"/>
  <c r="L54" i="14"/>
  <c r="L55" i="14"/>
  <c r="L56" i="14"/>
  <c r="L57" i="14"/>
  <c r="L58" i="14"/>
  <c r="L59" i="14"/>
  <c r="L60" i="14"/>
  <c r="L61" i="14"/>
  <c r="L62" i="14"/>
  <c r="L63" i="14"/>
  <c r="L64" i="14"/>
  <c r="L65" i="14"/>
  <c r="L66" i="14"/>
  <c r="L67" i="14"/>
  <c r="L68" i="14"/>
  <c r="L69" i="14"/>
  <c r="L70" i="14"/>
  <c r="L72" i="14"/>
  <c r="L73" i="14"/>
  <c r="L74" i="14"/>
  <c r="L75" i="14"/>
  <c r="L77" i="14"/>
  <c r="L78" i="14"/>
  <c r="L80" i="14"/>
  <c r="L81" i="14"/>
  <c r="L82" i="14"/>
  <c r="L83" i="14"/>
  <c r="L85" i="14"/>
  <c r="L86" i="14"/>
  <c r="L87" i="14"/>
  <c r="L88" i="14"/>
  <c r="L90" i="14"/>
  <c r="L91" i="14"/>
  <c r="L92" i="14"/>
  <c r="L97" i="14"/>
  <c r="L101" i="14"/>
  <c r="L103" i="14"/>
  <c r="L105" i="14"/>
  <c r="L109" i="14"/>
  <c r="L112" i="14"/>
  <c r="L113" i="14"/>
  <c r="L114" i="14"/>
  <c r="L115" i="14"/>
  <c r="L116" i="14"/>
  <c r="L117" i="14"/>
  <c r="L118" i="14"/>
  <c r="L121" i="14"/>
  <c r="L123" i="14"/>
  <c r="L124" i="14"/>
  <c r="L126" i="14"/>
  <c r="L128" i="14"/>
  <c r="L129" i="14"/>
  <c r="L130" i="14"/>
  <c r="L132" i="14"/>
  <c r="L133" i="14"/>
  <c r="L134" i="14"/>
  <c r="L135" i="14"/>
  <c r="L136" i="14"/>
  <c r="L137" i="14"/>
  <c r="L139" i="14"/>
  <c r="L140" i="14"/>
  <c r="K18" i="14"/>
  <c r="K19" i="14"/>
  <c r="K20" i="14"/>
  <c r="K21" i="14"/>
  <c r="K23" i="14"/>
  <c r="K24" i="14"/>
  <c r="K25" i="14"/>
  <c r="K26" i="14"/>
  <c r="K27" i="14"/>
  <c r="K28" i="14"/>
  <c r="K30" i="14"/>
  <c r="K31" i="14"/>
  <c r="K32" i="14"/>
  <c r="K33" i="14"/>
  <c r="K34" i="14"/>
  <c r="K35" i="14"/>
  <c r="K38" i="14"/>
  <c r="K39" i="14"/>
  <c r="K40" i="14"/>
  <c r="K41" i="14"/>
  <c r="K43" i="14"/>
  <c r="K45" i="14"/>
  <c r="K47" i="14"/>
  <c r="K48" i="14"/>
  <c r="K49" i="14"/>
  <c r="K51" i="14"/>
  <c r="K52" i="14"/>
  <c r="K53" i="14"/>
  <c r="K54" i="14"/>
  <c r="K55" i="14"/>
  <c r="K56" i="14"/>
  <c r="K57" i="14"/>
  <c r="K58" i="14"/>
  <c r="K59" i="14"/>
  <c r="K60" i="14"/>
  <c r="K61" i="14"/>
  <c r="K62" i="14"/>
  <c r="K63" i="14"/>
  <c r="K64" i="14"/>
  <c r="K65" i="14"/>
  <c r="K66" i="14"/>
  <c r="K67" i="14"/>
  <c r="K68" i="14"/>
  <c r="K69" i="14"/>
  <c r="K70" i="14"/>
  <c r="K71" i="14"/>
  <c r="K72" i="14"/>
  <c r="K73" i="14"/>
  <c r="K74" i="14"/>
  <c r="K75" i="14"/>
  <c r="K77" i="14"/>
  <c r="K78" i="14"/>
  <c r="K79" i="14"/>
  <c r="K80" i="14"/>
  <c r="K81" i="14"/>
  <c r="K82" i="14"/>
  <c r="K83" i="14"/>
  <c r="K85" i="14"/>
  <c r="K86" i="14"/>
  <c r="K87" i="14"/>
  <c r="K88" i="14"/>
  <c r="K89" i="14"/>
  <c r="K90" i="14"/>
  <c r="K91" i="14"/>
  <c r="K92" i="14"/>
  <c r="K95" i="14"/>
  <c r="K96" i="14"/>
  <c r="K97" i="14"/>
  <c r="K101" i="14"/>
  <c r="K103" i="14"/>
  <c r="K104" i="14"/>
  <c r="K105" i="14"/>
  <c r="K109" i="14"/>
  <c r="K111" i="14"/>
  <c r="K112" i="14"/>
  <c r="K113" i="14"/>
  <c r="K114" i="14"/>
  <c r="K115" i="14"/>
  <c r="K116" i="14"/>
  <c r="K117" i="14"/>
  <c r="K118" i="14"/>
  <c r="K119" i="14"/>
  <c r="K120" i="14"/>
  <c r="K121" i="14"/>
  <c r="K123" i="14"/>
  <c r="K124" i="14"/>
  <c r="K126" i="14"/>
  <c r="K127" i="14"/>
  <c r="K128" i="14"/>
  <c r="K129" i="14"/>
  <c r="K130" i="14"/>
  <c r="K132" i="14"/>
  <c r="K133" i="14"/>
  <c r="K134" i="14"/>
  <c r="K135" i="14"/>
  <c r="K136" i="14"/>
  <c r="K137" i="14"/>
  <c r="K139" i="14"/>
  <c r="K140" i="14"/>
  <c r="J18" i="14"/>
  <c r="J19" i="14"/>
  <c r="J20" i="14"/>
  <c r="J21" i="14"/>
  <c r="J22" i="14"/>
  <c r="J23" i="14"/>
  <c r="J24" i="14"/>
  <c r="J25" i="14"/>
  <c r="L25" i="14" s="1"/>
  <c r="J26" i="14"/>
  <c r="J27" i="14"/>
  <c r="J28" i="14"/>
  <c r="J29" i="14"/>
  <c r="J30" i="14"/>
  <c r="J31" i="14"/>
  <c r="J32" i="14"/>
  <c r="L32" i="14" s="1"/>
  <c r="J33" i="14"/>
  <c r="J34" i="14"/>
  <c r="J35" i="14"/>
  <c r="J36" i="14"/>
  <c r="J37" i="14"/>
  <c r="J38" i="14"/>
  <c r="J39" i="14"/>
  <c r="J40" i="14"/>
  <c r="J41" i="14"/>
  <c r="J42" i="14"/>
  <c r="K42" i="14" s="1"/>
  <c r="J43" i="14"/>
  <c r="J44" i="14"/>
  <c r="K44" i="14" s="1"/>
  <c r="L44" i="14" s="1"/>
  <c r="J45" i="14"/>
  <c r="J46" i="14"/>
  <c r="J47" i="14"/>
  <c r="J48" i="14"/>
  <c r="J49" i="14"/>
  <c r="J50" i="14"/>
  <c r="K50" i="14" s="1"/>
  <c r="J51" i="14"/>
  <c r="J52" i="14"/>
  <c r="J53" i="14"/>
  <c r="J54" i="14"/>
  <c r="J55" i="14"/>
  <c r="J56" i="14"/>
  <c r="J57" i="14"/>
  <c r="J58" i="14"/>
  <c r="J59" i="14"/>
  <c r="J60" i="14"/>
  <c r="J61" i="14"/>
  <c r="J62" i="14"/>
  <c r="J63" i="14"/>
  <c r="J64" i="14"/>
  <c r="J65" i="14"/>
  <c r="J66" i="14"/>
  <c r="J67" i="14"/>
  <c r="J68" i="14"/>
  <c r="J69" i="14"/>
  <c r="J70" i="14"/>
  <c r="J71" i="14"/>
  <c r="L71" i="14" s="1"/>
  <c r="J72" i="14"/>
  <c r="J73" i="14"/>
  <c r="J74" i="14"/>
  <c r="J75" i="14"/>
  <c r="J76" i="14"/>
  <c r="J77" i="14"/>
  <c r="J78" i="14"/>
  <c r="J79" i="14"/>
  <c r="L79" i="14" s="1"/>
  <c r="J80" i="14"/>
  <c r="J81" i="14"/>
  <c r="J82" i="14"/>
  <c r="J83" i="14"/>
  <c r="J84" i="14"/>
  <c r="J85" i="14"/>
  <c r="J86" i="14"/>
  <c r="J87" i="14"/>
  <c r="J88" i="14"/>
  <c r="J89" i="14"/>
  <c r="L89" i="14" s="1"/>
  <c r="J90" i="14"/>
  <c r="J91" i="14"/>
  <c r="J92" i="14"/>
  <c r="J93" i="14"/>
  <c r="J94" i="14"/>
  <c r="J95" i="14"/>
  <c r="L95" i="14" s="1"/>
  <c r="J96" i="14"/>
  <c r="L96" i="14" s="1"/>
  <c r="J97" i="14"/>
  <c r="J98" i="14"/>
  <c r="K98" i="14" s="1"/>
  <c r="J99" i="14"/>
  <c r="J100" i="14"/>
  <c r="J101" i="14"/>
  <c r="J102" i="14"/>
  <c r="J103" i="14"/>
  <c r="J104" i="14"/>
  <c r="L104" i="14" s="1"/>
  <c r="J105" i="14"/>
  <c r="J106" i="14"/>
  <c r="K106" i="14" s="1"/>
  <c r="J107" i="14"/>
  <c r="J108" i="14"/>
  <c r="K108" i="14" s="1"/>
  <c r="J109" i="14"/>
  <c r="J110" i="14"/>
  <c r="J111" i="14"/>
  <c r="L111" i="14" s="1"/>
  <c r="J112" i="14"/>
  <c r="J113" i="14"/>
  <c r="J114" i="14"/>
  <c r="J115" i="14"/>
  <c r="J116" i="14"/>
  <c r="J117" i="14"/>
  <c r="J118" i="14"/>
  <c r="J119" i="14"/>
  <c r="L119" i="14" s="1"/>
  <c r="J120" i="14"/>
  <c r="L120" i="14" s="1"/>
  <c r="J121" i="14"/>
  <c r="J122" i="14"/>
  <c r="K122" i="14" s="1"/>
  <c r="J123" i="14"/>
  <c r="J124" i="14"/>
  <c r="J125" i="14"/>
  <c r="J126" i="14"/>
  <c r="J127" i="14"/>
  <c r="L127" i="14" s="1"/>
  <c r="J128" i="14"/>
  <c r="J129" i="14"/>
  <c r="J130" i="14"/>
  <c r="J131" i="14"/>
  <c r="J132" i="14"/>
  <c r="J133" i="14"/>
  <c r="J134" i="14"/>
  <c r="J135" i="14"/>
  <c r="J136" i="14"/>
  <c r="J137" i="14"/>
  <c r="J138" i="14"/>
  <c r="K138" i="14" s="1"/>
  <c r="J139" i="14"/>
  <c r="J140" i="14"/>
  <c r="J141" i="14"/>
  <c r="K141" i="14" s="1"/>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18" i="10"/>
  <c r="I19" i="10"/>
  <c r="I20" i="10"/>
  <c r="I21" i="10"/>
  <c r="I22" i="10"/>
  <c r="I23" i="10"/>
  <c r="I24" i="10"/>
  <c r="J24" i="10" s="1"/>
  <c r="I25" i="10"/>
  <c r="I26" i="10"/>
  <c r="I27" i="10"/>
  <c r="I28" i="10"/>
  <c r="I29" i="10"/>
  <c r="I30" i="10"/>
  <c r="I31" i="10"/>
  <c r="I32" i="10"/>
  <c r="I33" i="10"/>
  <c r="I34" i="10"/>
  <c r="J34" i="10" s="1"/>
  <c r="I35" i="10"/>
  <c r="I36" i="10"/>
  <c r="I37" i="10"/>
  <c r="J37" i="10" s="1"/>
  <c r="I38" i="10"/>
  <c r="I39" i="10"/>
  <c r="I40" i="10"/>
  <c r="I41" i="10"/>
  <c r="I42" i="10"/>
  <c r="I43" i="10"/>
  <c r="I44" i="10"/>
  <c r="I45" i="10"/>
  <c r="J45" i="10" s="1"/>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J74" i="10" s="1"/>
  <c r="I75" i="10"/>
  <c r="I76" i="10"/>
  <c r="I77" i="10"/>
  <c r="I78" i="10"/>
  <c r="I79" i="10"/>
  <c r="I80" i="10"/>
  <c r="I81" i="10"/>
  <c r="G3" i="3"/>
  <c r="K18" i="3"/>
  <c r="K21" i="3"/>
  <c r="K22" i="3"/>
  <c r="K25" i="3"/>
  <c r="K28" i="3"/>
  <c r="K30" i="3"/>
  <c r="K32" i="3"/>
  <c r="K37" i="3"/>
  <c r="K45" i="3"/>
  <c r="K50" i="3"/>
  <c r="K52" i="3"/>
  <c r="K53" i="3"/>
  <c r="K55" i="3"/>
  <c r="K56" i="3"/>
  <c r="K65" i="3"/>
  <c r="K70" i="3"/>
  <c r="K72" i="3"/>
  <c r="K74" i="3"/>
  <c r="K77" i="3"/>
  <c r="K78" i="3"/>
  <c r="K80" i="3"/>
  <c r="K83" i="3"/>
  <c r="K85" i="3"/>
  <c r="K86" i="3"/>
  <c r="K91" i="3"/>
  <c r="K93" i="3"/>
  <c r="K102" i="3"/>
  <c r="K106" i="3"/>
  <c r="K108" i="3"/>
  <c r="K112" i="3"/>
  <c r="K113" i="3"/>
  <c r="K115" i="3"/>
  <c r="K120" i="3"/>
  <c r="K121" i="3"/>
  <c r="K122" i="3"/>
  <c r="K126" i="3"/>
  <c r="K132" i="3"/>
  <c r="K133" i="3"/>
  <c r="K136" i="3"/>
  <c r="K137" i="3"/>
  <c r="K138" i="3"/>
  <c r="K139" i="3"/>
  <c r="K140" i="3"/>
  <c r="K141" i="3"/>
  <c r="K142" i="3"/>
  <c r="K143" i="3"/>
  <c r="K144" i="3"/>
  <c r="K147" i="3"/>
  <c r="K148" i="3"/>
  <c r="K149" i="3"/>
  <c r="K150" i="3"/>
  <c r="K152" i="3"/>
  <c r="K155" i="3"/>
  <c r="K156" i="3"/>
  <c r="K158" i="3"/>
  <c r="K159" i="3"/>
  <c r="K160" i="3"/>
  <c r="K161" i="3"/>
  <c r="K162" i="3"/>
  <c r="K163" i="3"/>
  <c r="K165" i="3"/>
  <c r="K166" i="3"/>
  <c r="K167" i="3"/>
  <c r="K168" i="3"/>
  <c r="K173" i="3"/>
  <c r="K175" i="3"/>
  <c r="K176" i="3"/>
  <c r="K177" i="3"/>
  <c r="K178" i="3"/>
  <c r="K180" i="3"/>
  <c r="K182" i="3"/>
  <c r="K184" i="3"/>
  <c r="K185" i="3"/>
  <c r="K187" i="3"/>
  <c r="K190" i="3"/>
  <c r="K191" i="3"/>
  <c r="K192" i="3"/>
  <c r="K193" i="3"/>
  <c r="K194" i="3"/>
  <c r="K196" i="3"/>
  <c r="K197" i="3"/>
  <c r="K199" i="3"/>
  <c r="K200" i="3"/>
  <c r="K201" i="3"/>
  <c r="K204" i="3"/>
  <c r="K205" i="3"/>
  <c r="K206" i="3"/>
  <c r="K207" i="3"/>
  <c r="K208" i="3"/>
  <c r="K209" i="3"/>
  <c r="K210" i="3"/>
  <c r="K211" i="3"/>
  <c r="K212" i="3"/>
  <c r="K213" i="3"/>
  <c r="K215" i="3"/>
  <c r="K216" i="3"/>
  <c r="K218" i="3"/>
  <c r="K219" i="3"/>
  <c r="K220" i="3"/>
  <c r="K223" i="3"/>
  <c r="K224" i="3"/>
  <c r="K225" i="3"/>
  <c r="K233" i="3"/>
  <c r="K236" i="3"/>
  <c r="K237" i="3"/>
  <c r="K238" i="3"/>
  <c r="K240" i="3"/>
  <c r="K242" i="3"/>
  <c r="K243" i="3"/>
  <c r="K244" i="3"/>
  <c r="K246" i="3"/>
  <c r="K250" i="3"/>
  <c r="K257" i="3"/>
  <c r="K260" i="3"/>
  <c r="K263" i="3"/>
  <c r="K265" i="3"/>
  <c r="K266" i="3"/>
  <c r="K267" i="3"/>
  <c r="K268" i="3"/>
  <c r="K273" i="3"/>
  <c r="K275" i="3"/>
  <c r="K276" i="3"/>
  <c r="K279" i="3"/>
  <c r="K280" i="3"/>
  <c r="K281" i="3"/>
  <c r="K282" i="3"/>
  <c r="K284" i="3"/>
  <c r="K290" i="3"/>
  <c r="K298" i="3"/>
  <c r="K299" i="3"/>
  <c r="K311" i="3"/>
  <c r="K312" i="3"/>
  <c r="K313" i="3"/>
  <c r="K316" i="3"/>
  <c r="K318" i="3"/>
  <c r="K320" i="3"/>
  <c r="K322" i="3"/>
  <c r="K325" i="3"/>
  <c r="K329" i="3"/>
  <c r="K330" i="3"/>
  <c r="K333" i="3"/>
  <c r="K334" i="3"/>
  <c r="K335" i="3"/>
  <c r="K336" i="3"/>
  <c r="K338" i="3"/>
  <c r="K339" i="3"/>
  <c r="K341" i="3"/>
  <c r="K343" i="3"/>
  <c r="K344" i="3"/>
  <c r="K347" i="3"/>
  <c r="K352" i="3"/>
  <c r="K360" i="3"/>
  <c r="K361" i="3"/>
  <c r="K364" i="3"/>
  <c r="K366" i="3"/>
  <c r="K369" i="3"/>
  <c r="K370" i="3"/>
  <c r="K381" i="3"/>
  <c r="K383" i="3"/>
  <c r="K388" i="3"/>
  <c r="K389" i="3"/>
  <c r="K391" i="3"/>
  <c r="K392" i="3"/>
  <c r="K393" i="3"/>
  <c r="K396" i="3"/>
  <c r="K397" i="3"/>
  <c r="K399" i="3"/>
  <c r="K406" i="3"/>
  <c r="K407" i="3"/>
  <c r="K411" i="3"/>
  <c r="K413" i="3"/>
  <c r="K414" i="3"/>
  <c r="J18" i="3"/>
  <c r="J21" i="3"/>
  <c r="J22" i="3"/>
  <c r="J25" i="3"/>
  <c r="J28" i="3"/>
  <c r="J29" i="3"/>
  <c r="K29" i="3" s="1"/>
  <c r="J30" i="3"/>
  <c r="J32" i="3"/>
  <c r="J34" i="3"/>
  <c r="J37" i="3"/>
  <c r="J39" i="3"/>
  <c r="K39" i="3" s="1"/>
  <c r="J42" i="3"/>
  <c r="K42" i="3" s="1"/>
  <c r="J45" i="3"/>
  <c r="J50" i="3"/>
  <c r="J52" i="3"/>
  <c r="J53" i="3"/>
  <c r="J55" i="3"/>
  <c r="J56" i="3"/>
  <c r="J58" i="3"/>
  <c r="K58" i="3" s="1"/>
  <c r="J65" i="3"/>
  <c r="J70" i="3"/>
  <c r="J72" i="3"/>
  <c r="J74" i="3"/>
  <c r="J77" i="3"/>
  <c r="J78" i="3"/>
  <c r="J79" i="3"/>
  <c r="J80" i="3"/>
  <c r="J82" i="3"/>
  <c r="J83" i="3"/>
  <c r="J85" i="3"/>
  <c r="J86" i="3"/>
  <c r="J90" i="3"/>
  <c r="J91" i="3"/>
  <c r="J93" i="3"/>
  <c r="J95" i="3"/>
  <c r="J97" i="3"/>
  <c r="K97" i="3" s="1"/>
  <c r="J98" i="3"/>
  <c r="K98" i="3" s="1"/>
  <c r="J102" i="3"/>
  <c r="J103" i="3"/>
  <c r="J106" i="3"/>
  <c r="J108" i="3"/>
  <c r="J109" i="3"/>
  <c r="J111" i="3"/>
  <c r="J112" i="3"/>
  <c r="J113" i="3"/>
  <c r="J114" i="3"/>
  <c r="J115" i="3"/>
  <c r="J117" i="3"/>
  <c r="J119" i="3"/>
  <c r="J120" i="3"/>
  <c r="J121" i="3"/>
  <c r="J122" i="3"/>
  <c r="J125" i="3"/>
  <c r="K125" i="3" s="1"/>
  <c r="J126" i="3"/>
  <c r="J130" i="3"/>
  <c r="K130" i="3" s="1"/>
  <c r="J132" i="3"/>
  <c r="J133" i="3"/>
  <c r="J135" i="3"/>
  <c r="K135" i="3" s="1"/>
  <c r="J136" i="3"/>
  <c r="J137" i="3"/>
  <c r="J138" i="3"/>
  <c r="J139" i="3"/>
  <c r="J140" i="3"/>
  <c r="J141" i="3"/>
  <c r="J142" i="3"/>
  <c r="J143" i="3"/>
  <c r="J144" i="3"/>
  <c r="J146" i="3"/>
  <c r="J147" i="3"/>
  <c r="J148" i="3"/>
  <c r="J149" i="3"/>
  <c r="J150" i="3"/>
  <c r="J152" i="3"/>
  <c r="J154" i="3"/>
  <c r="J155" i="3"/>
  <c r="J156" i="3"/>
  <c r="J157" i="3"/>
  <c r="J158" i="3"/>
  <c r="J159" i="3"/>
  <c r="J160" i="3"/>
  <c r="J161" i="3"/>
  <c r="J162" i="3"/>
  <c r="J163" i="3"/>
  <c r="J165" i="3"/>
  <c r="J166" i="3"/>
  <c r="J167" i="3"/>
  <c r="J168" i="3"/>
  <c r="J170" i="3"/>
  <c r="J173" i="3"/>
  <c r="J175" i="3"/>
  <c r="J176" i="3"/>
  <c r="J177" i="3"/>
  <c r="J178" i="3"/>
  <c r="J180" i="3"/>
  <c r="J181" i="3"/>
  <c r="K181" i="3" s="1"/>
  <c r="J182" i="3"/>
  <c r="J184" i="3"/>
  <c r="J185" i="3"/>
  <c r="J186" i="3"/>
  <c r="J187" i="3"/>
  <c r="J189" i="3"/>
  <c r="K189" i="3" s="1"/>
  <c r="J190" i="3"/>
  <c r="J191" i="3"/>
  <c r="J192" i="3"/>
  <c r="J193" i="3"/>
  <c r="J194" i="3"/>
  <c r="J196" i="3"/>
  <c r="J197" i="3"/>
  <c r="J199" i="3"/>
  <c r="J200" i="3"/>
  <c r="J201" i="3"/>
  <c r="J202" i="3"/>
  <c r="J204" i="3"/>
  <c r="J205" i="3"/>
  <c r="J206" i="3"/>
  <c r="J207" i="3"/>
  <c r="J208" i="3"/>
  <c r="J209" i="3"/>
  <c r="J210" i="3"/>
  <c r="J211" i="3"/>
  <c r="J212" i="3"/>
  <c r="J213" i="3"/>
  <c r="J215" i="3"/>
  <c r="J216" i="3"/>
  <c r="J218" i="3"/>
  <c r="J219" i="3"/>
  <c r="J220" i="3"/>
  <c r="J221" i="3"/>
  <c r="K221" i="3" s="1"/>
  <c r="J223" i="3"/>
  <c r="J224" i="3"/>
  <c r="J225" i="3"/>
  <c r="J226" i="3"/>
  <c r="J229" i="3"/>
  <c r="K229" i="3" s="1"/>
  <c r="J233" i="3"/>
  <c r="J234" i="3"/>
  <c r="J236" i="3"/>
  <c r="J237" i="3"/>
  <c r="J238" i="3"/>
  <c r="J240" i="3"/>
  <c r="J242" i="3"/>
  <c r="J243" i="3"/>
  <c r="J244" i="3"/>
  <c r="J245" i="3"/>
  <c r="K245" i="3" s="1"/>
  <c r="J246" i="3"/>
  <c r="J250" i="3"/>
  <c r="J253" i="3"/>
  <c r="K253" i="3" s="1"/>
  <c r="J255" i="3"/>
  <c r="K255" i="3" s="1"/>
  <c r="J256" i="3"/>
  <c r="J257" i="3"/>
  <c r="J258" i="3"/>
  <c r="K258" i="3" s="1"/>
  <c r="J260" i="3"/>
  <c r="J261" i="3"/>
  <c r="J263" i="3"/>
  <c r="J265" i="3"/>
  <c r="J266" i="3"/>
  <c r="J267" i="3"/>
  <c r="J268" i="3"/>
  <c r="J269" i="3"/>
  <c r="K269" i="3" s="1"/>
  <c r="J271" i="3"/>
  <c r="K271" i="3" s="1"/>
  <c r="J272" i="3"/>
  <c r="J273" i="3"/>
  <c r="J274" i="3"/>
  <c r="J275" i="3"/>
  <c r="J276" i="3"/>
  <c r="J277" i="3"/>
  <c r="K277" i="3" s="1"/>
  <c r="J279" i="3"/>
  <c r="J280" i="3"/>
  <c r="J281" i="3"/>
  <c r="J282" i="3"/>
  <c r="J284" i="3"/>
  <c r="J287" i="3"/>
  <c r="J289" i="3"/>
  <c r="K289" i="3" s="1"/>
  <c r="J290" i="3"/>
  <c r="J293" i="3"/>
  <c r="K293" i="3" s="1"/>
  <c r="J295" i="3"/>
  <c r="K295" i="3" s="1"/>
  <c r="J298" i="3"/>
  <c r="J299" i="3"/>
  <c r="J306" i="3"/>
  <c r="K306" i="3" s="1"/>
  <c r="J309" i="3"/>
  <c r="K309" i="3" s="1"/>
  <c r="J311" i="3"/>
  <c r="J312" i="3"/>
  <c r="J313" i="3"/>
  <c r="J314" i="3"/>
  <c r="J316" i="3"/>
  <c r="J317" i="3"/>
  <c r="K317" i="3" s="1"/>
  <c r="J318" i="3"/>
  <c r="J319" i="3"/>
  <c r="K319" i="3" s="1"/>
  <c r="J320" i="3"/>
  <c r="J322" i="3"/>
  <c r="J325" i="3"/>
  <c r="J328" i="3"/>
  <c r="J329" i="3"/>
  <c r="J330" i="3"/>
  <c r="J333" i="3"/>
  <c r="J334" i="3"/>
  <c r="J335" i="3"/>
  <c r="J336" i="3"/>
  <c r="J337" i="3"/>
  <c r="J338" i="3"/>
  <c r="J339" i="3"/>
  <c r="J341" i="3"/>
  <c r="J343" i="3"/>
  <c r="J344" i="3"/>
  <c r="J345" i="3"/>
  <c r="J346" i="3"/>
  <c r="J347" i="3"/>
  <c r="J349" i="3"/>
  <c r="K349" i="3" s="1"/>
  <c r="J352" i="3"/>
  <c r="J354" i="3"/>
  <c r="J360" i="3"/>
  <c r="J361" i="3"/>
  <c r="J364" i="3"/>
  <c r="J366" i="3"/>
  <c r="J369" i="3"/>
  <c r="J370" i="3"/>
  <c r="J373" i="3"/>
  <c r="K373" i="3" s="1"/>
  <c r="J377" i="3"/>
  <c r="J378" i="3"/>
  <c r="K378" i="3" s="1"/>
  <c r="J381" i="3"/>
  <c r="J383" i="3"/>
  <c r="J385" i="3"/>
  <c r="J386" i="3"/>
  <c r="K386" i="3" s="1"/>
  <c r="J388" i="3"/>
  <c r="J389" i="3"/>
  <c r="J391" i="3"/>
  <c r="J392" i="3"/>
  <c r="J393" i="3"/>
  <c r="J394" i="3"/>
  <c r="K394" i="3" s="1"/>
  <c r="J396" i="3"/>
  <c r="J397" i="3"/>
  <c r="J399" i="3"/>
  <c r="J401" i="3"/>
  <c r="J402" i="3"/>
  <c r="K402" i="3" s="1"/>
  <c r="J406" i="3"/>
  <c r="J407" i="3"/>
  <c r="J409" i="3"/>
  <c r="J410" i="3"/>
  <c r="K410" i="3" s="1"/>
  <c r="J411" i="3"/>
  <c r="J413" i="3"/>
  <c r="J414" i="3"/>
  <c r="I17" i="3"/>
  <c r="I18" i="3"/>
  <c r="I19" i="3"/>
  <c r="J19" i="3" s="1"/>
  <c r="I20" i="3"/>
  <c r="I21" i="3"/>
  <c r="I22" i="3"/>
  <c r="I23" i="3"/>
  <c r="J23" i="3" s="1"/>
  <c r="K23" i="3" s="1"/>
  <c r="I24" i="3"/>
  <c r="J24" i="3" s="1"/>
  <c r="I25" i="3"/>
  <c r="I26" i="3"/>
  <c r="J26" i="3" s="1"/>
  <c r="K26" i="3" s="1"/>
  <c r="I27" i="3"/>
  <c r="I28" i="3"/>
  <c r="I29" i="3"/>
  <c r="I30" i="3"/>
  <c r="I31" i="3"/>
  <c r="J31" i="3" s="1"/>
  <c r="I32" i="3"/>
  <c r="I33" i="3"/>
  <c r="I34" i="3"/>
  <c r="K34" i="3" s="1"/>
  <c r="I35" i="3"/>
  <c r="J35" i="3" s="1"/>
  <c r="I36" i="3"/>
  <c r="J36" i="3" s="1"/>
  <c r="I37" i="3"/>
  <c r="I38" i="3"/>
  <c r="J38" i="3" s="1"/>
  <c r="I39" i="3"/>
  <c r="I40" i="3"/>
  <c r="J40" i="3" s="1"/>
  <c r="K40" i="3" s="1"/>
  <c r="I41" i="3"/>
  <c r="I42" i="3"/>
  <c r="I43" i="3"/>
  <c r="J43" i="3" s="1"/>
  <c r="I44" i="3"/>
  <c r="J44" i="3" s="1"/>
  <c r="I45" i="3"/>
  <c r="I46" i="3"/>
  <c r="J46" i="3" s="1"/>
  <c r="I47" i="3"/>
  <c r="J47" i="3" s="1"/>
  <c r="I48" i="3"/>
  <c r="J48" i="3" s="1"/>
  <c r="K48" i="3" s="1"/>
  <c r="I49" i="3"/>
  <c r="J49" i="3" s="1"/>
  <c r="K49" i="3" s="1"/>
  <c r="I50" i="3"/>
  <c r="I51" i="3"/>
  <c r="J51" i="3" s="1"/>
  <c r="I52" i="3"/>
  <c r="I53" i="3"/>
  <c r="I54" i="3"/>
  <c r="J54" i="3" s="1"/>
  <c r="I55" i="3"/>
  <c r="I56" i="3"/>
  <c r="I57" i="3"/>
  <c r="J57" i="3" s="1"/>
  <c r="K57" i="3" s="1"/>
  <c r="I58" i="3"/>
  <c r="I59" i="3"/>
  <c r="J59" i="3" s="1"/>
  <c r="I60" i="3"/>
  <c r="J60" i="3" s="1"/>
  <c r="I61" i="3"/>
  <c r="I62" i="3"/>
  <c r="I63" i="3"/>
  <c r="J63" i="3" s="1"/>
  <c r="K63" i="3" s="1"/>
  <c r="I64" i="3"/>
  <c r="J64" i="3" s="1"/>
  <c r="I65" i="3"/>
  <c r="I66" i="3"/>
  <c r="J66" i="3" s="1"/>
  <c r="K66" i="3" s="1"/>
  <c r="I67" i="3"/>
  <c r="J67" i="3" s="1"/>
  <c r="I68" i="3"/>
  <c r="J68" i="3" s="1"/>
  <c r="I69" i="3"/>
  <c r="I70" i="3"/>
  <c r="I71" i="3"/>
  <c r="J71" i="3" s="1"/>
  <c r="K71" i="3" s="1"/>
  <c r="I72" i="3"/>
  <c r="I73" i="3"/>
  <c r="J73" i="3" s="1"/>
  <c r="K73" i="3" s="1"/>
  <c r="I74" i="3"/>
  <c r="I75" i="3"/>
  <c r="J75" i="3" s="1"/>
  <c r="I76" i="3"/>
  <c r="J76" i="3" s="1"/>
  <c r="I77" i="3"/>
  <c r="I78" i="3"/>
  <c r="I79" i="3"/>
  <c r="K79" i="3" s="1"/>
  <c r="I80" i="3"/>
  <c r="I81" i="3"/>
  <c r="J81" i="3" s="1"/>
  <c r="I82" i="3"/>
  <c r="K82" i="3" s="1"/>
  <c r="I83" i="3"/>
  <c r="I84" i="3"/>
  <c r="J84" i="3" s="1"/>
  <c r="I85" i="3"/>
  <c r="I86" i="3"/>
  <c r="I87" i="3"/>
  <c r="J87" i="3" s="1"/>
  <c r="I88" i="3"/>
  <c r="J88" i="3" s="1"/>
  <c r="K88" i="3" s="1"/>
  <c r="I89" i="3"/>
  <c r="I90" i="3"/>
  <c r="K90" i="3" s="1"/>
  <c r="I91" i="3"/>
  <c r="I92" i="3"/>
  <c r="J92" i="3" s="1"/>
  <c r="I93" i="3"/>
  <c r="I94" i="3"/>
  <c r="J94" i="3" s="1"/>
  <c r="I95" i="3"/>
  <c r="K95" i="3" s="1"/>
  <c r="I96" i="3"/>
  <c r="J96" i="3" s="1"/>
  <c r="I97" i="3"/>
  <c r="I98" i="3"/>
  <c r="I99" i="3"/>
  <c r="J99" i="3" s="1"/>
  <c r="I100" i="3"/>
  <c r="I101" i="3"/>
  <c r="J101" i="3" s="1"/>
  <c r="K101" i="3" s="1"/>
  <c r="I102" i="3"/>
  <c r="I103" i="3"/>
  <c r="K103" i="3" s="1"/>
  <c r="I104" i="3"/>
  <c r="J104" i="3" s="1"/>
  <c r="K104" i="3" s="1"/>
  <c r="I105" i="3"/>
  <c r="I106" i="3"/>
  <c r="I107" i="3"/>
  <c r="J107" i="3" s="1"/>
  <c r="I108" i="3"/>
  <c r="I109" i="3"/>
  <c r="K109" i="3" s="1"/>
  <c r="I110" i="3"/>
  <c r="J110" i="3" s="1"/>
  <c r="I111" i="3"/>
  <c r="K111" i="3" s="1"/>
  <c r="I112" i="3"/>
  <c r="I113" i="3"/>
  <c r="I114" i="3"/>
  <c r="K114" i="3" s="1"/>
  <c r="I115" i="3"/>
  <c r="I116" i="3"/>
  <c r="J116" i="3" s="1"/>
  <c r="I117" i="3"/>
  <c r="K117" i="3" s="1"/>
  <c r="I118" i="3"/>
  <c r="J118" i="3" s="1"/>
  <c r="I119" i="3"/>
  <c r="K119" i="3" s="1"/>
  <c r="I120" i="3"/>
  <c r="I121" i="3"/>
  <c r="I122" i="3"/>
  <c r="I123" i="3"/>
  <c r="J123" i="3" s="1"/>
  <c r="I124" i="3"/>
  <c r="J124" i="3" s="1"/>
  <c r="I125" i="3"/>
  <c r="I126" i="3"/>
  <c r="I127" i="3"/>
  <c r="J127" i="3" s="1"/>
  <c r="I128" i="3"/>
  <c r="J128" i="3" s="1"/>
  <c r="K128" i="3" s="1"/>
  <c r="I129" i="3"/>
  <c r="I130" i="3"/>
  <c r="I131" i="3"/>
  <c r="I132" i="3"/>
  <c r="I133" i="3"/>
  <c r="I134" i="3"/>
  <c r="I135" i="3"/>
  <c r="I136" i="3"/>
  <c r="I137" i="3"/>
  <c r="I138" i="3"/>
  <c r="I139" i="3"/>
  <c r="I140" i="3"/>
  <c r="I141" i="3"/>
  <c r="I142" i="3"/>
  <c r="I143" i="3"/>
  <c r="I144" i="3"/>
  <c r="I145" i="3"/>
  <c r="I146" i="3"/>
  <c r="K146" i="3" s="1"/>
  <c r="I147" i="3"/>
  <c r="I148" i="3"/>
  <c r="I149" i="3"/>
  <c r="I150" i="3"/>
  <c r="I151" i="3"/>
  <c r="J151" i="3" s="1"/>
  <c r="I152" i="3"/>
  <c r="I153" i="3"/>
  <c r="I154" i="3"/>
  <c r="K154" i="3" s="1"/>
  <c r="I155" i="3"/>
  <c r="I156" i="3"/>
  <c r="I157" i="3"/>
  <c r="K157" i="3" s="1"/>
  <c r="I158" i="3"/>
  <c r="I159" i="3"/>
  <c r="I160" i="3"/>
  <c r="I161" i="3"/>
  <c r="I162" i="3"/>
  <c r="I163" i="3"/>
  <c r="I164" i="3"/>
  <c r="I165" i="3"/>
  <c r="I166" i="3"/>
  <c r="I167" i="3"/>
  <c r="I168" i="3"/>
  <c r="I169" i="3"/>
  <c r="I170" i="3"/>
  <c r="K170" i="3" s="1"/>
  <c r="I171" i="3"/>
  <c r="J171" i="3" s="1"/>
  <c r="I172" i="3"/>
  <c r="J172" i="3" s="1"/>
  <c r="I173" i="3"/>
  <c r="I174" i="3"/>
  <c r="J174" i="3" s="1"/>
  <c r="I175" i="3"/>
  <c r="I176" i="3"/>
  <c r="I177" i="3"/>
  <c r="I178" i="3"/>
  <c r="I179" i="3"/>
  <c r="J179" i="3" s="1"/>
  <c r="I180" i="3"/>
  <c r="I181" i="3"/>
  <c r="I182" i="3"/>
  <c r="I183" i="3"/>
  <c r="J183" i="3" s="1"/>
  <c r="I184" i="3"/>
  <c r="I185" i="3"/>
  <c r="I186" i="3"/>
  <c r="K186" i="3" s="1"/>
  <c r="I187" i="3"/>
  <c r="I188" i="3"/>
  <c r="J188" i="3" s="1"/>
  <c r="I189" i="3"/>
  <c r="I190" i="3"/>
  <c r="I191" i="3"/>
  <c r="I192" i="3"/>
  <c r="I193" i="3"/>
  <c r="I194" i="3"/>
  <c r="I195" i="3"/>
  <c r="J195" i="3" s="1"/>
  <c r="I196" i="3"/>
  <c r="I197" i="3"/>
  <c r="I198" i="3"/>
  <c r="J198" i="3" s="1"/>
  <c r="I199" i="3"/>
  <c r="I200" i="3"/>
  <c r="I201" i="3"/>
  <c r="I202" i="3"/>
  <c r="K202" i="3" s="1"/>
  <c r="I203" i="3"/>
  <c r="J203" i="3" s="1"/>
  <c r="I204" i="3"/>
  <c r="I205" i="3"/>
  <c r="I206" i="3"/>
  <c r="I207" i="3"/>
  <c r="I208" i="3"/>
  <c r="I209" i="3"/>
  <c r="I210" i="3"/>
  <c r="I211" i="3"/>
  <c r="I212" i="3"/>
  <c r="I213" i="3"/>
  <c r="I214" i="3"/>
  <c r="J214" i="3" s="1"/>
  <c r="I215" i="3"/>
  <c r="I216" i="3"/>
  <c r="I217" i="3"/>
  <c r="I218" i="3"/>
  <c r="I219" i="3"/>
  <c r="I220" i="3"/>
  <c r="I221" i="3"/>
  <c r="I222" i="3"/>
  <c r="J222" i="3" s="1"/>
  <c r="I223" i="3"/>
  <c r="I224" i="3"/>
  <c r="I225" i="3"/>
  <c r="I226" i="3"/>
  <c r="K226" i="3" s="1"/>
  <c r="I227" i="3"/>
  <c r="J227" i="3" s="1"/>
  <c r="I228" i="3"/>
  <c r="J228" i="3" s="1"/>
  <c r="I229" i="3"/>
  <c r="I230" i="3"/>
  <c r="J230" i="3" s="1"/>
  <c r="I231" i="3"/>
  <c r="J231" i="3" s="1"/>
  <c r="I232" i="3"/>
  <c r="J232" i="3" s="1"/>
  <c r="K232" i="3" s="1"/>
  <c r="I233" i="3"/>
  <c r="I234" i="3"/>
  <c r="K234" i="3" s="1"/>
  <c r="I235" i="3"/>
  <c r="J235" i="3" s="1"/>
  <c r="I236" i="3"/>
  <c r="I237" i="3"/>
  <c r="I238" i="3"/>
  <c r="I239" i="3"/>
  <c r="J239" i="3" s="1"/>
  <c r="I240" i="3"/>
  <c r="I241" i="3"/>
  <c r="I242" i="3"/>
  <c r="I243" i="3"/>
  <c r="I244" i="3"/>
  <c r="I245" i="3"/>
  <c r="I246" i="3"/>
  <c r="I247" i="3"/>
  <c r="J247" i="3" s="1"/>
  <c r="I248" i="3"/>
  <c r="J248" i="3" s="1"/>
  <c r="K248" i="3" s="1"/>
  <c r="I249" i="3"/>
  <c r="J249" i="3" s="1"/>
  <c r="I250" i="3"/>
  <c r="I251" i="3"/>
  <c r="J251" i="3" s="1"/>
  <c r="I252" i="3"/>
  <c r="I253" i="3"/>
  <c r="I254" i="3"/>
  <c r="J254" i="3" s="1"/>
  <c r="I255" i="3"/>
  <c r="I256" i="3"/>
  <c r="K256" i="3" s="1"/>
  <c r="I257" i="3"/>
  <c r="I258" i="3"/>
  <c r="I259" i="3"/>
  <c r="J259" i="3" s="1"/>
  <c r="I260" i="3"/>
  <c r="I261" i="3"/>
  <c r="K261" i="3" s="1"/>
  <c r="I262" i="3"/>
  <c r="J262" i="3" s="1"/>
  <c r="I263" i="3"/>
  <c r="I264" i="3"/>
  <c r="J264" i="3" s="1"/>
  <c r="K264" i="3" s="1"/>
  <c r="I265" i="3"/>
  <c r="I266" i="3"/>
  <c r="I267" i="3"/>
  <c r="I268" i="3"/>
  <c r="I269" i="3"/>
  <c r="I270" i="3"/>
  <c r="J270" i="3" s="1"/>
  <c r="I271" i="3"/>
  <c r="I272" i="3"/>
  <c r="K272" i="3" s="1"/>
  <c r="I273" i="3"/>
  <c r="I274" i="3"/>
  <c r="K274" i="3" s="1"/>
  <c r="I275" i="3"/>
  <c r="I276" i="3"/>
  <c r="I277" i="3"/>
  <c r="I278" i="3"/>
  <c r="J278" i="3" s="1"/>
  <c r="I279" i="3"/>
  <c r="I280" i="3"/>
  <c r="I281" i="3"/>
  <c r="I282" i="3"/>
  <c r="I283" i="3"/>
  <c r="J283" i="3" s="1"/>
  <c r="I284" i="3"/>
  <c r="I285" i="3"/>
  <c r="J285" i="3" s="1"/>
  <c r="K285" i="3" s="1"/>
  <c r="I286" i="3"/>
  <c r="J286" i="3" s="1"/>
  <c r="I287" i="3"/>
  <c r="K287" i="3" s="1"/>
  <c r="I288" i="3"/>
  <c r="J288" i="3" s="1"/>
  <c r="I289" i="3"/>
  <c r="I290" i="3"/>
  <c r="I291" i="3"/>
  <c r="J291" i="3" s="1"/>
  <c r="I292" i="3"/>
  <c r="J292" i="3" s="1"/>
  <c r="I293" i="3"/>
  <c r="I294" i="3"/>
  <c r="I295" i="3"/>
  <c r="I296" i="3"/>
  <c r="I297" i="3"/>
  <c r="I298" i="3"/>
  <c r="I299" i="3"/>
  <c r="I300" i="3"/>
  <c r="I301" i="3"/>
  <c r="I302" i="3"/>
  <c r="I303" i="3"/>
  <c r="I304" i="3"/>
  <c r="J304" i="3" s="1"/>
  <c r="K304" i="3" s="1"/>
  <c r="I305" i="3"/>
  <c r="I306" i="3"/>
  <c r="I307" i="3"/>
  <c r="J307" i="3" s="1"/>
  <c r="I308" i="3"/>
  <c r="I309" i="3"/>
  <c r="I310" i="3"/>
  <c r="J310" i="3" s="1"/>
  <c r="I311" i="3"/>
  <c r="I312" i="3"/>
  <c r="I313" i="3"/>
  <c r="I314" i="3"/>
  <c r="K314" i="3" s="1"/>
  <c r="I315" i="3"/>
  <c r="J315" i="3" s="1"/>
  <c r="I316" i="3"/>
  <c r="I317" i="3"/>
  <c r="I318" i="3"/>
  <c r="I319" i="3"/>
  <c r="I320" i="3"/>
  <c r="I321" i="3"/>
  <c r="I322" i="3"/>
  <c r="I323" i="3"/>
  <c r="I324" i="3"/>
  <c r="J324" i="3" s="1"/>
  <c r="I325" i="3"/>
  <c r="I326" i="3"/>
  <c r="I327" i="3"/>
  <c r="J327" i="3" s="1"/>
  <c r="K327" i="3" s="1"/>
  <c r="I328" i="3"/>
  <c r="K328" i="3" s="1"/>
  <c r="I329" i="3"/>
  <c r="I330" i="3"/>
  <c r="I331" i="3"/>
  <c r="I332" i="3"/>
  <c r="J332" i="3" s="1"/>
  <c r="I333" i="3"/>
  <c r="I334" i="3"/>
  <c r="I335" i="3"/>
  <c r="I336" i="3"/>
  <c r="I337" i="3"/>
  <c r="K337" i="3" s="1"/>
  <c r="I338" i="3"/>
  <c r="I339" i="3"/>
  <c r="I340" i="3"/>
  <c r="J340" i="3" s="1"/>
  <c r="I341" i="3"/>
  <c r="I342" i="3"/>
  <c r="I343" i="3"/>
  <c r="I344" i="3"/>
  <c r="I345" i="3"/>
  <c r="K345" i="3" s="1"/>
  <c r="I346" i="3"/>
  <c r="K346" i="3" s="1"/>
  <c r="I347" i="3"/>
  <c r="I348" i="3"/>
  <c r="J348" i="3" s="1"/>
  <c r="I349" i="3"/>
  <c r="I350" i="3"/>
  <c r="J350" i="3" s="1"/>
  <c r="I351" i="3"/>
  <c r="J351" i="3" s="1"/>
  <c r="I352" i="3"/>
  <c r="I353" i="3"/>
  <c r="I354" i="3"/>
  <c r="K354" i="3" s="1"/>
  <c r="I355" i="3"/>
  <c r="J355" i="3" s="1"/>
  <c r="I356" i="3"/>
  <c r="I357" i="3"/>
  <c r="J357" i="3" s="1"/>
  <c r="K357" i="3" s="1"/>
  <c r="I358" i="3"/>
  <c r="I359" i="3"/>
  <c r="J359" i="3" s="1"/>
  <c r="I360" i="3"/>
  <c r="I361" i="3"/>
  <c r="I362" i="3"/>
  <c r="J362" i="3" s="1"/>
  <c r="I363" i="3"/>
  <c r="J363" i="3" s="1"/>
  <c r="I364" i="3"/>
  <c r="I365" i="3"/>
  <c r="J365" i="3" s="1"/>
  <c r="K365" i="3" s="1"/>
  <c r="I366" i="3"/>
  <c r="I367" i="3"/>
  <c r="J367" i="3" s="1"/>
  <c r="I368" i="3"/>
  <c r="J368" i="3" s="1"/>
  <c r="I369" i="3"/>
  <c r="I370" i="3"/>
  <c r="I371" i="3"/>
  <c r="J371" i="3" s="1"/>
  <c r="I372" i="3"/>
  <c r="J372" i="3" s="1"/>
  <c r="I373" i="3"/>
  <c r="I374" i="3"/>
  <c r="J374" i="3" s="1"/>
  <c r="I375" i="3"/>
  <c r="J375" i="3" s="1"/>
  <c r="I376" i="3"/>
  <c r="J376" i="3" s="1"/>
  <c r="K376" i="3" s="1"/>
  <c r="I377" i="3"/>
  <c r="K377" i="3" s="1"/>
  <c r="I378" i="3"/>
  <c r="I379" i="3"/>
  <c r="I380" i="3"/>
  <c r="I381" i="3"/>
  <c r="I382" i="3"/>
  <c r="J382" i="3" s="1"/>
  <c r="I383" i="3"/>
  <c r="I384" i="3"/>
  <c r="J384" i="3" s="1"/>
  <c r="I385" i="3"/>
  <c r="K385" i="3" s="1"/>
  <c r="I386" i="3"/>
  <c r="I387" i="3"/>
  <c r="I388" i="3"/>
  <c r="I389" i="3"/>
  <c r="I390" i="3"/>
  <c r="J390" i="3" s="1"/>
  <c r="I391" i="3"/>
  <c r="I392" i="3"/>
  <c r="I393" i="3"/>
  <c r="I394" i="3"/>
  <c r="I395" i="3"/>
  <c r="I396" i="3"/>
  <c r="I397" i="3"/>
  <c r="I398" i="3"/>
  <c r="J398" i="3" s="1"/>
  <c r="I399" i="3"/>
  <c r="I400" i="3"/>
  <c r="J400" i="3" s="1"/>
  <c r="I401" i="3"/>
  <c r="K401" i="3" s="1"/>
  <c r="I402" i="3"/>
  <c r="I403" i="3"/>
  <c r="I404" i="3"/>
  <c r="I405" i="3"/>
  <c r="J405" i="3" s="1"/>
  <c r="I406" i="3"/>
  <c r="I407" i="3"/>
  <c r="I408" i="3"/>
  <c r="J408" i="3" s="1"/>
  <c r="I409" i="3"/>
  <c r="K409" i="3" s="1"/>
  <c r="I410" i="3"/>
  <c r="I411" i="3"/>
  <c r="I412" i="3"/>
  <c r="I413" i="3"/>
  <c r="I414" i="3"/>
  <c r="L22" i="14" l="1"/>
  <c r="L102" i="14"/>
  <c r="L94" i="14"/>
  <c r="L46" i="14"/>
  <c r="L29" i="14"/>
  <c r="L84" i="14"/>
  <c r="L76" i="14"/>
  <c r="L36" i="14"/>
  <c r="K110" i="14"/>
  <c r="L110" i="14" s="1"/>
  <c r="K102" i="14"/>
  <c r="K94" i="14"/>
  <c r="K46" i="14"/>
  <c r="K22" i="14"/>
  <c r="L138" i="14"/>
  <c r="L122" i="14"/>
  <c r="L106" i="14"/>
  <c r="L98" i="14"/>
  <c r="L50" i="14"/>
  <c r="L42" i="14"/>
  <c r="L141" i="14"/>
  <c r="L108" i="14"/>
  <c r="K125" i="14"/>
  <c r="L125" i="14" s="1"/>
  <c r="K93" i="14"/>
  <c r="L93" i="14" s="1"/>
  <c r="K37" i="14"/>
  <c r="L37" i="14" s="1"/>
  <c r="K29" i="14"/>
  <c r="K100" i="14"/>
  <c r="L100" i="14" s="1"/>
  <c r="K84" i="14"/>
  <c r="K76" i="14"/>
  <c r="K36" i="14"/>
  <c r="K131" i="14"/>
  <c r="L131" i="14" s="1"/>
  <c r="K107" i="14"/>
  <c r="L107" i="14" s="1"/>
  <c r="K99" i="14"/>
  <c r="L99" i="14" s="1"/>
  <c r="K27" i="3"/>
  <c r="K403" i="3"/>
  <c r="K303" i="3"/>
  <c r="K301" i="3"/>
  <c r="K69" i="3"/>
  <c r="K61" i="3"/>
  <c r="K62" i="3"/>
  <c r="K412" i="3"/>
  <c r="K404" i="3"/>
  <c r="K380" i="3"/>
  <c r="K164" i="3"/>
  <c r="K100" i="3"/>
  <c r="J412" i="3"/>
  <c r="J404" i="3"/>
  <c r="J380" i="3"/>
  <c r="J358" i="3"/>
  <c r="K358" i="3" s="1"/>
  <c r="J331" i="3"/>
  <c r="K331" i="3" s="1"/>
  <c r="J323" i="3"/>
  <c r="K323" i="3" s="1"/>
  <c r="J302" i="3"/>
  <c r="K302" i="3" s="1"/>
  <c r="J100" i="3"/>
  <c r="J62" i="3"/>
  <c r="K363" i="3"/>
  <c r="K355" i="3"/>
  <c r="K315" i="3"/>
  <c r="K291" i="3"/>
  <c r="K118" i="3"/>
  <c r="K110" i="3"/>
  <c r="K99" i="3"/>
  <c r="K68" i="3"/>
  <c r="K59" i="3"/>
  <c r="K51" i="3"/>
  <c r="J403" i="3"/>
  <c r="J395" i="3"/>
  <c r="K395" i="3" s="1"/>
  <c r="J387" i="3"/>
  <c r="K387" i="3" s="1"/>
  <c r="J379" i="3"/>
  <c r="K379" i="3" s="1"/>
  <c r="J301" i="3"/>
  <c r="J131" i="3"/>
  <c r="K131" i="3" s="1"/>
  <c r="J69" i="3"/>
  <c r="J61" i="3"/>
  <c r="J41" i="3"/>
  <c r="K41" i="3" s="1"/>
  <c r="K362" i="3"/>
  <c r="K340" i="3"/>
  <c r="K332" i="3"/>
  <c r="K324" i="3"/>
  <c r="K270" i="3"/>
  <c r="K259" i="3"/>
  <c r="K249" i="3"/>
  <c r="K67" i="3"/>
  <c r="K38" i="3"/>
  <c r="J356" i="3"/>
  <c r="K356" i="3" s="1"/>
  <c r="J300" i="3"/>
  <c r="K300" i="3" s="1"/>
  <c r="J20" i="3"/>
  <c r="K20" i="3" s="1"/>
  <c r="K408" i="3"/>
  <c r="K400" i="3"/>
  <c r="K384" i="3"/>
  <c r="K348" i="3"/>
  <c r="K116" i="3"/>
  <c r="K84" i="3"/>
  <c r="K24" i="3"/>
  <c r="J252" i="3"/>
  <c r="K252" i="3" s="1"/>
  <c r="J164" i="3"/>
  <c r="J27" i="3"/>
  <c r="K288" i="3"/>
  <c r="K96" i="3"/>
  <c r="K35" i="3"/>
  <c r="K398" i="3"/>
  <c r="K390" i="3"/>
  <c r="K382" i="3"/>
  <c r="K368" i="3"/>
  <c r="K359" i="3"/>
  <c r="K64" i="3"/>
  <c r="K44" i="3"/>
  <c r="J342" i="3"/>
  <c r="K342" i="3" s="1"/>
  <c r="J326" i="3"/>
  <c r="K326" i="3" s="1"/>
  <c r="J308" i="3"/>
  <c r="K308" i="3" s="1"/>
  <c r="J296" i="3"/>
  <c r="K296" i="3" s="1"/>
  <c r="K405" i="3"/>
  <c r="K286" i="3"/>
  <c r="K94" i="3"/>
  <c r="K81" i="3"/>
  <c r="K54" i="3"/>
  <c r="K43" i="3"/>
  <c r="J134" i="3"/>
  <c r="K134" i="3" s="1"/>
  <c r="J303" i="3"/>
  <c r="J294" i="3"/>
  <c r="K294" i="3" s="1"/>
  <c r="K297" i="3"/>
  <c r="K217" i="3"/>
  <c r="K153" i="3"/>
  <c r="K89" i="3"/>
  <c r="K17" i="3"/>
  <c r="K247" i="3"/>
  <c r="J353" i="3"/>
  <c r="K353" i="3" s="1"/>
  <c r="J321" i="3"/>
  <c r="K321" i="3" s="1"/>
  <c r="J305" i="3"/>
  <c r="K305" i="3" s="1"/>
  <c r="J297" i="3"/>
  <c r="J241" i="3"/>
  <c r="K241" i="3" s="1"/>
  <c r="J217" i="3"/>
  <c r="J169" i="3"/>
  <c r="K169" i="3" s="1"/>
  <c r="J153" i="3"/>
  <c r="J145" i="3"/>
  <c r="K145" i="3" s="1"/>
  <c r="J129" i="3"/>
  <c r="K129" i="3" s="1"/>
  <c r="J105" i="3"/>
  <c r="K105" i="3" s="1"/>
  <c r="J89" i="3"/>
  <c r="J33" i="3"/>
  <c r="K33" i="3" s="1"/>
  <c r="J17" i="3"/>
  <c r="K375" i="3"/>
  <c r="K367" i="3"/>
  <c r="K351" i="3"/>
  <c r="K239" i="3"/>
  <c r="K231" i="3"/>
  <c r="K183" i="3"/>
  <c r="K151" i="3"/>
  <c r="K127" i="3"/>
  <c r="K87" i="3"/>
  <c r="K47" i="3"/>
  <c r="K31" i="3"/>
  <c r="K374" i="3"/>
  <c r="K350" i="3"/>
  <c r="K310" i="3"/>
  <c r="K278" i="3"/>
  <c r="K262" i="3"/>
  <c r="K254" i="3"/>
  <c r="K230" i="3"/>
  <c r="K222" i="3"/>
  <c r="K214" i="3"/>
  <c r="K198" i="3"/>
  <c r="K174" i="3"/>
  <c r="K46" i="3"/>
  <c r="K372" i="3"/>
  <c r="K292" i="3"/>
  <c r="K228" i="3"/>
  <c r="K188" i="3"/>
  <c r="K172" i="3"/>
  <c r="K124" i="3"/>
  <c r="K92" i="3"/>
  <c r="K76" i="3"/>
  <c r="K60" i="3"/>
  <c r="K36" i="3"/>
  <c r="K107" i="3"/>
  <c r="K283" i="3"/>
  <c r="K235" i="3"/>
  <c r="K179" i="3"/>
  <c r="K75" i="3"/>
  <c r="K371" i="3"/>
  <c r="K307" i="3"/>
  <c r="K251" i="3"/>
  <c r="K227" i="3"/>
  <c r="K203" i="3"/>
  <c r="K195" i="3"/>
  <c r="K171" i="3"/>
  <c r="K123" i="3"/>
  <c r="K19" i="3"/>
  <c r="J81" i="10"/>
  <c r="K81" i="10" s="1"/>
  <c r="J73" i="10"/>
  <c r="K73" i="10" s="1"/>
  <c r="J65" i="10"/>
  <c r="K65" i="10" s="1"/>
  <c r="J57" i="10"/>
  <c r="K57" i="10" s="1"/>
  <c r="J49" i="10"/>
  <c r="K49" i="10" s="1"/>
  <c r="J41" i="10"/>
  <c r="K41" i="10" s="1"/>
  <c r="J33" i="10"/>
  <c r="K33" i="10" s="1"/>
  <c r="J25" i="10"/>
  <c r="K25" i="10" s="1"/>
  <c r="K24" i="10"/>
  <c r="J58" i="10"/>
  <c r="K58" i="10" s="1"/>
  <c r="J42" i="10"/>
  <c r="K42" i="10" s="1"/>
  <c r="J18" i="10"/>
  <c r="K18" i="10" s="1"/>
  <c r="J72" i="10"/>
  <c r="K72" i="10" s="1"/>
  <c r="J56" i="10"/>
  <c r="K56" i="10" s="1"/>
  <c r="J40" i="10"/>
  <c r="K40" i="10" s="1"/>
  <c r="J79" i="10"/>
  <c r="K79" i="10" s="1"/>
  <c r="J71" i="10"/>
  <c r="K71" i="10" s="1"/>
  <c r="J63" i="10"/>
  <c r="K63" i="10" s="1"/>
  <c r="J55" i="10"/>
  <c r="K55" i="10" s="1"/>
  <c r="J47" i="10"/>
  <c r="K47" i="10" s="1"/>
  <c r="J39" i="10"/>
  <c r="K39" i="10" s="1"/>
  <c r="J31" i="10"/>
  <c r="K31" i="10" s="1"/>
  <c r="J23" i="10"/>
  <c r="K23" i="10" s="1"/>
  <c r="J66" i="10"/>
  <c r="K66" i="10" s="1"/>
  <c r="J50" i="10"/>
  <c r="K50" i="10" s="1"/>
  <c r="J26" i="10"/>
  <c r="K26" i="10" s="1"/>
  <c r="K74" i="10"/>
  <c r="K34" i="10"/>
  <c r="J80" i="10"/>
  <c r="K80" i="10" s="1"/>
  <c r="J64" i="10"/>
  <c r="K64" i="10" s="1"/>
  <c r="J48" i="10"/>
  <c r="K48" i="10" s="1"/>
  <c r="J32" i="10"/>
  <c r="K32" i="10" s="1"/>
  <c r="J78" i="10"/>
  <c r="K78" i="10" s="1"/>
  <c r="J70" i="10"/>
  <c r="K70" i="10" s="1"/>
  <c r="J62" i="10"/>
  <c r="K62" i="10" s="1"/>
  <c r="J54" i="10"/>
  <c r="K54" i="10" s="1"/>
  <c r="J46" i="10"/>
  <c r="K46" i="10" s="1"/>
  <c r="J38" i="10"/>
  <c r="K38" i="10" s="1"/>
  <c r="J30" i="10"/>
  <c r="K30" i="10" s="1"/>
  <c r="J22" i="10"/>
  <c r="K22" i="10" s="1"/>
  <c r="J77" i="10"/>
  <c r="K77" i="10" s="1"/>
  <c r="J69" i="10"/>
  <c r="K69" i="10" s="1"/>
  <c r="J61" i="10"/>
  <c r="K61" i="10" s="1"/>
  <c r="J53" i="10"/>
  <c r="K53" i="10" s="1"/>
  <c r="J29" i="10"/>
  <c r="K29" i="10" s="1"/>
  <c r="J21" i="10"/>
  <c r="K21" i="10" s="1"/>
  <c r="K45" i="10"/>
  <c r="K37" i="10"/>
  <c r="J76" i="10"/>
  <c r="K76" i="10" s="1"/>
  <c r="J68" i="10"/>
  <c r="K68" i="10" s="1"/>
  <c r="J60" i="10"/>
  <c r="K60" i="10" s="1"/>
  <c r="J52" i="10"/>
  <c r="K52" i="10" s="1"/>
  <c r="J44" i="10"/>
  <c r="K44" i="10" s="1"/>
  <c r="J36" i="10"/>
  <c r="K36" i="10" s="1"/>
  <c r="J28" i="10"/>
  <c r="K28" i="10" s="1"/>
  <c r="J20" i="10"/>
  <c r="K20" i="10" s="1"/>
  <c r="J75" i="10"/>
  <c r="K75" i="10" s="1"/>
  <c r="J67" i="10"/>
  <c r="K67" i="10" s="1"/>
  <c r="J59" i="10"/>
  <c r="K59" i="10" s="1"/>
  <c r="J51" i="10"/>
  <c r="K51" i="10" s="1"/>
  <c r="J43" i="10"/>
  <c r="K43" i="10" s="1"/>
  <c r="J35" i="10"/>
  <c r="K35" i="10" s="1"/>
  <c r="J27" i="10"/>
  <c r="K27" i="10" s="1"/>
  <c r="J19" i="10"/>
  <c r="K19" i="10" s="1"/>
  <c r="I16" i="3"/>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7" i="5"/>
  <c r="F3" i="1"/>
  <c r="H18" i="13"/>
  <c r="H19" i="13"/>
  <c r="H20" i="13"/>
  <c r="H21" i="13"/>
  <c r="H22" i="13"/>
  <c r="H23" i="13"/>
  <c r="H24" i="13"/>
  <c r="H25" i="13"/>
  <c r="H26" i="13"/>
  <c r="H27" i="13"/>
  <c r="H28" i="13"/>
  <c r="H29" i="13"/>
  <c r="H30" i="13"/>
  <c r="H31" i="13"/>
  <c r="H32" i="13"/>
  <c r="H33" i="13"/>
  <c r="H34" i="13"/>
  <c r="H35" i="13"/>
  <c r="H36" i="13"/>
  <c r="H37" i="13"/>
  <c r="H38" i="13"/>
  <c r="H17" i="13"/>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H312" i="1"/>
  <c r="I312" i="1" s="1"/>
  <c r="H313" i="1"/>
  <c r="I313" i="1" s="1"/>
  <c r="H314" i="1"/>
  <c r="I314" i="1" s="1"/>
  <c r="H315" i="1"/>
  <c r="I315" i="1" s="1"/>
  <c r="H316" i="1"/>
  <c r="I316" i="1" s="1"/>
  <c r="H317" i="1"/>
  <c r="I317" i="1" s="1"/>
  <c r="H318" i="1"/>
  <c r="I318" i="1" s="1"/>
  <c r="H319" i="1"/>
  <c r="I319" i="1" s="1"/>
  <c r="H320" i="1"/>
  <c r="I320" i="1" s="1"/>
  <c r="H321" i="1"/>
  <c r="I321" i="1" s="1"/>
  <c r="H322" i="1"/>
  <c r="I322" i="1" s="1"/>
  <c r="H323" i="1"/>
  <c r="I323" i="1" s="1"/>
  <c r="H324" i="1"/>
  <c r="I324" i="1" s="1"/>
  <c r="H325" i="1"/>
  <c r="I325" i="1" s="1"/>
  <c r="H326" i="1"/>
  <c r="I326" i="1" s="1"/>
  <c r="H327" i="1"/>
  <c r="I327" i="1" s="1"/>
  <c r="H328" i="1"/>
  <c r="I328" i="1" s="1"/>
  <c r="H329" i="1"/>
  <c r="I329" i="1" s="1"/>
  <c r="H330" i="1"/>
  <c r="I330" i="1" s="1"/>
  <c r="H331" i="1"/>
  <c r="I331" i="1" s="1"/>
  <c r="H332" i="1"/>
  <c r="I332" i="1" s="1"/>
  <c r="H333" i="1"/>
  <c r="I333" i="1" s="1"/>
  <c r="H334" i="1"/>
  <c r="I334" i="1" s="1"/>
  <c r="H335" i="1"/>
  <c r="I335" i="1" s="1"/>
  <c r="H336" i="1"/>
  <c r="I336" i="1" s="1"/>
  <c r="H337" i="1"/>
  <c r="I337" i="1" s="1"/>
  <c r="H338" i="1"/>
  <c r="I338" i="1" s="1"/>
  <c r="H339" i="1"/>
  <c r="I339" i="1" s="1"/>
  <c r="H340" i="1"/>
  <c r="I340" i="1" s="1"/>
  <c r="H341" i="1"/>
  <c r="I341" i="1" s="1"/>
  <c r="H342" i="1"/>
  <c r="I342" i="1" s="1"/>
  <c r="H343" i="1"/>
  <c r="I343" i="1" s="1"/>
  <c r="H344" i="1"/>
  <c r="I344" i="1" s="1"/>
  <c r="H345" i="1"/>
  <c r="I345" i="1" s="1"/>
  <c r="H346" i="1"/>
  <c r="I346" i="1" s="1"/>
  <c r="H347" i="1"/>
  <c r="I347" i="1" s="1"/>
  <c r="H348" i="1"/>
  <c r="I348" i="1" s="1"/>
  <c r="H349" i="1"/>
  <c r="I349" i="1" s="1"/>
  <c r="H350" i="1"/>
  <c r="I350" i="1" s="1"/>
  <c r="H351" i="1"/>
  <c r="I351" i="1" s="1"/>
  <c r="H352" i="1"/>
  <c r="I352" i="1" s="1"/>
  <c r="H353" i="1"/>
  <c r="I353" i="1" s="1"/>
  <c r="H354" i="1"/>
  <c r="I354" i="1" s="1"/>
  <c r="H355" i="1"/>
  <c r="I355" i="1" s="1"/>
  <c r="H356" i="1"/>
  <c r="I356" i="1" s="1"/>
  <c r="H357" i="1"/>
  <c r="I357" i="1" s="1"/>
  <c r="H358" i="1"/>
  <c r="I358" i="1" s="1"/>
  <c r="H359" i="1"/>
  <c r="I359" i="1" s="1"/>
  <c r="H360" i="1"/>
  <c r="I360" i="1" s="1"/>
  <c r="H361" i="1"/>
  <c r="I361" i="1" s="1"/>
  <c r="H362" i="1"/>
  <c r="I362" i="1" s="1"/>
  <c r="H363" i="1"/>
  <c r="I363" i="1" s="1"/>
  <c r="H364" i="1"/>
  <c r="I364" i="1" s="1"/>
  <c r="H365" i="1"/>
  <c r="I365" i="1" s="1"/>
  <c r="H366" i="1"/>
  <c r="I366" i="1" s="1"/>
  <c r="H367" i="1"/>
  <c r="I367" i="1" s="1"/>
  <c r="H368" i="1"/>
  <c r="I368" i="1" s="1"/>
  <c r="H369" i="1"/>
  <c r="I369" i="1" s="1"/>
  <c r="H370" i="1"/>
  <c r="I370" i="1" s="1"/>
  <c r="H371" i="1"/>
  <c r="I371" i="1" s="1"/>
  <c r="H372" i="1"/>
  <c r="I372" i="1" s="1"/>
  <c r="H373" i="1"/>
  <c r="I373" i="1" s="1"/>
  <c r="H374" i="1"/>
  <c r="I374" i="1" s="1"/>
  <c r="H375" i="1"/>
  <c r="I375" i="1" s="1"/>
  <c r="H376" i="1"/>
  <c r="I376" i="1" s="1"/>
  <c r="H377" i="1"/>
  <c r="I377" i="1" s="1"/>
  <c r="H378" i="1"/>
  <c r="I378" i="1" s="1"/>
  <c r="H379" i="1"/>
  <c r="I379" i="1" s="1"/>
  <c r="H380" i="1"/>
  <c r="I380" i="1" s="1"/>
  <c r="H381" i="1"/>
  <c r="I381" i="1" s="1"/>
  <c r="H382" i="1"/>
  <c r="I382" i="1" s="1"/>
  <c r="H383" i="1"/>
  <c r="I383" i="1" s="1"/>
  <c r="H384" i="1"/>
  <c r="I384" i="1" s="1"/>
  <c r="H385" i="1"/>
  <c r="I385" i="1" s="1"/>
  <c r="H386" i="1"/>
  <c r="I386" i="1" s="1"/>
  <c r="H387" i="1"/>
  <c r="I387" i="1" s="1"/>
  <c r="H388" i="1"/>
  <c r="I388" i="1" s="1"/>
  <c r="H389" i="1"/>
  <c r="I389" i="1" s="1"/>
  <c r="H390" i="1"/>
  <c r="I390" i="1" s="1"/>
  <c r="H391" i="1"/>
  <c r="I391" i="1" s="1"/>
  <c r="H392" i="1"/>
  <c r="I392" i="1" s="1"/>
  <c r="H393" i="1"/>
  <c r="I393" i="1" s="1"/>
  <c r="H394" i="1"/>
  <c r="I394" i="1" s="1"/>
  <c r="H395" i="1"/>
  <c r="I395" i="1" s="1"/>
  <c r="H396" i="1"/>
  <c r="I396" i="1" s="1"/>
  <c r="H397" i="1"/>
  <c r="I397" i="1" s="1"/>
  <c r="H398" i="1"/>
  <c r="I398" i="1" s="1"/>
  <c r="H399" i="1"/>
  <c r="I399" i="1" s="1"/>
  <c r="H400" i="1"/>
  <c r="I400" i="1" s="1"/>
  <c r="H401" i="1"/>
  <c r="I401" i="1" s="1"/>
  <c r="H402" i="1"/>
  <c r="I402" i="1" s="1"/>
  <c r="H403" i="1"/>
  <c r="I403" i="1" s="1"/>
  <c r="H404" i="1"/>
  <c r="I404" i="1" s="1"/>
  <c r="H405" i="1"/>
  <c r="I405" i="1" s="1"/>
  <c r="H406" i="1"/>
  <c r="I406" i="1" s="1"/>
  <c r="H407" i="1"/>
  <c r="I407" i="1" s="1"/>
  <c r="H408" i="1"/>
  <c r="I408" i="1" s="1"/>
  <c r="H409" i="1"/>
  <c r="I409" i="1" s="1"/>
  <c r="H410" i="1"/>
  <c r="I410" i="1" s="1"/>
  <c r="H411" i="1"/>
  <c r="I411" i="1" s="1"/>
  <c r="H412" i="1"/>
  <c r="I412" i="1" s="1"/>
  <c r="H413" i="1"/>
  <c r="I413" i="1" s="1"/>
  <c r="H414" i="1"/>
  <c r="I414" i="1" s="1"/>
  <c r="H415" i="1"/>
  <c r="I415" i="1" s="1"/>
  <c r="H416" i="1"/>
  <c r="I416" i="1" s="1"/>
  <c r="H417" i="1"/>
  <c r="I417" i="1" s="1"/>
  <c r="H418" i="1"/>
  <c r="I418" i="1" s="1"/>
  <c r="H419" i="1"/>
  <c r="I419" i="1" s="1"/>
  <c r="H420" i="1"/>
  <c r="I420" i="1" s="1"/>
  <c r="H421" i="1"/>
  <c r="I421" i="1" s="1"/>
  <c r="H422" i="1"/>
  <c r="I422" i="1" s="1"/>
  <c r="H423" i="1"/>
  <c r="I423" i="1" s="1"/>
  <c r="H424" i="1"/>
  <c r="I424" i="1" s="1"/>
  <c r="H425" i="1"/>
  <c r="I425" i="1" s="1"/>
  <c r="H426" i="1"/>
  <c r="I426" i="1" s="1"/>
  <c r="H427" i="1"/>
  <c r="I427" i="1" s="1"/>
  <c r="H428" i="1"/>
  <c r="I428" i="1" s="1"/>
  <c r="H429" i="1"/>
  <c r="I429" i="1" s="1"/>
  <c r="H430" i="1"/>
  <c r="I430" i="1" s="1"/>
  <c r="H431" i="1"/>
  <c r="I431" i="1" s="1"/>
  <c r="H432" i="1"/>
  <c r="I432" i="1" s="1"/>
  <c r="H433" i="1"/>
  <c r="I433" i="1" s="1"/>
  <c r="H434" i="1"/>
  <c r="I434" i="1" s="1"/>
  <c r="H435" i="1"/>
  <c r="I435" i="1" s="1"/>
  <c r="H436" i="1"/>
  <c r="I436" i="1" s="1"/>
  <c r="H437" i="1"/>
  <c r="I437" i="1" s="1"/>
  <c r="H438" i="1"/>
  <c r="I438" i="1" s="1"/>
  <c r="H439" i="1"/>
  <c r="I439" i="1" s="1"/>
  <c r="H440" i="1"/>
  <c r="I440" i="1" s="1"/>
  <c r="H441" i="1"/>
  <c r="I441" i="1" s="1"/>
  <c r="H442" i="1"/>
  <c r="I442" i="1" s="1"/>
  <c r="H443" i="1"/>
  <c r="I443" i="1" s="1"/>
  <c r="H444" i="1"/>
  <c r="I444" i="1" s="1"/>
  <c r="H445" i="1"/>
  <c r="I445" i="1" s="1"/>
  <c r="H446" i="1"/>
  <c r="I446" i="1" s="1"/>
  <c r="H447" i="1"/>
  <c r="I447" i="1" s="1"/>
  <c r="H448" i="1"/>
  <c r="I448" i="1" s="1"/>
  <c r="H449" i="1"/>
  <c r="I449" i="1" s="1"/>
  <c r="H450" i="1"/>
  <c r="I450" i="1" s="1"/>
  <c r="H451" i="1"/>
  <c r="I451" i="1" s="1"/>
  <c r="H452" i="1"/>
  <c r="I452" i="1" s="1"/>
  <c r="H453" i="1"/>
  <c r="I453" i="1" s="1"/>
  <c r="H454" i="1"/>
  <c r="I454" i="1" s="1"/>
  <c r="H455" i="1"/>
  <c r="I455" i="1" s="1"/>
  <c r="H456" i="1"/>
  <c r="I456" i="1" s="1"/>
  <c r="H457" i="1"/>
  <c r="I457" i="1" s="1"/>
  <c r="H458" i="1"/>
  <c r="I458" i="1" s="1"/>
  <c r="H459" i="1"/>
  <c r="I459" i="1" s="1"/>
  <c r="H460" i="1"/>
  <c r="I460" i="1" s="1"/>
  <c r="H461" i="1"/>
  <c r="I461" i="1" s="1"/>
  <c r="H462" i="1"/>
  <c r="I462" i="1" s="1"/>
  <c r="H463" i="1"/>
  <c r="I463" i="1" s="1"/>
  <c r="H464" i="1"/>
  <c r="I464" i="1" s="1"/>
  <c r="H465" i="1"/>
  <c r="I465" i="1" s="1"/>
  <c r="H466" i="1"/>
  <c r="I466" i="1" s="1"/>
  <c r="H467" i="1"/>
  <c r="I467" i="1" s="1"/>
  <c r="H468" i="1"/>
  <c r="I468" i="1" s="1"/>
  <c r="H469" i="1"/>
  <c r="I469" i="1" s="1"/>
  <c r="H470" i="1"/>
  <c r="I470" i="1" s="1"/>
  <c r="H471" i="1"/>
  <c r="I471" i="1" s="1"/>
  <c r="H472" i="1"/>
  <c r="I472" i="1" s="1"/>
  <c r="H473" i="1"/>
  <c r="I473" i="1" s="1"/>
  <c r="H474" i="1"/>
  <c r="I474" i="1" s="1"/>
  <c r="H475" i="1"/>
  <c r="I475" i="1" s="1"/>
  <c r="H476" i="1"/>
  <c r="I476" i="1" s="1"/>
  <c r="H477" i="1"/>
  <c r="I477" i="1" s="1"/>
  <c r="H478" i="1"/>
  <c r="I478" i="1" s="1"/>
  <c r="H479" i="1"/>
  <c r="I479" i="1" s="1"/>
  <c r="H480" i="1"/>
  <c r="I480" i="1" s="1"/>
  <c r="H481" i="1"/>
  <c r="I481" i="1" s="1"/>
  <c r="H482" i="1"/>
  <c r="I482" i="1" s="1"/>
  <c r="H483" i="1"/>
  <c r="I483" i="1" s="1"/>
  <c r="H484" i="1"/>
  <c r="I484" i="1" s="1"/>
  <c r="H485" i="1"/>
  <c r="I485" i="1" s="1"/>
  <c r="H486" i="1"/>
  <c r="I486" i="1" s="1"/>
  <c r="H487" i="1"/>
  <c r="I487" i="1" s="1"/>
  <c r="H488" i="1"/>
  <c r="I488" i="1" s="1"/>
  <c r="H489" i="1"/>
  <c r="I489" i="1" s="1"/>
  <c r="H490" i="1"/>
  <c r="I490" i="1" s="1"/>
  <c r="H491" i="1"/>
  <c r="I491" i="1" s="1"/>
  <c r="H492" i="1"/>
  <c r="I492" i="1" s="1"/>
  <c r="H493" i="1"/>
  <c r="I493" i="1" s="1"/>
  <c r="H494" i="1"/>
  <c r="I494" i="1" s="1"/>
  <c r="H495" i="1"/>
  <c r="I495" i="1" s="1"/>
  <c r="H496" i="1"/>
  <c r="I496" i="1" s="1"/>
  <c r="H497" i="1"/>
  <c r="I497" i="1" s="1"/>
  <c r="H498" i="1"/>
  <c r="I498" i="1" s="1"/>
  <c r="H499" i="1"/>
  <c r="I499" i="1" s="1"/>
  <c r="H500" i="1"/>
  <c r="I500" i="1" s="1"/>
  <c r="H501" i="1"/>
  <c r="I501" i="1" s="1"/>
  <c r="H502" i="1"/>
  <c r="I502" i="1" s="1"/>
  <c r="H503" i="1"/>
  <c r="I503" i="1" s="1"/>
  <c r="H504" i="1"/>
  <c r="I504" i="1" s="1"/>
  <c r="H505" i="1"/>
  <c r="I505" i="1" s="1"/>
  <c r="H506" i="1"/>
  <c r="I506" i="1" s="1"/>
  <c r="H507" i="1"/>
  <c r="I507" i="1" s="1"/>
  <c r="H508" i="1"/>
  <c r="I508" i="1" s="1"/>
  <c r="H509" i="1"/>
  <c r="I509" i="1" s="1"/>
  <c r="H510" i="1"/>
  <c r="I510" i="1" s="1"/>
  <c r="H511" i="1"/>
  <c r="I511" i="1" s="1"/>
  <c r="H512" i="1"/>
  <c r="I512" i="1" s="1"/>
  <c r="H513" i="1"/>
  <c r="I513" i="1" s="1"/>
  <c r="H514" i="1"/>
  <c r="I514" i="1" s="1"/>
  <c r="H515" i="1"/>
  <c r="I515" i="1" s="1"/>
  <c r="H516" i="1"/>
  <c r="I516" i="1" s="1"/>
  <c r="H517" i="1"/>
  <c r="I517" i="1" s="1"/>
  <c r="H518" i="1"/>
  <c r="I518" i="1" s="1"/>
  <c r="H519" i="1"/>
  <c r="I519" i="1" s="1"/>
  <c r="H520" i="1"/>
  <c r="I520" i="1" s="1"/>
  <c r="H521" i="1"/>
  <c r="I521" i="1" s="1"/>
  <c r="H522" i="1"/>
  <c r="I522" i="1" s="1"/>
  <c r="H523" i="1"/>
  <c r="I523" i="1" s="1"/>
  <c r="H524" i="1"/>
  <c r="I524" i="1" s="1"/>
  <c r="H525" i="1"/>
  <c r="I525" i="1" s="1"/>
  <c r="H526" i="1"/>
  <c r="I526" i="1" s="1"/>
  <c r="H527" i="1"/>
  <c r="I527" i="1" s="1"/>
  <c r="H528" i="1"/>
  <c r="I528" i="1" s="1"/>
  <c r="H529" i="1"/>
  <c r="I529" i="1" s="1"/>
  <c r="H530" i="1"/>
  <c r="I530" i="1" s="1"/>
  <c r="H531" i="1"/>
  <c r="I531" i="1" s="1"/>
  <c r="H532" i="1"/>
  <c r="I532" i="1" s="1"/>
  <c r="H533" i="1"/>
  <c r="I533" i="1" s="1"/>
  <c r="H534" i="1"/>
  <c r="I534" i="1" s="1"/>
  <c r="H535" i="1"/>
  <c r="I535" i="1" s="1"/>
  <c r="H536" i="1"/>
  <c r="I536" i="1" s="1"/>
  <c r="H537" i="1"/>
  <c r="I537" i="1" s="1"/>
  <c r="H538" i="1"/>
  <c r="I538" i="1" s="1"/>
  <c r="H539" i="1"/>
  <c r="I539" i="1" s="1"/>
  <c r="H540" i="1"/>
  <c r="I540" i="1" s="1"/>
  <c r="H541" i="1"/>
  <c r="I541" i="1" s="1"/>
  <c r="H542" i="1"/>
  <c r="I542" i="1" s="1"/>
  <c r="H543" i="1"/>
  <c r="I543" i="1" s="1"/>
  <c r="H544" i="1"/>
  <c r="I544" i="1" s="1"/>
  <c r="H545" i="1"/>
  <c r="I545" i="1" s="1"/>
  <c r="H546" i="1"/>
  <c r="I546" i="1" s="1"/>
  <c r="H547" i="1"/>
  <c r="I547" i="1" s="1"/>
  <c r="H548" i="1"/>
  <c r="I548" i="1" s="1"/>
  <c r="H549" i="1"/>
  <c r="I549" i="1" s="1"/>
  <c r="H550" i="1"/>
  <c r="I550" i="1" s="1"/>
  <c r="H551" i="1"/>
  <c r="I551" i="1" s="1"/>
  <c r="H552" i="1"/>
  <c r="I552" i="1" s="1"/>
  <c r="H553" i="1"/>
  <c r="I553" i="1" s="1"/>
  <c r="H554" i="1"/>
  <c r="I554" i="1" s="1"/>
  <c r="H555" i="1"/>
  <c r="I555" i="1" s="1"/>
  <c r="H556" i="1"/>
  <c r="I556" i="1" s="1"/>
  <c r="H557" i="1"/>
  <c r="I557" i="1" s="1"/>
  <c r="H558" i="1"/>
  <c r="I558" i="1" s="1"/>
  <c r="H559" i="1"/>
  <c r="I559" i="1" s="1"/>
  <c r="H560" i="1"/>
  <c r="I560" i="1" s="1"/>
  <c r="H561" i="1"/>
  <c r="I561" i="1" s="1"/>
  <c r="H562" i="1"/>
  <c r="I562" i="1" s="1"/>
  <c r="H563" i="1"/>
  <c r="I563" i="1" s="1"/>
  <c r="H564" i="1"/>
  <c r="I564" i="1" s="1"/>
  <c r="H565" i="1"/>
  <c r="I565" i="1" s="1"/>
  <c r="H566" i="1"/>
  <c r="I566" i="1" s="1"/>
  <c r="H567" i="1"/>
  <c r="I567" i="1" s="1"/>
  <c r="H568" i="1"/>
  <c r="I568" i="1" s="1"/>
  <c r="H569" i="1"/>
  <c r="I569" i="1" s="1"/>
  <c r="H570" i="1"/>
  <c r="I570" i="1" s="1"/>
  <c r="H571" i="1"/>
  <c r="I571" i="1" s="1"/>
  <c r="H572" i="1"/>
  <c r="I572" i="1" s="1"/>
  <c r="H573" i="1"/>
  <c r="I573" i="1" s="1"/>
  <c r="H574" i="1"/>
  <c r="I574" i="1" s="1"/>
  <c r="H575" i="1"/>
  <c r="I575" i="1" s="1"/>
  <c r="H576" i="1"/>
  <c r="I576" i="1" s="1"/>
  <c r="H577" i="1"/>
  <c r="I577" i="1" s="1"/>
  <c r="H578" i="1"/>
  <c r="I578" i="1" s="1"/>
  <c r="H579" i="1"/>
  <c r="I579" i="1" s="1"/>
  <c r="H580" i="1"/>
  <c r="I580" i="1" s="1"/>
  <c r="H581" i="1"/>
  <c r="I581" i="1" s="1"/>
  <c r="H582" i="1"/>
  <c r="I582" i="1" s="1"/>
  <c r="H583" i="1"/>
  <c r="I583" i="1" s="1"/>
  <c r="H584" i="1"/>
  <c r="I584" i="1" s="1"/>
  <c r="H585" i="1"/>
  <c r="I585" i="1" s="1"/>
  <c r="H586" i="1"/>
  <c r="I586" i="1" s="1"/>
  <c r="H587" i="1"/>
  <c r="I587" i="1" s="1"/>
  <c r="H588" i="1"/>
  <c r="I588" i="1" s="1"/>
  <c r="H589" i="1"/>
  <c r="I589" i="1" s="1"/>
  <c r="H590" i="1"/>
  <c r="I590" i="1" s="1"/>
  <c r="H591" i="1"/>
  <c r="I591" i="1" s="1"/>
  <c r="H592" i="1"/>
  <c r="I592" i="1" s="1"/>
  <c r="H593" i="1"/>
  <c r="I593" i="1" s="1"/>
  <c r="H594" i="1"/>
  <c r="I594" i="1" s="1"/>
  <c r="H595" i="1"/>
  <c r="I595" i="1" s="1"/>
  <c r="H596" i="1"/>
  <c r="I596" i="1" s="1"/>
  <c r="H597" i="1"/>
  <c r="I597" i="1" s="1"/>
  <c r="H598" i="1"/>
  <c r="I598" i="1" s="1"/>
  <c r="H599" i="1"/>
  <c r="I599" i="1" s="1"/>
  <c r="H600" i="1"/>
  <c r="I600" i="1" s="1"/>
  <c r="H601" i="1"/>
  <c r="I601" i="1" s="1"/>
  <c r="H602" i="1"/>
  <c r="I602" i="1" s="1"/>
  <c r="H603" i="1"/>
  <c r="I603" i="1" s="1"/>
  <c r="H604" i="1"/>
  <c r="I604" i="1" s="1"/>
  <c r="H605" i="1"/>
  <c r="I605" i="1" s="1"/>
  <c r="H606" i="1"/>
  <c r="I606" i="1" s="1"/>
  <c r="H607" i="1"/>
  <c r="I607" i="1" s="1"/>
  <c r="H608" i="1"/>
  <c r="I608" i="1" s="1"/>
  <c r="H609" i="1"/>
  <c r="I609" i="1" s="1"/>
  <c r="H610" i="1"/>
  <c r="I610" i="1" s="1"/>
  <c r="H611" i="1"/>
  <c r="I611" i="1" s="1"/>
  <c r="H612" i="1"/>
  <c r="I612" i="1" s="1"/>
  <c r="H613" i="1"/>
  <c r="I613" i="1" s="1"/>
  <c r="H614" i="1"/>
  <c r="I614" i="1" s="1"/>
  <c r="H615" i="1"/>
  <c r="I615" i="1" s="1"/>
  <c r="H616" i="1"/>
  <c r="I616" i="1" s="1"/>
  <c r="H617" i="1"/>
  <c r="I617" i="1" s="1"/>
  <c r="H618" i="1"/>
  <c r="I618" i="1" s="1"/>
  <c r="H619" i="1"/>
  <c r="I619" i="1" s="1"/>
  <c r="H620" i="1"/>
  <c r="I620" i="1" s="1"/>
  <c r="H621" i="1"/>
  <c r="I621" i="1" s="1"/>
  <c r="H622" i="1"/>
  <c r="I622" i="1" s="1"/>
  <c r="H623" i="1"/>
  <c r="I623" i="1" s="1"/>
  <c r="H624" i="1"/>
  <c r="I624" i="1" s="1"/>
  <c r="H625" i="1"/>
  <c r="I625" i="1" s="1"/>
  <c r="H626" i="1"/>
  <c r="I626" i="1" s="1"/>
  <c r="H627" i="1"/>
  <c r="I627" i="1" s="1"/>
  <c r="H628" i="1"/>
  <c r="I628" i="1" s="1"/>
  <c r="H629" i="1"/>
  <c r="I629" i="1" s="1"/>
  <c r="H630" i="1"/>
  <c r="I630" i="1" s="1"/>
  <c r="H631" i="1"/>
  <c r="I631" i="1" s="1"/>
  <c r="H632" i="1"/>
  <c r="I632" i="1" s="1"/>
  <c r="H633" i="1"/>
  <c r="I633" i="1" s="1"/>
  <c r="H634" i="1"/>
  <c r="I634" i="1" s="1"/>
  <c r="H635" i="1"/>
  <c r="I635" i="1" s="1"/>
  <c r="H636" i="1"/>
  <c r="I636" i="1" s="1"/>
  <c r="H637" i="1"/>
  <c r="I637" i="1" s="1"/>
  <c r="H638" i="1"/>
  <c r="I638" i="1" s="1"/>
  <c r="H639" i="1"/>
  <c r="I639" i="1" s="1"/>
  <c r="H640" i="1"/>
  <c r="I640" i="1" s="1"/>
  <c r="H641" i="1"/>
  <c r="I641" i="1" s="1"/>
  <c r="H642" i="1"/>
  <c r="I642" i="1" s="1"/>
  <c r="H643" i="1"/>
  <c r="I643" i="1" s="1"/>
  <c r="H644" i="1"/>
  <c r="I644" i="1" s="1"/>
  <c r="H645" i="1"/>
  <c r="I645" i="1" s="1"/>
  <c r="H646" i="1"/>
  <c r="I646" i="1" s="1"/>
  <c r="H647" i="1"/>
  <c r="I647" i="1" s="1"/>
  <c r="H648" i="1"/>
  <c r="I648" i="1" s="1"/>
  <c r="H649" i="1"/>
  <c r="I649" i="1" s="1"/>
  <c r="H650" i="1"/>
  <c r="I650" i="1" s="1"/>
  <c r="H651" i="1"/>
  <c r="I651" i="1" s="1"/>
  <c r="H652" i="1"/>
  <c r="I652" i="1" s="1"/>
  <c r="H653" i="1"/>
  <c r="I653" i="1" s="1"/>
  <c r="H654" i="1"/>
  <c r="I654" i="1" s="1"/>
  <c r="H655" i="1"/>
  <c r="I655" i="1" s="1"/>
  <c r="H656" i="1"/>
  <c r="I656" i="1" s="1"/>
  <c r="H657" i="1"/>
  <c r="I657" i="1" s="1"/>
  <c r="H658" i="1"/>
  <c r="I658" i="1" s="1"/>
  <c r="H659" i="1"/>
  <c r="I659" i="1" s="1"/>
  <c r="H660" i="1"/>
  <c r="I660" i="1" s="1"/>
  <c r="H661" i="1"/>
  <c r="I661" i="1" s="1"/>
  <c r="H662" i="1"/>
  <c r="I662" i="1" s="1"/>
  <c r="H663" i="1"/>
  <c r="I663" i="1" s="1"/>
  <c r="H664" i="1"/>
  <c r="I664" i="1" s="1"/>
  <c r="H665" i="1"/>
  <c r="I665" i="1" s="1"/>
  <c r="H666" i="1"/>
  <c r="I666" i="1" s="1"/>
  <c r="H667" i="1"/>
  <c r="I667" i="1" s="1"/>
  <c r="H668" i="1"/>
  <c r="I668" i="1" s="1"/>
  <c r="H669" i="1"/>
  <c r="I669" i="1" s="1"/>
  <c r="H670" i="1"/>
  <c r="I670" i="1" s="1"/>
  <c r="H671" i="1"/>
  <c r="I671" i="1" s="1"/>
  <c r="H672" i="1"/>
  <c r="I672" i="1" s="1"/>
  <c r="H673" i="1"/>
  <c r="I673" i="1" s="1"/>
  <c r="H674" i="1"/>
  <c r="I674" i="1" s="1"/>
  <c r="H675" i="1"/>
  <c r="I675" i="1" s="1"/>
  <c r="H676" i="1"/>
  <c r="I676" i="1" s="1"/>
  <c r="H677" i="1"/>
  <c r="I677" i="1" s="1"/>
  <c r="H678" i="1"/>
  <c r="I678" i="1" s="1"/>
  <c r="H679" i="1"/>
  <c r="I679" i="1" s="1"/>
  <c r="H680" i="1"/>
  <c r="I680" i="1" s="1"/>
  <c r="H681" i="1"/>
  <c r="I681" i="1" s="1"/>
  <c r="H682" i="1"/>
  <c r="I682" i="1" s="1"/>
  <c r="H683" i="1"/>
  <c r="I683" i="1" s="1"/>
  <c r="H684" i="1"/>
  <c r="I684" i="1" s="1"/>
  <c r="H685" i="1"/>
  <c r="I685" i="1" s="1"/>
  <c r="H686" i="1"/>
  <c r="I686" i="1" s="1"/>
  <c r="H687" i="1"/>
  <c r="I687" i="1" s="1"/>
  <c r="H688" i="1"/>
  <c r="I688" i="1" s="1"/>
  <c r="H689" i="1"/>
  <c r="I689" i="1" s="1"/>
  <c r="H690" i="1"/>
  <c r="I690" i="1" s="1"/>
  <c r="H691" i="1"/>
  <c r="I691" i="1" s="1"/>
  <c r="H692" i="1"/>
  <c r="I692" i="1" s="1"/>
  <c r="H693" i="1"/>
  <c r="I693" i="1" s="1"/>
  <c r="H694" i="1"/>
  <c r="I694" i="1" s="1"/>
  <c r="H695" i="1"/>
  <c r="I695" i="1" s="1"/>
  <c r="H696" i="1"/>
  <c r="I696" i="1"/>
  <c r="H697" i="1"/>
  <c r="I697" i="1" s="1"/>
  <c r="H698" i="1"/>
  <c r="I698" i="1" s="1"/>
  <c r="H699" i="1"/>
  <c r="I699" i="1" s="1"/>
  <c r="H700" i="1"/>
  <c r="I700" i="1" s="1"/>
  <c r="H701" i="1"/>
  <c r="I701" i="1" s="1"/>
  <c r="H702" i="1"/>
  <c r="I702" i="1" s="1"/>
  <c r="H703" i="1"/>
  <c r="I703" i="1" s="1"/>
  <c r="H704" i="1"/>
  <c r="I704" i="1" s="1"/>
  <c r="H705" i="1"/>
  <c r="I705" i="1" s="1"/>
  <c r="H706" i="1"/>
  <c r="I706" i="1" s="1"/>
  <c r="H707" i="1"/>
  <c r="I707" i="1" s="1"/>
  <c r="H708" i="1"/>
  <c r="I708" i="1" s="1"/>
  <c r="H709" i="1"/>
  <c r="I709" i="1" s="1"/>
  <c r="H710" i="1"/>
  <c r="I710" i="1" s="1"/>
  <c r="H711" i="1"/>
  <c r="I711" i="1" s="1"/>
  <c r="H712" i="1"/>
  <c r="I712" i="1" s="1"/>
  <c r="H713" i="1"/>
  <c r="I713" i="1" s="1"/>
  <c r="H714" i="1"/>
  <c r="I714" i="1" s="1"/>
  <c r="H715" i="1"/>
  <c r="I715" i="1" s="1"/>
  <c r="H716" i="1"/>
  <c r="I716" i="1" s="1"/>
  <c r="H717" i="1"/>
  <c r="I717" i="1" s="1"/>
  <c r="H718" i="1"/>
  <c r="I718" i="1" s="1"/>
  <c r="H719" i="1"/>
  <c r="I719" i="1" s="1"/>
  <c r="H720" i="1"/>
  <c r="I720" i="1" s="1"/>
  <c r="H721" i="1"/>
  <c r="I721" i="1" s="1"/>
  <c r="H722" i="1"/>
  <c r="I722" i="1" s="1"/>
  <c r="H723" i="1"/>
  <c r="I723" i="1" s="1"/>
  <c r="H724" i="1"/>
  <c r="I724" i="1" s="1"/>
  <c r="H725" i="1"/>
  <c r="I725" i="1" s="1"/>
  <c r="H726" i="1"/>
  <c r="I726" i="1" s="1"/>
  <c r="H727" i="1"/>
  <c r="I727" i="1" s="1"/>
  <c r="H728" i="1"/>
  <c r="I728" i="1" s="1"/>
  <c r="H729" i="1"/>
  <c r="I729" i="1" s="1"/>
  <c r="H730" i="1"/>
  <c r="I730" i="1" s="1"/>
  <c r="H731" i="1"/>
  <c r="I731" i="1" s="1"/>
  <c r="H732" i="1"/>
  <c r="I732" i="1" s="1"/>
  <c r="H733" i="1"/>
  <c r="I733" i="1" s="1"/>
  <c r="H734" i="1"/>
  <c r="I734" i="1" s="1"/>
  <c r="H735" i="1"/>
  <c r="I735" i="1" s="1"/>
  <c r="H736" i="1"/>
  <c r="I736" i="1" s="1"/>
  <c r="H737" i="1"/>
  <c r="I737" i="1" s="1"/>
  <c r="H738" i="1"/>
  <c r="I738" i="1" s="1"/>
  <c r="H739" i="1"/>
  <c r="I739" i="1" s="1"/>
  <c r="H740" i="1"/>
  <c r="I740" i="1" s="1"/>
  <c r="H741" i="1"/>
  <c r="I741" i="1" s="1"/>
  <c r="H742" i="1"/>
  <c r="I742" i="1" s="1"/>
  <c r="H743" i="1"/>
  <c r="I743" i="1" s="1"/>
  <c r="H744" i="1"/>
  <c r="I744" i="1" s="1"/>
  <c r="H745" i="1"/>
  <c r="I745" i="1" s="1"/>
  <c r="H746" i="1"/>
  <c r="I746" i="1" s="1"/>
  <c r="H747" i="1"/>
  <c r="I747" i="1" s="1"/>
  <c r="H748" i="1"/>
  <c r="I748" i="1" s="1"/>
  <c r="H749" i="1"/>
  <c r="I749" i="1" s="1"/>
  <c r="H750" i="1"/>
  <c r="I750" i="1" s="1"/>
  <c r="H751" i="1"/>
  <c r="I751" i="1" s="1"/>
  <c r="H752" i="1"/>
  <c r="I752" i="1" s="1"/>
  <c r="H753" i="1"/>
  <c r="I753" i="1" s="1"/>
  <c r="H754" i="1"/>
  <c r="I754" i="1" s="1"/>
  <c r="H755" i="1"/>
  <c r="I755" i="1" s="1"/>
  <c r="H756" i="1"/>
  <c r="I756" i="1" s="1"/>
  <c r="H757" i="1"/>
  <c r="I757" i="1" s="1"/>
  <c r="H758" i="1"/>
  <c r="I758" i="1" s="1"/>
  <c r="H759" i="1"/>
  <c r="I759" i="1" s="1"/>
  <c r="H760" i="1"/>
  <c r="I760" i="1" s="1"/>
  <c r="H761" i="1"/>
  <c r="I761" i="1" s="1"/>
  <c r="H762" i="1"/>
  <c r="I762" i="1" s="1"/>
  <c r="H763" i="1"/>
  <c r="I763" i="1" s="1"/>
  <c r="H764" i="1"/>
  <c r="I764" i="1" s="1"/>
  <c r="H765" i="1"/>
  <c r="I765" i="1" s="1"/>
  <c r="H766" i="1"/>
  <c r="I766" i="1" s="1"/>
  <c r="H767" i="1"/>
  <c r="I767" i="1" s="1"/>
  <c r="H768" i="1"/>
  <c r="I768" i="1" s="1"/>
  <c r="H769" i="1"/>
  <c r="I769" i="1" s="1"/>
  <c r="H770" i="1"/>
  <c r="I770" i="1" s="1"/>
  <c r="H771" i="1"/>
  <c r="I771" i="1" s="1"/>
  <c r="H772" i="1"/>
  <c r="I772" i="1" s="1"/>
  <c r="H773" i="1"/>
  <c r="I773" i="1" s="1"/>
  <c r="H774" i="1"/>
  <c r="I774" i="1" s="1"/>
  <c r="H775" i="1"/>
  <c r="I775" i="1" s="1"/>
  <c r="H776" i="1"/>
  <c r="I776" i="1" s="1"/>
  <c r="H777" i="1"/>
  <c r="I777" i="1" s="1"/>
  <c r="H778" i="1"/>
  <c r="I778" i="1" s="1"/>
  <c r="H779" i="1"/>
  <c r="I779" i="1" s="1"/>
  <c r="H780" i="1"/>
  <c r="I780" i="1" s="1"/>
  <c r="H781" i="1"/>
  <c r="I781" i="1" s="1"/>
  <c r="H782" i="1"/>
  <c r="I782" i="1" s="1"/>
  <c r="H783" i="1"/>
  <c r="I783" i="1" s="1"/>
  <c r="H784" i="1"/>
  <c r="I784" i="1" s="1"/>
  <c r="H785" i="1"/>
  <c r="I785" i="1" s="1"/>
  <c r="H786" i="1"/>
  <c r="I786" i="1" s="1"/>
  <c r="H787" i="1"/>
  <c r="I787" i="1" s="1"/>
  <c r="H788" i="1"/>
  <c r="I788" i="1" s="1"/>
  <c r="H789" i="1"/>
  <c r="I789" i="1" s="1"/>
  <c r="H790" i="1"/>
  <c r="I790" i="1" s="1"/>
  <c r="H791" i="1"/>
  <c r="I791" i="1" s="1"/>
  <c r="H792" i="1"/>
  <c r="I792" i="1" s="1"/>
  <c r="H793" i="1"/>
  <c r="I793" i="1" s="1"/>
  <c r="H794" i="1"/>
  <c r="I794" i="1" s="1"/>
  <c r="H795" i="1"/>
  <c r="I795" i="1" s="1"/>
  <c r="H796" i="1"/>
  <c r="I796" i="1" s="1"/>
  <c r="H797" i="1"/>
  <c r="I797" i="1" s="1"/>
  <c r="H798" i="1"/>
  <c r="I798" i="1" s="1"/>
  <c r="H799" i="1"/>
  <c r="I799" i="1" s="1"/>
  <c r="H800" i="1"/>
  <c r="I800" i="1" s="1"/>
  <c r="H801" i="1"/>
  <c r="I801" i="1" s="1"/>
  <c r="H802" i="1"/>
  <c r="I802" i="1" s="1"/>
  <c r="H803" i="1"/>
  <c r="I803" i="1" s="1"/>
  <c r="H804" i="1"/>
  <c r="I804" i="1" s="1"/>
  <c r="H805" i="1"/>
  <c r="I805" i="1" s="1"/>
  <c r="H806" i="1"/>
  <c r="I806" i="1" s="1"/>
  <c r="H807" i="1"/>
  <c r="I807" i="1" s="1"/>
  <c r="H808" i="1"/>
  <c r="I808" i="1" s="1"/>
  <c r="H809" i="1"/>
  <c r="I809" i="1" s="1"/>
  <c r="H810" i="1"/>
  <c r="I810" i="1" s="1"/>
  <c r="H811" i="1"/>
  <c r="I811" i="1" s="1"/>
  <c r="H812" i="1"/>
  <c r="I812" i="1" s="1"/>
  <c r="H813" i="1"/>
  <c r="I813" i="1" s="1"/>
  <c r="H814" i="1"/>
  <c r="I814" i="1" s="1"/>
  <c r="H815" i="1"/>
  <c r="I815" i="1" s="1"/>
  <c r="H816" i="1"/>
  <c r="I816" i="1" s="1"/>
  <c r="H817" i="1"/>
  <c r="I817" i="1" s="1"/>
  <c r="H818" i="1"/>
  <c r="I818" i="1" s="1"/>
  <c r="H819" i="1"/>
  <c r="I819" i="1" s="1"/>
  <c r="H820" i="1"/>
  <c r="I820" i="1" s="1"/>
  <c r="H821" i="1"/>
  <c r="I821" i="1" s="1"/>
  <c r="H822" i="1"/>
  <c r="I822" i="1" s="1"/>
  <c r="H823" i="1"/>
  <c r="I823" i="1" s="1"/>
  <c r="H824" i="1"/>
  <c r="I824" i="1" s="1"/>
  <c r="H825" i="1"/>
  <c r="I825" i="1" s="1"/>
  <c r="H826" i="1"/>
  <c r="I826" i="1" s="1"/>
  <c r="H827" i="1"/>
  <c r="I827" i="1" s="1"/>
  <c r="H828" i="1"/>
  <c r="I828" i="1" s="1"/>
  <c r="H829" i="1"/>
  <c r="I829" i="1" s="1"/>
  <c r="H830" i="1"/>
  <c r="I830" i="1" s="1"/>
  <c r="H831" i="1"/>
  <c r="I831" i="1" s="1"/>
  <c r="H832" i="1"/>
  <c r="I832" i="1" s="1"/>
  <c r="H833" i="1"/>
  <c r="I833" i="1" s="1"/>
  <c r="H834" i="1"/>
  <c r="I834" i="1" s="1"/>
  <c r="H835" i="1"/>
  <c r="I835" i="1" s="1"/>
  <c r="H836" i="1"/>
  <c r="I836" i="1" s="1"/>
  <c r="H837" i="1"/>
  <c r="I837" i="1" s="1"/>
  <c r="H838" i="1"/>
  <c r="I838" i="1" s="1"/>
  <c r="H839" i="1"/>
  <c r="I839" i="1" s="1"/>
  <c r="H840" i="1"/>
  <c r="I840" i="1" s="1"/>
  <c r="H841" i="1"/>
  <c r="I841" i="1" s="1"/>
  <c r="H842" i="1"/>
  <c r="I842" i="1" s="1"/>
  <c r="H843" i="1"/>
  <c r="I843" i="1" s="1"/>
  <c r="H844" i="1"/>
  <c r="I844" i="1" s="1"/>
  <c r="H845" i="1"/>
  <c r="I845" i="1" s="1"/>
  <c r="H846" i="1"/>
  <c r="I846" i="1" s="1"/>
  <c r="H847" i="1"/>
  <c r="I847" i="1" s="1"/>
  <c r="H848" i="1"/>
  <c r="I848" i="1" s="1"/>
  <c r="H849" i="1"/>
  <c r="I849" i="1" s="1"/>
  <c r="H850" i="1"/>
  <c r="I850" i="1" s="1"/>
  <c r="H851" i="1"/>
  <c r="I851" i="1" s="1"/>
  <c r="H852" i="1"/>
  <c r="I852" i="1" s="1"/>
  <c r="H853" i="1"/>
  <c r="I853" i="1" s="1"/>
  <c r="H854" i="1"/>
  <c r="I854" i="1" s="1"/>
  <c r="H855" i="1"/>
  <c r="I855" i="1" s="1"/>
  <c r="H856" i="1"/>
  <c r="I856" i="1" s="1"/>
  <c r="H857" i="1"/>
  <c r="I857" i="1" s="1"/>
  <c r="H858" i="1"/>
  <c r="I858" i="1" s="1"/>
  <c r="H859" i="1"/>
  <c r="I859" i="1" s="1"/>
  <c r="H860" i="1"/>
  <c r="I860" i="1" s="1"/>
  <c r="H861" i="1"/>
  <c r="I861" i="1" s="1"/>
  <c r="H862" i="1"/>
  <c r="I862" i="1" s="1"/>
  <c r="H863" i="1"/>
  <c r="I863" i="1" s="1"/>
  <c r="H864" i="1"/>
  <c r="I864" i="1" s="1"/>
  <c r="H865" i="1"/>
  <c r="I865" i="1" s="1"/>
  <c r="H866" i="1"/>
  <c r="I866" i="1" s="1"/>
  <c r="H867" i="1"/>
  <c r="I867" i="1" s="1"/>
  <c r="H868" i="1"/>
  <c r="I868" i="1" s="1"/>
  <c r="H869" i="1"/>
  <c r="I869" i="1" s="1"/>
  <c r="H870" i="1"/>
  <c r="I870" i="1" s="1"/>
  <c r="H871" i="1"/>
  <c r="I871" i="1" s="1"/>
  <c r="H872" i="1"/>
  <c r="I872" i="1" s="1"/>
  <c r="H873" i="1"/>
  <c r="I873" i="1" s="1"/>
  <c r="H874" i="1"/>
  <c r="I874" i="1" s="1"/>
  <c r="H875" i="1"/>
  <c r="I875" i="1" s="1"/>
  <c r="H876" i="1"/>
  <c r="I876" i="1" s="1"/>
  <c r="H877" i="1"/>
  <c r="I877" i="1" s="1"/>
  <c r="H878" i="1"/>
  <c r="I878" i="1" s="1"/>
  <c r="H879" i="1"/>
  <c r="I879" i="1" s="1"/>
  <c r="H880" i="1"/>
  <c r="I880" i="1" s="1"/>
  <c r="H881" i="1"/>
  <c r="I881" i="1" s="1"/>
  <c r="H882" i="1"/>
  <c r="I882" i="1" s="1"/>
  <c r="H883" i="1"/>
  <c r="I883" i="1" s="1"/>
  <c r="H884" i="1"/>
  <c r="I884" i="1" s="1"/>
  <c r="H885" i="1"/>
  <c r="I885" i="1" s="1"/>
  <c r="H886" i="1"/>
  <c r="I886" i="1" s="1"/>
  <c r="H887" i="1"/>
  <c r="I887" i="1" s="1"/>
  <c r="H888" i="1"/>
  <c r="I888" i="1" s="1"/>
  <c r="H889" i="1"/>
  <c r="I889" i="1" s="1"/>
  <c r="H890" i="1"/>
  <c r="I890" i="1" s="1"/>
  <c r="H891" i="1"/>
  <c r="I891" i="1" s="1"/>
  <c r="H892" i="1"/>
  <c r="I892" i="1" s="1"/>
  <c r="H893" i="1"/>
  <c r="I893" i="1" s="1"/>
  <c r="H894" i="1"/>
  <c r="I894" i="1" s="1"/>
  <c r="H895" i="1"/>
  <c r="I895" i="1" s="1"/>
  <c r="H896" i="1"/>
  <c r="I896" i="1" s="1"/>
  <c r="H897" i="1"/>
  <c r="I897" i="1" s="1"/>
  <c r="H898" i="1"/>
  <c r="I898" i="1" s="1"/>
  <c r="H899" i="1"/>
  <c r="I899" i="1" s="1"/>
  <c r="H900" i="1"/>
  <c r="I900" i="1" s="1"/>
  <c r="H901" i="1"/>
  <c r="I901" i="1" s="1"/>
  <c r="H902" i="1"/>
  <c r="I902" i="1" s="1"/>
  <c r="H903" i="1"/>
  <c r="I903" i="1" s="1"/>
  <c r="H904" i="1"/>
  <c r="I904" i="1" s="1"/>
  <c r="H905" i="1"/>
  <c r="I905" i="1"/>
  <c r="H906" i="1"/>
  <c r="I906" i="1" s="1"/>
  <c r="H907" i="1"/>
  <c r="I907" i="1" s="1"/>
  <c r="H908" i="1"/>
  <c r="I908" i="1" s="1"/>
  <c r="H909" i="1"/>
  <c r="I909" i="1" s="1"/>
  <c r="H910" i="1"/>
  <c r="I910" i="1" s="1"/>
  <c r="H911" i="1"/>
  <c r="I911" i="1" s="1"/>
  <c r="H912" i="1"/>
  <c r="I912" i="1" s="1"/>
  <c r="H913" i="1"/>
  <c r="I913" i="1" s="1"/>
  <c r="H914" i="1"/>
  <c r="I914" i="1" s="1"/>
  <c r="H915" i="1"/>
  <c r="I915" i="1" s="1"/>
  <c r="H916" i="1"/>
  <c r="I916" i="1" s="1"/>
  <c r="H917" i="1"/>
  <c r="I917" i="1" s="1"/>
  <c r="H918" i="1"/>
  <c r="I918" i="1" s="1"/>
  <c r="H919" i="1"/>
  <c r="I919" i="1" s="1"/>
  <c r="H920" i="1"/>
  <c r="I920" i="1" s="1"/>
  <c r="H921" i="1"/>
  <c r="I921" i="1" s="1"/>
  <c r="H922" i="1"/>
  <c r="I922" i="1" s="1"/>
  <c r="H923" i="1"/>
  <c r="I923" i="1" s="1"/>
  <c r="H924" i="1"/>
  <c r="I924" i="1" s="1"/>
  <c r="H925" i="1"/>
  <c r="I925" i="1" s="1"/>
  <c r="H926" i="1"/>
  <c r="I926" i="1" s="1"/>
  <c r="H927" i="1"/>
  <c r="I927" i="1" s="1"/>
  <c r="H928" i="1"/>
  <c r="I928" i="1" s="1"/>
  <c r="H929" i="1"/>
  <c r="I929" i="1" s="1"/>
  <c r="H930" i="1"/>
  <c r="I930" i="1" s="1"/>
  <c r="H931" i="1"/>
  <c r="I931" i="1" s="1"/>
  <c r="H932" i="1"/>
  <c r="I932" i="1" s="1"/>
  <c r="H933" i="1"/>
  <c r="I933" i="1" s="1"/>
  <c r="H934" i="1"/>
  <c r="I934" i="1" s="1"/>
  <c r="H935" i="1"/>
  <c r="I935" i="1" s="1"/>
  <c r="H936" i="1"/>
  <c r="I936" i="1" s="1"/>
  <c r="H937" i="1"/>
  <c r="I937" i="1" s="1"/>
  <c r="H938" i="1"/>
  <c r="I938" i="1" s="1"/>
  <c r="H939" i="1"/>
  <c r="I939" i="1" s="1"/>
  <c r="H940" i="1"/>
  <c r="I940" i="1" s="1"/>
  <c r="H941" i="1"/>
  <c r="I941" i="1" s="1"/>
  <c r="H942" i="1"/>
  <c r="I942" i="1" s="1"/>
  <c r="H943" i="1"/>
  <c r="I943" i="1" s="1"/>
  <c r="H944" i="1"/>
  <c r="I944" i="1" s="1"/>
  <c r="H945" i="1"/>
  <c r="I945" i="1" s="1"/>
  <c r="H946" i="1"/>
  <c r="I946" i="1" s="1"/>
  <c r="H947" i="1"/>
  <c r="I947" i="1" s="1"/>
  <c r="H948" i="1"/>
  <c r="I948" i="1" s="1"/>
  <c r="H949" i="1"/>
  <c r="I949" i="1" s="1"/>
  <c r="H950" i="1"/>
  <c r="I950" i="1" s="1"/>
  <c r="H951" i="1"/>
  <c r="I951" i="1" s="1"/>
  <c r="H952" i="1"/>
  <c r="I952" i="1" s="1"/>
  <c r="H953" i="1"/>
  <c r="I953" i="1" s="1"/>
  <c r="H954" i="1"/>
  <c r="I954" i="1" s="1"/>
  <c r="H955" i="1"/>
  <c r="I955" i="1" s="1"/>
  <c r="H956" i="1"/>
  <c r="I956" i="1" s="1"/>
  <c r="H957" i="1"/>
  <c r="I957" i="1" s="1"/>
  <c r="H958" i="1"/>
  <c r="I958" i="1" s="1"/>
  <c r="H959" i="1"/>
  <c r="I959" i="1" s="1"/>
  <c r="H960" i="1"/>
  <c r="I960" i="1" s="1"/>
  <c r="H961" i="1"/>
  <c r="I961" i="1" s="1"/>
  <c r="H962" i="1"/>
  <c r="I962" i="1" s="1"/>
  <c r="H963" i="1"/>
  <c r="I963" i="1" s="1"/>
  <c r="H964" i="1"/>
  <c r="I964" i="1" s="1"/>
  <c r="H965" i="1"/>
  <c r="I965" i="1" s="1"/>
  <c r="H966" i="1"/>
  <c r="I966" i="1" s="1"/>
  <c r="H967" i="1"/>
  <c r="I967" i="1" s="1"/>
  <c r="H968" i="1"/>
  <c r="I968" i="1" s="1"/>
  <c r="H969" i="1"/>
  <c r="I969" i="1" s="1"/>
  <c r="H970" i="1"/>
  <c r="I970" i="1" s="1"/>
  <c r="H971" i="1"/>
  <c r="I971" i="1" s="1"/>
  <c r="H972" i="1"/>
  <c r="I972" i="1" s="1"/>
  <c r="H973" i="1"/>
  <c r="I973" i="1" s="1"/>
  <c r="H974" i="1"/>
  <c r="I974" i="1" s="1"/>
  <c r="H975" i="1"/>
  <c r="I975" i="1" s="1"/>
  <c r="H976" i="1"/>
  <c r="I976" i="1" s="1"/>
  <c r="H977" i="1"/>
  <c r="I977" i="1" s="1"/>
  <c r="H978" i="1"/>
  <c r="I978" i="1" s="1"/>
  <c r="H979" i="1"/>
  <c r="I979" i="1" s="1"/>
  <c r="H980" i="1"/>
  <c r="I980" i="1" s="1"/>
  <c r="H981" i="1"/>
  <c r="I981" i="1" s="1"/>
  <c r="H982" i="1"/>
  <c r="I982" i="1" s="1"/>
  <c r="H983" i="1"/>
  <c r="I983" i="1" s="1"/>
  <c r="H984" i="1"/>
  <c r="I984" i="1" s="1"/>
  <c r="H985" i="1"/>
  <c r="I985" i="1" s="1"/>
  <c r="H986" i="1"/>
  <c r="I986" i="1" s="1"/>
  <c r="H987" i="1"/>
  <c r="I987" i="1" s="1"/>
  <c r="H988" i="1"/>
  <c r="I988" i="1" s="1"/>
  <c r="H989" i="1"/>
  <c r="I989" i="1" s="1"/>
  <c r="H990" i="1"/>
  <c r="I990" i="1" s="1"/>
  <c r="H991" i="1"/>
  <c r="I991" i="1" s="1"/>
  <c r="H992" i="1"/>
  <c r="I992" i="1" s="1"/>
  <c r="H993" i="1"/>
  <c r="I993" i="1" s="1"/>
  <c r="H994" i="1"/>
  <c r="I994" i="1" s="1"/>
  <c r="H995" i="1"/>
  <c r="I995" i="1" s="1"/>
  <c r="H996" i="1"/>
  <c r="I996" i="1" s="1"/>
  <c r="H997" i="1"/>
  <c r="I997" i="1" s="1"/>
  <c r="H998" i="1"/>
  <c r="I998" i="1" s="1"/>
  <c r="H999" i="1"/>
  <c r="I999" i="1" s="1"/>
  <c r="H1000" i="1"/>
  <c r="I1000" i="1" s="1"/>
  <c r="H1001" i="1"/>
  <c r="I1001" i="1" s="1"/>
  <c r="H1002" i="1"/>
  <c r="I1002" i="1" s="1"/>
  <c r="H1003" i="1"/>
  <c r="I1003" i="1" s="1"/>
  <c r="H1004" i="1"/>
  <c r="I1004" i="1" s="1"/>
  <c r="H1005" i="1"/>
  <c r="I1005" i="1" s="1"/>
  <c r="H1006" i="1"/>
  <c r="I1006" i="1" s="1"/>
  <c r="H1007" i="1"/>
  <c r="I1007" i="1" s="1"/>
  <c r="H1008" i="1"/>
  <c r="I1008" i="1" s="1"/>
  <c r="H1009" i="1"/>
  <c r="I1009" i="1" s="1"/>
  <c r="H1010" i="1"/>
  <c r="I1010" i="1" s="1"/>
  <c r="H1011" i="1"/>
  <c r="I1011" i="1" s="1"/>
  <c r="H1012" i="1"/>
  <c r="I1012" i="1" s="1"/>
  <c r="H1013" i="1"/>
  <c r="I1013" i="1" s="1"/>
  <c r="H1014" i="1"/>
  <c r="I1014" i="1" s="1"/>
  <c r="H1015" i="1"/>
  <c r="I1015" i="1" s="1"/>
  <c r="H1016" i="1"/>
  <c r="I1016" i="1" s="1"/>
  <c r="H1017" i="1"/>
  <c r="I1017" i="1" s="1"/>
  <c r="H1018" i="1"/>
  <c r="I1018" i="1" s="1"/>
  <c r="H1019" i="1"/>
  <c r="I1019" i="1" s="1"/>
  <c r="H1020" i="1"/>
  <c r="I1020" i="1" s="1"/>
  <c r="H1021" i="1"/>
  <c r="I1021" i="1" s="1"/>
  <c r="H1022" i="1"/>
  <c r="I1022" i="1" s="1"/>
  <c r="H1023" i="1"/>
  <c r="I1023" i="1" s="1"/>
  <c r="H1024" i="1"/>
  <c r="I1024" i="1" s="1"/>
  <c r="H1025" i="1"/>
  <c r="I1025" i="1" s="1"/>
  <c r="H1026" i="1"/>
  <c r="I1026" i="1" s="1"/>
  <c r="H1027" i="1"/>
  <c r="I1027" i="1" s="1"/>
  <c r="H1028" i="1"/>
  <c r="I1028" i="1" s="1"/>
  <c r="H1029" i="1"/>
  <c r="I1029" i="1" s="1"/>
  <c r="H1030" i="1"/>
  <c r="I1030" i="1" s="1"/>
  <c r="H1031" i="1"/>
  <c r="I1031" i="1" s="1"/>
  <c r="H1032" i="1"/>
  <c r="I1032" i="1" s="1"/>
  <c r="H1033" i="1"/>
  <c r="I1033" i="1" s="1"/>
  <c r="H1034" i="1"/>
  <c r="I1034" i="1" s="1"/>
  <c r="H1035" i="1"/>
  <c r="I1035" i="1" s="1"/>
  <c r="H1036" i="1"/>
  <c r="I1036" i="1" s="1"/>
  <c r="H1037" i="1"/>
  <c r="I1037" i="1" s="1"/>
  <c r="H1038" i="1"/>
  <c r="I1038" i="1" s="1"/>
  <c r="H1039" i="1"/>
  <c r="I1039" i="1" s="1"/>
  <c r="H1040" i="1"/>
  <c r="I1040" i="1" s="1"/>
  <c r="H1041" i="1"/>
  <c r="I1041" i="1" s="1"/>
  <c r="H1042" i="1"/>
  <c r="I1042" i="1" s="1"/>
  <c r="H1043" i="1"/>
  <c r="I1043" i="1" s="1"/>
  <c r="H1044" i="1"/>
  <c r="I1044" i="1" s="1"/>
  <c r="H1045" i="1"/>
  <c r="I1045" i="1" s="1"/>
  <c r="H1046" i="1"/>
  <c r="I1046" i="1" s="1"/>
  <c r="H1047" i="1"/>
  <c r="I1047" i="1" s="1"/>
  <c r="H1048" i="1"/>
  <c r="I1048" i="1" s="1"/>
  <c r="H1049" i="1"/>
  <c r="I1049" i="1" s="1"/>
  <c r="H1050" i="1"/>
  <c r="I1050" i="1" s="1"/>
  <c r="H1051" i="1"/>
  <c r="I1051" i="1" s="1"/>
  <c r="H1052" i="1"/>
  <c r="I1052" i="1" s="1"/>
  <c r="H1053" i="1"/>
  <c r="I1053" i="1" s="1"/>
  <c r="H1054" i="1"/>
  <c r="I1054" i="1" s="1"/>
  <c r="H1055" i="1"/>
  <c r="I1055" i="1" s="1"/>
  <c r="H1056" i="1"/>
  <c r="I1056" i="1" s="1"/>
  <c r="H1057" i="1"/>
  <c r="I1057" i="1" s="1"/>
  <c r="H1058" i="1"/>
  <c r="I1058" i="1" s="1"/>
  <c r="H1059" i="1"/>
  <c r="I1059" i="1" s="1"/>
  <c r="H1060" i="1"/>
  <c r="I1060" i="1" s="1"/>
  <c r="H1061" i="1"/>
  <c r="I1061" i="1" s="1"/>
  <c r="H1062" i="1"/>
  <c r="I1062" i="1" s="1"/>
  <c r="H1063" i="1"/>
  <c r="I1063" i="1" s="1"/>
  <c r="H1064" i="1"/>
  <c r="I1064" i="1" s="1"/>
  <c r="H1065" i="1"/>
  <c r="I1065" i="1" s="1"/>
  <c r="H1066" i="1"/>
  <c r="I1066" i="1" s="1"/>
  <c r="H1067" i="1"/>
  <c r="I1067" i="1" s="1"/>
  <c r="H1068" i="1"/>
  <c r="I1068" i="1" s="1"/>
  <c r="H1069" i="1"/>
  <c r="I1069" i="1" s="1"/>
  <c r="H1070" i="1"/>
  <c r="I1070" i="1" s="1"/>
  <c r="H1071" i="1"/>
  <c r="I1071" i="1" s="1"/>
  <c r="H1072" i="1"/>
  <c r="I1072" i="1" s="1"/>
  <c r="H1073" i="1"/>
  <c r="I1073" i="1" s="1"/>
  <c r="H1074" i="1"/>
  <c r="I1074" i="1" s="1"/>
  <c r="H1075" i="1"/>
  <c r="I1075" i="1" s="1"/>
  <c r="H1076" i="1"/>
  <c r="I1076" i="1" s="1"/>
  <c r="H1077" i="1"/>
  <c r="I1077" i="1" s="1"/>
  <c r="H1078" i="1"/>
  <c r="I1078" i="1" s="1"/>
  <c r="H1079" i="1"/>
  <c r="I1079" i="1" s="1"/>
  <c r="H1080" i="1"/>
  <c r="I1080" i="1" s="1"/>
  <c r="H1081" i="1"/>
  <c r="I1081" i="1" s="1"/>
  <c r="H1082" i="1"/>
  <c r="I1082" i="1" s="1"/>
  <c r="H1083" i="1"/>
  <c r="I1083" i="1" s="1"/>
  <c r="H1084" i="1"/>
  <c r="I1084" i="1" s="1"/>
  <c r="H1085" i="1"/>
  <c r="I1085" i="1" s="1"/>
  <c r="H1086" i="1"/>
  <c r="I1086" i="1" s="1"/>
  <c r="H1087" i="1"/>
  <c r="I1087" i="1" s="1"/>
  <c r="H1088" i="1"/>
  <c r="I1088" i="1" s="1"/>
  <c r="H1089" i="1"/>
  <c r="I1089" i="1" s="1"/>
  <c r="H1090" i="1"/>
  <c r="I1090" i="1" s="1"/>
  <c r="H1091" i="1"/>
  <c r="I1091" i="1" s="1"/>
  <c r="H1092" i="1"/>
  <c r="I1092" i="1" s="1"/>
  <c r="H1093" i="1"/>
  <c r="I1093" i="1" s="1"/>
  <c r="H1094" i="1"/>
  <c r="I1094" i="1" s="1"/>
  <c r="H1095" i="1"/>
  <c r="I1095" i="1" s="1"/>
  <c r="H1096" i="1"/>
  <c r="I1096" i="1" s="1"/>
  <c r="H1097" i="1"/>
  <c r="I1097" i="1" s="1"/>
  <c r="H1098" i="1"/>
  <c r="I1098" i="1" s="1"/>
  <c r="H1099" i="1"/>
  <c r="I1099" i="1" s="1"/>
  <c r="H1100" i="1"/>
  <c r="I1100" i="1" s="1"/>
  <c r="H1101" i="1"/>
  <c r="I1101" i="1" s="1"/>
  <c r="H1102" i="1"/>
  <c r="I1102" i="1" s="1"/>
  <c r="H1103" i="1"/>
  <c r="I1103" i="1" s="1"/>
  <c r="H1104" i="1"/>
  <c r="I1104" i="1" s="1"/>
  <c r="H1105" i="1"/>
  <c r="I1105" i="1" s="1"/>
  <c r="H1106" i="1"/>
  <c r="I1106" i="1" s="1"/>
  <c r="H1107" i="1"/>
  <c r="I1107" i="1" s="1"/>
  <c r="H1108" i="1"/>
  <c r="I1108" i="1" s="1"/>
  <c r="H1109" i="1"/>
  <c r="I1109" i="1" s="1"/>
  <c r="H1110" i="1"/>
  <c r="I1110" i="1" s="1"/>
  <c r="H1111" i="1"/>
  <c r="I1111" i="1" s="1"/>
  <c r="H1112" i="1"/>
  <c r="I1112" i="1" s="1"/>
  <c r="H1113" i="1"/>
  <c r="I1113" i="1" s="1"/>
  <c r="H1114" i="1"/>
  <c r="I1114" i="1" s="1"/>
  <c r="H1115" i="1"/>
  <c r="I1115" i="1" s="1"/>
  <c r="H1116" i="1"/>
  <c r="I1116" i="1" s="1"/>
  <c r="H1117" i="1"/>
  <c r="I1117" i="1" s="1"/>
  <c r="H1118" i="1"/>
  <c r="I1118" i="1" s="1"/>
  <c r="H1119" i="1"/>
  <c r="I1119" i="1" s="1"/>
  <c r="H1120" i="1"/>
  <c r="I1120" i="1" s="1"/>
  <c r="H1121" i="1"/>
  <c r="I1121" i="1" s="1"/>
  <c r="H1122" i="1"/>
  <c r="I1122" i="1" s="1"/>
  <c r="H1123" i="1"/>
  <c r="I1123" i="1" s="1"/>
  <c r="H1124" i="1"/>
  <c r="I1124" i="1" s="1"/>
  <c r="H17" i="1"/>
  <c r="J153" i="5" l="1"/>
  <c r="K153" i="5" s="1"/>
  <c r="J160" i="5"/>
  <c r="K160" i="5" s="1"/>
  <c r="J152" i="5"/>
  <c r="K152" i="5" s="1"/>
  <c r="J144" i="5"/>
  <c r="K144" i="5" s="1"/>
  <c r="J136" i="5"/>
  <c r="K136" i="5" s="1"/>
  <c r="J128" i="5"/>
  <c r="K128" i="5" s="1"/>
  <c r="J120" i="5"/>
  <c r="K120" i="5" s="1"/>
  <c r="J112" i="5"/>
  <c r="K112" i="5"/>
  <c r="J104" i="5"/>
  <c r="K104" i="5" s="1"/>
  <c r="J96" i="5"/>
  <c r="K96" i="5" s="1"/>
  <c r="J88" i="5"/>
  <c r="K88" i="5" s="1"/>
  <c r="J80" i="5"/>
  <c r="K80" i="5"/>
  <c r="J72" i="5"/>
  <c r="K72" i="5" s="1"/>
  <c r="J64" i="5"/>
  <c r="K64" i="5"/>
  <c r="J56" i="5"/>
  <c r="K56" i="5" s="1"/>
  <c r="J48" i="5"/>
  <c r="K48" i="5" s="1"/>
  <c r="J40" i="5"/>
  <c r="K40" i="5" s="1"/>
  <c r="J32" i="5"/>
  <c r="K32" i="5" s="1"/>
  <c r="J24" i="5"/>
  <c r="K24" i="5" s="1"/>
  <c r="J159" i="5"/>
  <c r="K159" i="5" s="1"/>
  <c r="J151" i="5"/>
  <c r="K151" i="5" s="1"/>
  <c r="J143" i="5"/>
  <c r="K143" i="5" s="1"/>
  <c r="J135" i="5"/>
  <c r="K135" i="5" s="1"/>
  <c r="J127" i="5"/>
  <c r="K127" i="5" s="1"/>
  <c r="J119" i="5"/>
  <c r="K119" i="5"/>
  <c r="J111" i="5"/>
  <c r="K111" i="5" s="1"/>
  <c r="J103" i="5"/>
  <c r="K103" i="5" s="1"/>
  <c r="J95" i="5"/>
  <c r="K95" i="5" s="1"/>
  <c r="J87" i="5"/>
  <c r="K87" i="5" s="1"/>
  <c r="J79" i="5"/>
  <c r="K79" i="5" s="1"/>
  <c r="J71" i="5"/>
  <c r="K71" i="5" s="1"/>
  <c r="J63" i="5"/>
  <c r="K63" i="5" s="1"/>
  <c r="J55" i="5"/>
  <c r="K55" i="5" s="1"/>
  <c r="J47" i="5"/>
  <c r="K47" i="5" s="1"/>
  <c r="J39" i="5"/>
  <c r="K39" i="5" s="1"/>
  <c r="J31" i="5"/>
  <c r="K31" i="5" s="1"/>
  <c r="J23" i="5"/>
  <c r="K23" i="5" s="1"/>
  <c r="J145" i="5"/>
  <c r="K145" i="5" s="1"/>
  <c r="J166" i="5"/>
  <c r="K166" i="5" s="1"/>
  <c r="J158" i="5"/>
  <c r="K158" i="5"/>
  <c r="J150" i="5"/>
  <c r="K150" i="5" s="1"/>
  <c r="J142" i="5"/>
  <c r="K142" i="5" s="1"/>
  <c r="J134" i="5"/>
  <c r="K134" i="5"/>
  <c r="J126" i="5"/>
  <c r="K126" i="5" s="1"/>
  <c r="J118" i="5"/>
  <c r="K118" i="5" s="1"/>
  <c r="J110" i="5"/>
  <c r="K110" i="5"/>
  <c r="J102" i="5"/>
  <c r="K102" i="5" s="1"/>
  <c r="J94" i="5"/>
  <c r="K94" i="5" s="1"/>
  <c r="J86" i="5"/>
  <c r="K86" i="5" s="1"/>
  <c r="J78" i="5"/>
  <c r="K78" i="5" s="1"/>
  <c r="J70" i="5"/>
  <c r="K70" i="5" s="1"/>
  <c r="J62" i="5"/>
  <c r="K62" i="5" s="1"/>
  <c r="J54" i="5"/>
  <c r="K54" i="5" s="1"/>
  <c r="J46" i="5"/>
  <c r="K46" i="5" s="1"/>
  <c r="J38" i="5"/>
  <c r="K38" i="5" s="1"/>
  <c r="J30" i="5"/>
  <c r="K30" i="5" s="1"/>
  <c r="J22" i="5"/>
  <c r="K22" i="5" s="1"/>
  <c r="J165" i="5"/>
  <c r="K165" i="5" s="1"/>
  <c r="J157" i="5"/>
  <c r="K157" i="5" s="1"/>
  <c r="J149" i="5"/>
  <c r="K149" i="5" s="1"/>
  <c r="J141" i="5"/>
  <c r="K141" i="5" s="1"/>
  <c r="J133" i="5"/>
  <c r="K133" i="5" s="1"/>
  <c r="J125" i="5"/>
  <c r="K125" i="5" s="1"/>
  <c r="J117" i="5"/>
  <c r="K117" i="5"/>
  <c r="J109" i="5"/>
  <c r="K109" i="5" s="1"/>
  <c r="J101" i="5"/>
  <c r="K101" i="5" s="1"/>
  <c r="J93" i="5"/>
  <c r="K93" i="5" s="1"/>
  <c r="J85" i="5"/>
  <c r="K85" i="5" s="1"/>
  <c r="J77" i="5"/>
  <c r="K77" i="5" s="1"/>
  <c r="J69" i="5"/>
  <c r="K69" i="5" s="1"/>
  <c r="J61" i="5"/>
  <c r="K61" i="5" s="1"/>
  <c r="J53" i="5"/>
  <c r="K53" i="5" s="1"/>
  <c r="J45" i="5"/>
  <c r="K45" i="5" s="1"/>
  <c r="J37" i="5"/>
  <c r="K37" i="5" s="1"/>
  <c r="J29" i="5"/>
  <c r="K29" i="5"/>
  <c r="J21" i="5"/>
  <c r="K21" i="5" s="1"/>
  <c r="J156" i="5"/>
  <c r="K156" i="5" s="1"/>
  <c r="J148" i="5"/>
  <c r="K148" i="5" s="1"/>
  <c r="J140" i="5"/>
  <c r="K140" i="5" s="1"/>
  <c r="J132" i="5"/>
  <c r="K132" i="5" s="1"/>
  <c r="J124" i="5"/>
  <c r="K124" i="5" s="1"/>
  <c r="J116" i="5"/>
  <c r="K116" i="5" s="1"/>
  <c r="J108" i="5"/>
  <c r="K108" i="5" s="1"/>
  <c r="J100" i="5"/>
  <c r="K100" i="5" s="1"/>
  <c r="J92" i="5"/>
  <c r="K92" i="5" s="1"/>
  <c r="J84" i="5"/>
  <c r="K84" i="5" s="1"/>
  <c r="J76" i="5"/>
  <c r="K76" i="5" s="1"/>
  <c r="J68" i="5"/>
  <c r="K68" i="5" s="1"/>
  <c r="J60" i="5"/>
  <c r="K60" i="5" s="1"/>
  <c r="J52" i="5"/>
  <c r="K52" i="5" s="1"/>
  <c r="J44" i="5"/>
  <c r="K44" i="5" s="1"/>
  <c r="J36" i="5"/>
  <c r="K36" i="5" s="1"/>
  <c r="J20" i="5"/>
  <c r="K20" i="5" s="1"/>
  <c r="J164" i="5"/>
  <c r="K164" i="5" s="1"/>
  <c r="J28" i="5"/>
  <c r="K28" i="5" s="1"/>
  <c r="J163" i="5"/>
  <c r="K163" i="5" s="1"/>
  <c r="J155" i="5"/>
  <c r="K155" i="5" s="1"/>
  <c r="J147" i="5"/>
  <c r="K147" i="5" s="1"/>
  <c r="J139" i="5"/>
  <c r="K139" i="5" s="1"/>
  <c r="J131" i="5"/>
  <c r="K131" i="5" s="1"/>
  <c r="J123" i="5"/>
  <c r="K123" i="5" s="1"/>
  <c r="J115" i="5"/>
  <c r="K115" i="5" s="1"/>
  <c r="J107" i="5"/>
  <c r="K107" i="5" s="1"/>
  <c r="J99" i="5"/>
  <c r="K99" i="5" s="1"/>
  <c r="J91" i="5"/>
  <c r="K91" i="5" s="1"/>
  <c r="J83" i="5"/>
  <c r="K83" i="5" s="1"/>
  <c r="J75" i="5"/>
  <c r="K75" i="5" s="1"/>
  <c r="J67" i="5"/>
  <c r="K67" i="5" s="1"/>
  <c r="J59" i="5"/>
  <c r="K59" i="5" s="1"/>
  <c r="J51" i="5"/>
  <c r="K51" i="5" s="1"/>
  <c r="J43" i="5"/>
  <c r="K43" i="5" s="1"/>
  <c r="J35" i="5"/>
  <c r="K35" i="5" s="1"/>
  <c r="J27" i="5"/>
  <c r="K27" i="5" s="1"/>
  <c r="J19" i="5"/>
  <c r="K19" i="5" s="1"/>
  <c r="J162" i="5"/>
  <c r="K162" i="5" s="1"/>
  <c r="J154" i="5"/>
  <c r="K154" i="5" s="1"/>
  <c r="J146" i="5"/>
  <c r="K146" i="5" s="1"/>
  <c r="J138" i="5"/>
  <c r="K138" i="5" s="1"/>
  <c r="J130" i="5"/>
  <c r="K130" i="5" s="1"/>
  <c r="J122" i="5"/>
  <c r="K122" i="5" s="1"/>
  <c r="J114" i="5"/>
  <c r="K114" i="5" s="1"/>
  <c r="J106" i="5"/>
  <c r="K106" i="5" s="1"/>
  <c r="J98" i="5"/>
  <c r="K98" i="5" s="1"/>
  <c r="J90" i="5"/>
  <c r="K90" i="5" s="1"/>
  <c r="J82" i="5"/>
  <c r="K82" i="5" s="1"/>
  <c r="J74" i="5"/>
  <c r="K74" i="5" s="1"/>
  <c r="J66" i="5"/>
  <c r="K66" i="5" s="1"/>
  <c r="J58" i="5"/>
  <c r="K58" i="5" s="1"/>
  <c r="J50" i="5"/>
  <c r="K50" i="5" s="1"/>
  <c r="J42" i="5"/>
  <c r="K42" i="5" s="1"/>
  <c r="J34" i="5"/>
  <c r="K34" i="5" s="1"/>
  <c r="J26" i="5"/>
  <c r="K26" i="5" s="1"/>
  <c r="J18" i="5"/>
  <c r="K18" i="5" s="1"/>
  <c r="J161" i="5"/>
  <c r="K161" i="5" s="1"/>
  <c r="J137" i="5"/>
  <c r="K137" i="5" s="1"/>
  <c r="J129" i="5"/>
  <c r="K129" i="5" s="1"/>
  <c r="J121" i="5"/>
  <c r="K121" i="5" s="1"/>
  <c r="J113" i="5"/>
  <c r="K113" i="5"/>
  <c r="J105" i="5"/>
  <c r="K105" i="5" s="1"/>
  <c r="J97" i="5"/>
  <c r="K97" i="5" s="1"/>
  <c r="J89" i="5"/>
  <c r="K89" i="5" s="1"/>
  <c r="J81" i="5"/>
  <c r="K81" i="5" s="1"/>
  <c r="J73" i="5"/>
  <c r="K73" i="5" s="1"/>
  <c r="J65" i="5"/>
  <c r="K65" i="5" s="1"/>
  <c r="J57" i="5"/>
  <c r="K57" i="5" s="1"/>
  <c r="J49" i="5"/>
  <c r="K49" i="5" s="1"/>
  <c r="J41" i="5"/>
  <c r="K41" i="5" s="1"/>
  <c r="J33" i="5"/>
  <c r="K33" i="5" s="1"/>
  <c r="J25" i="5"/>
  <c r="K25" i="5" s="1"/>
  <c r="M98" i="29"/>
  <c r="N98" i="29" s="1"/>
  <c r="O98" i="29" s="1"/>
  <c r="M97" i="29"/>
  <c r="N97" i="29" s="1"/>
  <c r="O97" i="29" s="1"/>
  <c r="M96" i="29"/>
  <c r="M95" i="29"/>
  <c r="M94" i="29"/>
  <c r="N94" i="29" s="1"/>
  <c r="M93" i="29"/>
  <c r="N93" i="29" s="1"/>
  <c r="O93" i="29" s="1"/>
  <c r="M92" i="29"/>
  <c r="N92" i="29" s="1"/>
  <c r="O92" i="29" s="1"/>
  <c r="M91" i="29"/>
  <c r="M90" i="29"/>
  <c r="N90" i="29" s="1"/>
  <c r="O90" i="29" s="1"/>
  <c r="M89" i="29"/>
  <c r="N89" i="29" s="1"/>
  <c r="O89" i="29" s="1"/>
  <c r="M88" i="29"/>
  <c r="N88" i="29" s="1"/>
  <c r="M87" i="29"/>
  <c r="M86" i="29"/>
  <c r="M85" i="29"/>
  <c r="N85" i="29" s="1"/>
  <c r="O85" i="29" s="1"/>
  <c r="M84" i="29"/>
  <c r="N84" i="29" s="1"/>
  <c r="O84" i="29" s="1"/>
  <c r="M83" i="29"/>
  <c r="M82" i="29"/>
  <c r="N82" i="29" s="1"/>
  <c r="O82" i="29" s="1"/>
  <c r="M81" i="29"/>
  <c r="N81" i="29" s="1"/>
  <c r="O81" i="29" s="1"/>
  <c r="M80" i="29"/>
  <c r="M79" i="29"/>
  <c r="M78" i="29"/>
  <c r="M77" i="29"/>
  <c r="N77" i="29" s="1"/>
  <c r="O77" i="29" s="1"/>
  <c r="M76" i="29"/>
  <c r="N76" i="29" s="1"/>
  <c r="O76" i="29" s="1"/>
  <c r="M75" i="29"/>
  <c r="M74" i="29"/>
  <c r="M73" i="29"/>
  <c r="N73" i="29" s="1"/>
  <c r="O73" i="29" s="1"/>
  <c r="M72" i="29"/>
  <c r="N72" i="29" s="1"/>
  <c r="O72" i="29" s="1"/>
  <c r="M71" i="29"/>
  <c r="M70" i="29"/>
  <c r="M69" i="29"/>
  <c r="N69" i="29" s="1"/>
  <c r="O69" i="29" s="1"/>
  <c r="M68" i="29"/>
  <c r="N68" i="29" s="1"/>
  <c r="O68" i="29" s="1"/>
  <c r="M67" i="29"/>
  <c r="M66" i="29"/>
  <c r="M65" i="29"/>
  <c r="N65" i="29" s="1"/>
  <c r="O65" i="29" s="1"/>
  <c r="M64" i="29"/>
  <c r="M63" i="29"/>
  <c r="M62" i="29"/>
  <c r="N62" i="29" s="1"/>
  <c r="O62" i="29" s="1"/>
  <c r="M61" i="29"/>
  <c r="N61" i="29" s="1"/>
  <c r="M60" i="29"/>
  <c r="M59" i="29"/>
  <c r="N59" i="29" s="1"/>
  <c r="O59" i="29" s="1"/>
  <c r="M58" i="29"/>
  <c r="M57" i="29"/>
  <c r="M56" i="29"/>
  <c r="M55" i="29"/>
  <c r="M54" i="29"/>
  <c r="N54" i="29" s="1"/>
  <c r="O54" i="29" s="1"/>
  <c r="M53" i="29"/>
  <c r="M52" i="29"/>
  <c r="M51" i="29"/>
  <c r="M50" i="29"/>
  <c r="M49" i="29"/>
  <c r="M48" i="29"/>
  <c r="M32" i="29"/>
  <c r="M33" i="29"/>
  <c r="M34" i="29"/>
  <c r="N34" i="29" s="1"/>
  <c r="M35" i="29"/>
  <c r="M36" i="29"/>
  <c r="M37" i="29"/>
  <c r="M38" i="29"/>
  <c r="M39" i="29"/>
  <c r="M40" i="29"/>
  <c r="M41" i="29"/>
  <c r="M42" i="29"/>
  <c r="N42" i="29" s="1"/>
  <c r="M43" i="29"/>
  <c r="M44" i="29"/>
  <c r="M45" i="29"/>
  <c r="M46" i="29"/>
  <c r="M47" i="29"/>
  <c r="M31" i="29"/>
  <c r="I22" i="29"/>
  <c r="J22" i="29" s="1"/>
  <c r="M22" i="29" s="1"/>
  <c r="I23" i="29"/>
  <c r="J23" i="29" s="1"/>
  <c r="M23" i="29" s="1"/>
  <c r="I24" i="29"/>
  <c r="J24" i="29" s="1"/>
  <c r="M24" i="29" s="1"/>
  <c r="I25" i="29"/>
  <c r="J25" i="29" s="1"/>
  <c r="M25" i="29" s="1"/>
  <c r="I26" i="29"/>
  <c r="J26" i="29" s="1"/>
  <c r="M26" i="29" s="1"/>
  <c r="I27" i="29"/>
  <c r="J27" i="29" s="1"/>
  <c r="M27" i="29" s="1"/>
  <c r="I28" i="29"/>
  <c r="J28" i="29" s="1"/>
  <c r="M28" i="29" s="1"/>
  <c r="I29" i="29"/>
  <c r="J29" i="29" s="1"/>
  <c r="M29" i="29" s="1"/>
  <c r="I30" i="29"/>
  <c r="J30" i="29" s="1"/>
  <c r="M30" i="29" s="1"/>
  <c r="I21" i="29"/>
  <c r="J21" i="29" s="1"/>
  <c r="M21" i="29" s="1"/>
  <c r="N41" i="29" l="1"/>
  <c r="O41" i="29" s="1"/>
  <c r="N33" i="29"/>
  <c r="O33" i="29" s="1"/>
  <c r="O42" i="29"/>
  <c r="O34" i="29"/>
  <c r="N31" i="29"/>
  <c r="O31" i="29" s="1"/>
  <c r="N40" i="29"/>
  <c r="O40" i="29" s="1"/>
  <c r="N32" i="29"/>
  <c r="O32" i="29" s="1"/>
  <c r="N51" i="29"/>
  <c r="O51" i="29" s="1"/>
  <c r="N47" i="29"/>
  <c r="O47" i="29" s="1"/>
  <c r="N39" i="29"/>
  <c r="O39" i="29" s="1"/>
  <c r="O61" i="29"/>
  <c r="N46" i="29"/>
  <c r="O46" i="29" s="1"/>
  <c r="N38" i="29"/>
  <c r="O38" i="29" s="1"/>
  <c r="N45" i="29"/>
  <c r="O45" i="29" s="1"/>
  <c r="N37" i="29"/>
  <c r="O37" i="29" s="1"/>
  <c r="N58" i="29"/>
  <c r="O58" i="29" s="1"/>
  <c r="N80" i="29"/>
  <c r="O80" i="29" s="1"/>
  <c r="N44" i="29"/>
  <c r="O44" i="29" s="1"/>
  <c r="N36" i="29"/>
  <c r="O36" i="29" s="1"/>
  <c r="N53" i="29"/>
  <c r="O53" i="29" s="1"/>
  <c r="N86" i="29"/>
  <c r="O86" i="29" s="1"/>
  <c r="N43" i="29"/>
  <c r="O43" i="29" s="1"/>
  <c r="N35" i="29"/>
  <c r="O35" i="29" s="1"/>
  <c r="N50" i="29"/>
  <c r="O50" i="29" s="1"/>
  <c r="N70" i="29"/>
  <c r="O70" i="29" s="1"/>
  <c r="O94" i="29"/>
  <c r="N96" i="29"/>
  <c r="O96" i="29" s="1"/>
  <c r="N83" i="29"/>
  <c r="O83" i="29" s="1"/>
  <c r="O88" i="29"/>
  <c r="N91" i="29"/>
  <c r="O91" i="29" s="1"/>
  <c r="N87" i="29"/>
  <c r="O87" i="29" s="1"/>
  <c r="N95" i="29"/>
  <c r="O95" i="29" s="1"/>
  <c r="N71" i="29"/>
  <c r="O71" i="29" s="1"/>
  <c r="N79" i="29"/>
  <c r="O79" i="29" s="1"/>
  <c r="N66" i="29"/>
  <c r="O66" i="29" s="1"/>
  <c r="N74" i="29"/>
  <c r="O74" i="29" s="1"/>
  <c r="N67" i="29"/>
  <c r="O67" i="29" s="1"/>
  <c r="N75" i="29"/>
  <c r="O75" i="29" s="1"/>
  <c r="N78" i="29"/>
  <c r="O78" i="29" s="1"/>
  <c r="N49" i="29"/>
  <c r="O49" i="29" s="1"/>
  <c r="N57" i="29"/>
  <c r="O57" i="29" s="1"/>
  <c r="N52" i="29"/>
  <c r="O52" i="29" s="1"/>
  <c r="N60" i="29"/>
  <c r="O60" i="29" s="1"/>
  <c r="N55" i="29"/>
  <c r="O55" i="29" s="1"/>
  <c r="N63" i="29"/>
  <c r="O63" i="29" s="1"/>
  <c r="N48" i="29"/>
  <c r="O48" i="29" s="1"/>
  <c r="N56" i="29"/>
  <c r="O56" i="29" s="1"/>
  <c r="N64" i="29"/>
  <c r="O64" i="29" s="1"/>
  <c r="N26" i="29"/>
  <c r="O26" i="29" s="1"/>
  <c r="N23" i="29"/>
  <c r="O23" i="29" s="1"/>
  <c r="N29" i="29"/>
  <c r="O29" i="29" s="1"/>
  <c r="N24" i="29"/>
  <c r="O24" i="29" s="1"/>
  <c r="N21" i="29"/>
  <c r="O21" i="29" s="1"/>
  <c r="N27" i="29"/>
  <c r="O27" i="29" s="1"/>
  <c r="N25" i="29"/>
  <c r="O25" i="29" s="1"/>
  <c r="N28" i="29"/>
  <c r="O28" i="29" s="1"/>
  <c r="N22" i="29"/>
  <c r="O22" i="29" s="1"/>
  <c r="N30" i="29"/>
  <c r="O30" i="29" s="1"/>
  <c r="J20" i="29" l="1"/>
  <c r="M20" i="29" s="1"/>
  <c r="J19" i="29"/>
  <c r="M19" i="29" s="1"/>
  <c r="J18" i="29"/>
  <c r="M18" i="29" s="1"/>
  <c r="J17" i="29"/>
  <c r="M17" i="29" s="1"/>
  <c r="J16" i="29"/>
  <c r="M16" i="29" s="1"/>
  <c r="J15" i="29"/>
  <c r="M15" i="29" s="1"/>
  <c r="J14" i="29"/>
  <c r="M14" i="29" s="1"/>
  <c r="I13" i="29"/>
  <c r="J13" i="29" s="1"/>
  <c r="M13" i="29" s="1"/>
  <c r="I12" i="29"/>
  <c r="J12" i="29" s="1"/>
  <c r="M12" i="29" s="1"/>
  <c r="I11" i="29"/>
  <c r="J11" i="29" s="1"/>
  <c r="M11" i="29" s="1"/>
  <c r="I10" i="29"/>
  <c r="J10" i="29" s="1"/>
  <c r="M10" i="29" s="1"/>
  <c r="I9" i="29"/>
  <c r="J9" i="29" s="1"/>
  <c r="M9" i="29" s="1"/>
  <c r="I8" i="29"/>
  <c r="J8" i="29" s="1"/>
  <c r="M8" i="29" s="1"/>
  <c r="I7" i="29"/>
  <c r="J7" i="29" s="1"/>
  <c r="M7" i="29" s="1"/>
  <c r="N15" i="29" l="1"/>
  <c r="O15" i="29" s="1"/>
  <c r="N14" i="29"/>
  <c r="O14" i="29" s="1"/>
  <c r="N18" i="29"/>
  <c r="O18" i="29" s="1"/>
  <c r="N20" i="29"/>
  <c r="O20" i="29" s="1"/>
  <c r="N16" i="29"/>
  <c r="O16" i="29" s="1"/>
  <c r="N17" i="29"/>
  <c r="O17" i="29" s="1"/>
  <c r="N19" i="29"/>
  <c r="O19" i="29" s="1"/>
  <c r="N7" i="29"/>
  <c r="O7" i="29" s="1"/>
  <c r="N9" i="29"/>
  <c r="O9" i="29" s="1"/>
  <c r="N10" i="29"/>
  <c r="O10" i="29" s="1"/>
  <c r="N11" i="29"/>
  <c r="O11" i="29" s="1"/>
  <c r="N8" i="29"/>
  <c r="O8" i="29" s="1"/>
  <c r="N12" i="29"/>
  <c r="O12" i="29" s="1"/>
  <c r="N13" i="29"/>
  <c r="O13" i="29" s="1"/>
  <c r="G14" i="3" l="1"/>
  <c r="I14" i="3"/>
  <c r="G2" i="3"/>
  <c r="H15" i="1"/>
  <c r="F15" i="1"/>
  <c r="F2" i="1"/>
  <c r="J1124" i="1"/>
  <c r="J1123" i="1"/>
  <c r="B14" i="17"/>
  <c r="K25" i="23"/>
  <c r="K24" i="23"/>
  <c r="K23" i="23"/>
  <c r="K22" i="23"/>
  <c r="K21" i="23"/>
  <c r="K20" i="23"/>
  <c r="K19" i="23"/>
  <c r="K18" i="23"/>
  <c r="K17" i="23"/>
  <c r="K16" i="23"/>
  <c r="K15" i="23"/>
  <c r="K14" i="23"/>
  <c r="K13" i="23"/>
  <c r="K12" i="23"/>
  <c r="K11" i="23"/>
  <c r="K10" i="23"/>
  <c r="K9" i="23"/>
  <c r="K8" i="23"/>
  <c r="K27" i="23" l="1"/>
  <c r="K28" i="23" s="1"/>
  <c r="K29" i="23" s="1"/>
  <c r="B13" i="17" l="1"/>
  <c r="B12" i="17"/>
  <c r="B11" i="17"/>
  <c r="B10" i="17"/>
  <c r="B9" i="17"/>
  <c r="B8" i="17"/>
  <c r="B7" i="17"/>
  <c r="I17" i="10" l="1"/>
  <c r="J17" i="5"/>
  <c r="K17" i="5" s="1"/>
  <c r="J17" i="14"/>
  <c r="K17" i="14" s="1"/>
  <c r="L17" i="14" s="1"/>
  <c r="I17" i="7"/>
  <c r="J16" i="3"/>
  <c r="K16" i="3" s="1"/>
  <c r="J17" i="10" l="1"/>
  <c r="K17" i="10" s="1"/>
  <c r="J17" i="7"/>
  <c r="K17" i="7" s="1"/>
  <c r="K14" i="3" l="1"/>
  <c r="J14" i="3"/>
  <c r="H18" i="6"/>
  <c r="I18" i="6" s="1"/>
  <c r="H19" i="6"/>
  <c r="I19" i="6" s="1"/>
  <c r="H20" i="6"/>
  <c r="H21" i="6"/>
  <c r="I21" i="6" s="1"/>
  <c r="J21" i="6" s="1"/>
  <c r="H22" i="6"/>
  <c r="I22" i="6" s="1"/>
  <c r="J22" i="6" s="1"/>
  <c r="H23" i="6"/>
  <c r="I23" i="6" s="1"/>
  <c r="H24" i="6"/>
  <c r="I24" i="6" s="1"/>
  <c r="J24" i="6" s="1"/>
  <c r="H25" i="6"/>
  <c r="I25" i="6" s="1"/>
  <c r="J25" i="6" s="1"/>
  <c r="H26" i="6"/>
  <c r="I26" i="6" s="1"/>
  <c r="H27" i="6"/>
  <c r="I27" i="6"/>
  <c r="H28" i="6"/>
  <c r="H29" i="6"/>
  <c r="I29" i="6" s="1"/>
  <c r="J29" i="6" s="1"/>
  <c r="H30" i="6"/>
  <c r="I30" i="6" s="1"/>
  <c r="J30" i="6" s="1"/>
  <c r="H31" i="6"/>
  <c r="I31" i="6" s="1"/>
  <c r="H32" i="6"/>
  <c r="I32" i="6" s="1"/>
  <c r="H33" i="6"/>
  <c r="I33" i="6" s="1"/>
  <c r="J33" i="6" s="1"/>
  <c r="H34" i="6"/>
  <c r="I34" i="6" s="1"/>
  <c r="H17" i="6"/>
  <c r="I19" i="13"/>
  <c r="J19" i="13" s="1"/>
  <c r="I18" i="13"/>
  <c r="J18" i="13" s="1"/>
  <c r="I20" i="13"/>
  <c r="J20" i="13" s="1"/>
  <c r="I21" i="13"/>
  <c r="J21" i="13" s="1"/>
  <c r="I22" i="13"/>
  <c r="I23" i="13"/>
  <c r="J23" i="13" s="1"/>
  <c r="I24" i="13"/>
  <c r="J24" i="13" s="1"/>
  <c r="I25" i="13"/>
  <c r="I26" i="13"/>
  <c r="I27" i="13"/>
  <c r="J27" i="13" s="1"/>
  <c r="I28" i="13"/>
  <c r="J28" i="13" s="1"/>
  <c r="I29" i="13"/>
  <c r="I30" i="13"/>
  <c r="J30" i="13" s="1"/>
  <c r="I32" i="13"/>
  <c r="J32" i="13" s="1"/>
  <c r="I33" i="13"/>
  <c r="I34" i="13"/>
  <c r="I35" i="13"/>
  <c r="J35" i="13" s="1"/>
  <c r="I36" i="13"/>
  <c r="J36" i="13" s="1"/>
  <c r="I37" i="13"/>
  <c r="I38" i="13"/>
  <c r="I17" i="13"/>
  <c r="J17" i="13" s="1"/>
  <c r="J19" i="1"/>
  <c r="J23" i="1"/>
  <c r="J24" i="1"/>
  <c r="J25" i="1"/>
  <c r="J28" i="1"/>
  <c r="J31" i="1"/>
  <c r="J32" i="1"/>
  <c r="J33" i="1"/>
  <c r="J34" i="1"/>
  <c r="J37" i="1"/>
  <c r="J41" i="1"/>
  <c r="J44" i="1"/>
  <c r="J47" i="1"/>
  <c r="J48" i="1"/>
  <c r="J50" i="1"/>
  <c r="J52" i="1"/>
  <c r="J53" i="1"/>
  <c r="J57" i="1"/>
  <c r="J60" i="1"/>
  <c r="J63" i="1"/>
  <c r="J64" i="1"/>
  <c r="J65" i="1"/>
  <c r="J66" i="1"/>
  <c r="J68" i="1"/>
  <c r="J69" i="1"/>
  <c r="J79" i="1"/>
  <c r="J82" i="1"/>
  <c r="J84" i="1"/>
  <c r="J85" i="1"/>
  <c r="J95" i="1"/>
  <c r="J97" i="1"/>
  <c r="J98" i="1"/>
  <c r="J101" i="1"/>
  <c r="J111" i="1"/>
  <c r="J113" i="1"/>
  <c r="J114" i="1"/>
  <c r="J117" i="1"/>
  <c r="J127" i="1"/>
  <c r="J129" i="1"/>
  <c r="J130" i="1"/>
  <c r="J132" i="1"/>
  <c r="J133" i="1"/>
  <c r="J138" i="1"/>
  <c r="J143" i="1"/>
  <c r="J146" i="1"/>
  <c r="J148" i="1"/>
  <c r="J153" i="1"/>
  <c r="J162" i="1"/>
  <c r="J164" i="1"/>
  <c r="J167" i="1"/>
  <c r="J170" i="1"/>
  <c r="J172" i="1"/>
  <c r="J175" i="1"/>
  <c r="J176" i="1"/>
  <c r="J180" i="1"/>
  <c r="J183" i="1"/>
  <c r="J184" i="1"/>
  <c r="J194" i="1"/>
  <c r="J196" i="1"/>
  <c r="J197" i="1"/>
  <c r="J202" i="1"/>
  <c r="J204" i="1"/>
  <c r="J212" i="1"/>
  <c r="J231" i="1"/>
  <c r="J236" i="1"/>
  <c r="J239" i="1"/>
  <c r="J240" i="1"/>
  <c r="J244" i="1"/>
  <c r="J247" i="1"/>
  <c r="J248" i="1"/>
  <c r="J249" i="1"/>
  <c r="J252" i="1"/>
  <c r="J256" i="1"/>
  <c r="J257" i="1"/>
  <c r="J258" i="1"/>
  <c r="J261" i="1"/>
  <c r="J266" i="1"/>
  <c r="J268" i="1"/>
  <c r="J269" i="1"/>
  <c r="J272" i="1"/>
  <c r="J276" i="1"/>
  <c r="J279" i="1"/>
  <c r="J281" i="1"/>
  <c r="J282" i="1"/>
  <c r="J285" i="1"/>
  <c r="J288" i="1"/>
  <c r="J298" i="1"/>
  <c r="J301" i="1"/>
  <c r="J308" i="1"/>
  <c r="J311" i="1"/>
  <c r="J313" i="1"/>
  <c r="J314" i="1"/>
  <c r="J317" i="1"/>
  <c r="J327" i="1"/>
  <c r="J335" i="1"/>
  <c r="J341" i="1"/>
  <c r="J343" i="1"/>
  <c r="J345" i="1"/>
  <c r="J346" i="1"/>
  <c r="J349" i="1"/>
  <c r="J352" i="1"/>
  <c r="J356" i="1"/>
  <c r="J359" i="1"/>
  <c r="J360" i="1"/>
  <c r="J363" i="1"/>
  <c r="J367" i="1"/>
  <c r="J369" i="1"/>
  <c r="J370" i="1"/>
  <c r="J371" i="1"/>
  <c r="J391" i="1"/>
  <c r="J394" i="1"/>
  <c r="J396" i="1"/>
  <c r="J399" i="1"/>
  <c r="J401" i="1"/>
  <c r="J419" i="1"/>
  <c r="J425" i="1"/>
  <c r="J427" i="1"/>
  <c r="J428" i="1"/>
  <c r="J449" i="1"/>
  <c r="J452" i="1"/>
  <c r="J457" i="1"/>
  <c r="J459" i="1"/>
  <c r="J460" i="1"/>
  <c r="J468" i="1"/>
  <c r="J475" i="1"/>
  <c r="J476" i="1"/>
  <c r="J483" i="1"/>
  <c r="J489" i="1"/>
  <c r="J492" i="1"/>
  <c r="J508" i="1"/>
  <c r="J516" i="1"/>
  <c r="J521" i="1"/>
  <c r="J523" i="1"/>
  <c r="J530" i="1"/>
  <c r="J531" i="1"/>
  <c r="J538" i="1"/>
  <c r="J547" i="1"/>
  <c r="J555" i="1"/>
  <c r="J562" i="1"/>
  <c r="J569" i="1"/>
  <c r="J570" i="1"/>
  <c r="J576" i="1"/>
  <c r="J581" i="1"/>
  <c r="J582" i="1"/>
  <c r="J585" i="1"/>
  <c r="J598" i="1"/>
  <c r="J602" i="1"/>
  <c r="J605" i="1"/>
  <c r="J612" i="1"/>
  <c r="J620" i="1"/>
  <c r="J621" i="1"/>
  <c r="J628" i="1"/>
  <c r="J629" i="1"/>
  <c r="J633" i="1"/>
  <c r="J641" i="1"/>
  <c r="J645" i="1"/>
  <c r="J649" i="1"/>
  <c r="J657" i="1"/>
  <c r="J660" i="1"/>
  <c r="J668" i="1"/>
  <c r="J669" i="1"/>
  <c r="J673" i="1"/>
  <c r="J685" i="1"/>
  <c r="J692" i="1"/>
  <c r="J693" i="1"/>
  <c r="J704" i="1"/>
  <c r="J705" i="1"/>
  <c r="J712" i="1"/>
  <c r="J716" i="1"/>
  <c r="J717" i="1"/>
  <c r="J720" i="1"/>
  <c r="J724" i="1"/>
  <c r="J725" i="1"/>
  <c r="J732" i="1"/>
  <c r="J733" i="1"/>
  <c r="J740" i="1"/>
  <c r="J741" i="1"/>
  <c r="J744" i="1"/>
  <c r="J748" i="1"/>
  <c r="J756" i="1"/>
  <c r="J761" i="1"/>
  <c r="J768" i="1"/>
  <c r="J776" i="1"/>
  <c r="J781" i="1"/>
  <c r="J784" i="1"/>
  <c r="J788" i="1"/>
  <c r="J791" i="1"/>
  <c r="J793" i="1"/>
  <c r="J796" i="1"/>
  <c r="J799" i="1"/>
  <c r="J801" i="1"/>
  <c r="J805" i="1"/>
  <c r="J807" i="1"/>
  <c r="J813" i="1"/>
  <c r="J815" i="1"/>
  <c r="J821" i="1"/>
  <c r="J826" i="1"/>
  <c r="J829" i="1"/>
  <c r="J836" i="1"/>
  <c r="J837" i="1"/>
  <c r="J845" i="1"/>
  <c r="J850" i="1"/>
  <c r="J860" i="1"/>
  <c r="J862" i="1"/>
  <c r="J872" i="1"/>
  <c r="J880" i="1"/>
  <c r="J883" i="1"/>
  <c r="J888" i="1"/>
  <c r="J896" i="1"/>
  <c r="J899" i="1"/>
  <c r="J904" i="1"/>
  <c r="J907" i="1"/>
  <c r="J909" i="1"/>
  <c r="J912" i="1"/>
  <c r="J915" i="1"/>
  <c r="J917" i="1"/>
  <c r="J920" i="1"/>
  <c r="J924" i="1"/>
  <c r="J932" i="1"/>
  <c r="J936" i="1"/>
  <c r="J939" i="1"/>
  <c r="J940" i="1"/>
  <c r="J945" i="1"/>
  <c r="J947" i="1"/>
  <c r="J948" i="1"/>
  <c r="J955" i="1"/>
  <c r="J957" i="1"/>
  <c r="J958" i="1"/>
  <c r="J963" i="1"/>
  <c r="J965" i="1"/>
  <c r="J979" i="1"/>
  <c r="J980" i="1"/>
  <c r="J987" i="1"/>
  <c r="J990" i="1"/>
  <c r="J995" i="1"/>
  <c r="J1009" i="1"/>
  <c r="J1011" i="1"/>
  <c r="J1012" i="1"/>
  <c r="J1021" i="1"/>
  <c r="J1022" i="1"/>
  <c r="J1024" i="1"/>
  <c r="J1027" i="1"/>
  <c r="J1029" i="1"/>
  <c r="J1030" i="1"/>
  <c r="J1032" i="1"/>
  <c r="J1035" i="1"/>
  <c r="J1037" i="1"/>
  <c r="J1038" i="1"/>
  <c r="J1040" i="1"/>
  <c r="J1043" i="1"/>
  <c r="J1045" i="1"/>
  <c r="J1046" i="1"/>
  <c r="J1048" i="1"/>
  <c r="J1052" i="1"/>
  <c r="J1053" i="1"/>
  <c r="J1054" i="1"/>
  <c r="J1056" i="1"/>
  <c r="J1061" i="1"/>
  <c r="J1062" i="1"/>
  <c r="J1064" i="1"/>
  <c r="J1068" i="1"/>
  <c r="J1069" i="1"/>
  <c r="J1070" i="1"/>
  <c r="J1072" i="1"/>
  <c r="J1077" i="1"/>
  <c r="J1078" i="1"/>
  <c r="J1080" i="1"/>
  <c r="J1085" i="1"/>
  <c r="J1086" i="1"/>
  <c r="J1088" i="1"/>
  <c r="J1091" i="1"/>
  <c r="J1092" i="1"/>
  <c r="J1093" i="1"/>
  <c r="J1094" i="1"/>
  <c r="J1096" i="1"/>
  <c r="J1101" i="1"/>
  <c r="J1102" i="1"/>
  <c r="J1104" i="1"/>
  <c r="J1107" i="1"/>
  <c r="J1109" i="1"/>
  <c r="J1110" i="1"/>
  <c r="J1112" i="1"/>
  <c r="J1116" i="1"/>
  <c r="J1117" i="1"/>
  <c r="J1118" i="1"/>
  <c r="I17" i="1"/>
  <c r="J22" i="13" l="1"/>
  <c r="I31" i="13"/>
  <c r="J31" i="13" s="1"/>
  <c r="J473" i="1"/>
  <c r="J873" i="1"/>
  <c r="J642" i="1"/>
  <c r="J754" i="1"/>
  <c r="J271" i="1"/>
  <c r="J609" i="1"/>
  <c r="J858" i="1"/>
  <c r="J1099" i="1"/>
  <c r="J441" i="1"/>
  <c r="J137" i="1"/>
  <c r="J552" i="1"/>
  <c r="J545" i="1"/>
  <c r="J986" i="1"/>
  <c r="J769" i="1"/>
  <c r="J412" i="1"/>
  <c r="J866" i="1"/>
  <c r="J820" i="1"/>
  <c r="J536" i="1"/>
  <c r="J417" i="1"/>
  <c r="J116" i="1"/>
  <c r="J87" i="1"/>
  <c r="J1060" i="1"/>
  <c r="J665" i="1"/>
  <c r="J1067" i="1"/>
  <c r="J1000" i="1"/>
  <c r="J954" i="1"/>
  <c r="J889" i="1"/>
  <c r="J802" i="1"/>
  <c r="J539" i="1"/>
  <c r="J514" i="1"/>
  <c r="J433" i="1"/>
  <c r="J330" i="1"/>
  <c r="J842" i="1"/>
  <c r="J637" i="1"/>
  <c r="J467" i="1"/>
  <c r="J418" i="1"/>
  <c r="J661" i="1"/>
  <c r="J977" i="1"/>
  <c r="J389" i="1"/>
  <c r="J721" i="1"/>
  <c r="J706" i="1"/>
  <c r="J689" i="1"/>
  <c r="J567" i="1"/>
  <c r="J435" i="1"/>
  <c r="J410" i="1"/>
  <c r="J199" i="1"/>
  <c r="J100" i="1"/>
  <c r="J89" i="1"/>
  <c r="J49" i="1"/>
  <c r="J141" i="1"/>
  <c r="J1020" i="1"/>
  <c r="J852" i="1"/>
  <c r="J777" i="1"/>
  <c r="J770" i="1"/>
  <c r="J757" i="1"/>
  <c r="J745" i="1"/>
  <c r="J701" i="1"/>
  <c r="J560" i="1"/>
  <c r="J481" i="1"/>
  <c r="J398" i="1"/>
  <c r="J378" i="1"/>
  <c r="J295" i="1"/>
  <c r="J289" i="1"/>
  <c r="J105" i="1"/>
  <c r="J61" i="1"/>
  <c r="J1028" i="1"/>
  <c r="J993" i="1"/>
  <c r="J708" i="1"/>
  <c r="J451" i="1"/>
  <c r="J233" i="1"/>
  <c r="J192" i="1"/>
  <c r="J124" i="1"/>
  <c r="J765" i="1"/>
  <c r="J17" i="1"/>
  <c r="J928" i="1"/>
  <c r="J905" i="1"/>
  <c r="J881" i="1"/>
  <c r="J875" i="1"/>
  <c r="J644" i="1"/>
  <c r="J543" i="1"/>
  <c r="J484" i="1"/>
  <c r="J465" i="1"/>
  <c r="J450" i="1"/>
  <c r="J382" i="1"/>
  <c r="J366" i="1"/>
  <c r="J336" i="1"/>
  <c r="J321" i="1"/>
  <c r="J225" i="1"/>
  <c r="J220" i="1"/>
  <c r="J216" i="1"/>
  <c r="J140" i="1"/>
  <c r="J92" i="1"/>
  <c r="J73" i="1"/>
  <c r="J26" i="1"/>
  <c r="J594" i="1"/>
  <c r="J500" i="1"/>
  <c r="J426" i="1"/>
  <c r="J326" i="1"/>
  <c r="J304" i="1"/>
  <c r="J109" i="1"/>
  <c r="J785" i="1"/>
  <c r="J760" i="1"/>
  <c r="J653" i="1"/>
  <c r="J1002" i="1"/>
  <c r="J970" i="1"/>
  <c r="J897" i="1"/>
  <c r="J891" i="1"/>
  <c r="J868" i="1"/>
  <c r="J834" i="1"/>
  <c r="J764" i="1"/>
  <c r="J690" i="1"/>
  <c r="J386" i="1"/>
  <c r="J303" i="1"/>
  <c r="J90" i="1"/>
  <c r="J1004" i="1"/>
  <c r="J870" i="1"/>
  <c r="J773" i="1"/>
  <c r="J1059" i="1"/>
  <c r="J1036" i="1"/>
  <c r="J1016" i="1"/>
  <c r="J996" i="1"/>
  <c r="J806" i="1"/>
  <c r="J684" i="1"/>
  <c r="J647" i="1"/>
  <c r="J853" i="1"/>
  <c r="J780" i="1"/>
  <c r="J188" i="1"/>
  <c r="J1031" i="1"/>
  <c r="J697" i="1"/>
  <c r="J1095" i="1"/>
  <c r="J972" i="1"/>
  <c r="J666" i="1"/>
  <c r="J626" i="1"/>
  <c r="J342" i="1"/>
  <c r="J971" i="1"/>
  <c r="J908" i="1"/>
  <c r="J885" i="1"/>
  <c r="J812" i="1"/>
  <c r="J1100" i="1"/>
  <c r="J1001" i="1"/>
  <c r="J981" i="1"/>
  <c r="J964" i="1"/>
  <c r="J941" i="1"/>
  <c r="J884" i="1"/>
  <c r="J830" i="1"/>
  <c r="J818" i="1"/>
  <c r="J746" i="1"/>
  <c r="J677" i="1"/>
  <c r="J652" i="1"/>
  <c r="J636" i="1"/>
  <c r="J237" i="1"/>
  <c r="J210" i="1"/>
  <c r="J81" i="1"/>
  <c r="J74" i="1"/>
  <c r="J937" i="1"/>
  <c r="J893" i="1"/>
  <c r="J892" i="1"/>
  <c r="J1075" i="1"/>
  <c r="J997" i="1"/>
  <c r="J869" i="1"/>
  <c r="J613" i="1"/>
  <c r="J590" i="1"/>
  <c r="J507" i="1"/>
  <c r="J444" i="1"/>
  <c r="J861" i="1"/>
  <c r="J709" i="1"/>
  <c r="J436" i="1"/>
  <c r="J390" i="1"/>
  <c r="J320" i="1"/>
  <c r="J901" i="1"/>
  <c r="J1084" i="1"/>
  <c r="J1071" i="1"/>
  <c r="J1051" i="1"/>
  <c r="J1013" i="1"/>
  <c r="J969" i="1"/>
  <c r="J949" i="1"/>
  <c r="J923" i="1"/>
  <c r="J900" i="1"/>
  <c r="J877" i="1"/>
  <c r="J804" i="1"/>
  <c r="J700" i="1"/>
  <c r="J597" i="1"/>
  <c r="J574" i="1"/>
  <c r="J324" i="1"/>
  <c r="J152" i="1"/>
  <c r="J213" i="1"/>
  <c r="J1103" i="1"/>
  <c r="J1076" i="1"/>
  <c r="J1044" i="1"/>
  <c r="J1003" i="1"/>
  <c r="J988" i="1"/>
  <c r="J961" i="1"/>
  <c r="J916" i="1"/>
  <c r="J790" i="1"/>
  <c r="J528" i="1"/>
  <c r="J265" i="1"/>
  <c r="J205" i="1"/>
  <c r="J1108" i="1"/>
  <c r="J1017" i="1"/>
  <c r="J956" i="1"/>
  <c r="J931" i="1"/>
  <c r="J772" i="1"/>
  <c r="J1006" i="1"/>
  <c r="J839" i="1"/>
  <c r="J822" i="1"/>
  <c r="J1120" i="1"/>
  <c r="J1115" i="1"/>
  <c r="J1083" i="1"/>
  <c r="J1039" i="1"/>
  <c r="J1019" i="1"/>
  <c r="J985" i="1"/>
  <c r="J974" i="1"/>
  <c r="J953" i="1"/>
  <c r="J876" i="1"/>
  <c r="J854" i="1"/>
  <c r="J844" i="1"/>
  <c r="J828" i="1"/>
  <c r="J792" i="1"/>
  <c r="J737" i="1"/>
  <c r="J681" i="1"/>
  <c r="J482" i="1"/>
  <c r="J368" i="1"/>
  <c r="J297" i="1"/>
  <c r="J1079" i="1"/>
  <c r="J968" i="1"/>
  <c r="J831" i="1"/>
  <c r="J753" i="1"/>
  <c r="J568" i="1"/>
  <c r="J522" i="1"/>
  <c r="J497" i="1"/>
  <c r="J446" i="1"/>
  <c r="J430" i="1"/>
  <c r="J407" i="1"/>
  <c r="J234" i="1"/>
  <c r="J228" i="1"/>
  <c r="J201" i="1"/>
  <c r="J76" i="1"/>
  <c r="J1087" i="1"/>
  <c r="J1023" i="1"/>
  <c r="J982" i="1"/>
  <c r="J950" i="1"/>
  <c r="J933" i="1"/>
  <c r="J925" i="1"/>
  <c r="J789" i="1"/>
  <c r="J729" i="1"/>
  <c r="J713" i="1"/>
  <c r="J676" i="1"/>
  <c r="J625" i="1"/>
  <c r="J591" i="1"/>
  <c r="J540" i="1"/>
  <c r="J217" i="1"/>
  <c r="J177" i="1"/>
  <c r="J193" i="1"/>
  <c r="J145" i="1"/>
  <c r="J1111" i="1"/>
  <c r="J1047" i="1"/>
  <c r="J1018" i="1"/>
  <c r="J984" i="1"/>
  <c r="J952" i="1"/>
  <c r="J847" i="1"/>
  <c r="J838" i="1"/>
  <c r="J810" i="1"/>
  <c r="J749" i="1"/>
  <c r="J617" i="1"/>
  <c r="J577" i="1"/>
  <c r="J515" i="1"/>
  <c r="J494" i="1"/>
  <c r="J443" i="1"/>
  <c r="J438" i="1"/>
  <c r="J385" i="1"/>
  <c r="J379" i="1"/>
  <c r="J332" i="1"/>
  <c r="J277" i="1"/>
  <c r="J260" i="1"/>
  <c r="J209" i="1"/>
  <c r="J169" i="1"/>
  <c r="J156" i="1"/>
  <c r="J144" i="1"/>
  <c r="J1055" i="1"/>
  <c r="J1014" i="1"/>
  <c r="J998" i="1"/>
  <c r="J966" i="1"/>
  <c r="J823" i="1"/>
  <c r="J814" i="1"/>
  <c r="J650" i="1"/>
  <c r="J623" i="1"/>
  <c r="J340" i="1"/>
  <c r="J310" i="1"/>
  <c r="J305" i="1"/>
  <c r="J121" i="1"/>
  <c r="J1119" i="1"/>
  <c r="J1063" i="1"/>
  <c r="J846" i="1"/>
  <c r="J762" i="1"/>
  <c r="J563" i="1"/>
  <c r="J554" i="1"/>
  <c r="J499" i="1"/>
  <c r="J477" i="1"/>
  <c r="J393" i="1"/>
  <c r="J241" i="1"/>
  <c r="J185" i="1"/>
  <c r="J173" i="1"/>
  <c r="J108" i="1"/>
  <c r="J663" i="1"/>
  <c r="J548" i="1"/>
  <c r="J501" i="1"/>
  <c r="J422" i="1"/>
  <c r="J414" i="1"/>
  <c r="J250" i="1"/>
  <c r="J80" i="1"/>
  <c r="J561" i="1"/>
  <c r="J556" i="1"/>
  <c r="J509" i="1"/>
  <c r="J374" i="1"/>
  <c r="J338" i="1"/>
  <c r="J280" i="1"/>
  <c r="J584" i="1"/>
  <c r="J546" i="1"/>
  <c r="J525" i="1"/>
  <c r="J491" i="1"/>
  <c r="J470" i="1"/>
  <c r="J454" i="1"/>
  <c r="J445" i="1"/>
  <c r="J437" i="1"/>
  <c r="J429" i="1"/>
  <c r="J420" i="1"/>
  <c r="J413" i="1"/>
  <c r="J392" i="1"/>
  <c r="J353" i="1"/>
  <c r="J350" i="1"/>
  <c r="J337" i="1"/>
  <c r="J329" i="1"/>
  <c r="J273" i="1"/>
  <c r="J207" i="1"/>
  <c r="J161" i="1"/>
  <c r="J149" i="1"/>
  <c r="J119" i="1"/>
  <c r="J36" i="1"/>
  <c r="J21" i="1"/>
  <c r="J607" i="1"/>
  <c r="J603" i="1"/>
  <c r="J600" i="1"/>
  <c r="J588" i="1"/>
  <c r="J529" i="1"/>
  <c r="J486" i="1"/>
  <c r="J478" i="1"/>
  <c r="J466" i="1"/>
  <c r="J462" i="1"/>
  <c r="J458" i="1"/>
  <c r="J404" i="1"/>
  <c r="J232" i="1"/>
  <c r="J226" i="1"/>
  <c r="J223" i="1"/>
  <c r="J186" i="1"/>
  <c r="J165" i="1"/>
  <c r="J42" i="1"/>
  <c r="J20" i="1"/>
  <c r="J32" i="6"/>
  <c r="J27" i="6"/>
  <c r="J26" i="6"/>
  <c r="J34" i="6"/>
  <c r="I17" i="6"/>
  <c r="J17" i="6" s="1"/>
  <c r="I28" i="6"/>
  <c r="J28" i="6" s="1"/>
  <c r="I20" i="6"/>
  <c r="J20" i="6" s="1"/>
  <c r="J19" i="6"/>
  <c r="J18" i="6"/>
  <c r="J31" i="6"/>
  <c r="J23" i="6"/>
  <c r="J34" i="13"/>
  <c r="J25" i="13"/>
  <c r="J26" i="13"/>
  <c r="J38" i="13"/>
  <c r="J29" i="13"/>
  <c r="J33" i="13"/>
  <c r="J37" i="13"/>
  <c r="J1121" i="1"/>
  <c r="J1097" i="1"/>
  <c r="J1057" i="1"/>
  <c r="J1041" i="1"/>
  <c r="J1025" i="1"/>
  <c r="J1113" i="1"/>
  <c r="J1105" i="1"/>
  <c r="J1089" i="1"/>
  <c r="J1081" i="1"/>
  <c r="J1073" i="1"/>
  <c r="J1065" i="1"/>
  <c r="J1049" i="1"/>
  <c r="J1033" i="1"/>
  <c r="J1010" i="1"/>
  <c r="J1007" i="1"/>
  <c r="J994" i="1"/>
  <c r="J991" i="1"/>
  <c r="J978" i="1"/>
  <c r="J975" i="1"/>
  <c r="J962" i="1"/>
  <c r="J959" i="1"/>
  <c r="J946" i="1"/>
  <c r="J943" i="1"/>
  <c r="J659" i="1"/>
  <c r="J347" i="1"/>
  <c r="J942" i="1"/>
  <c r="J927" i="1"/>
  <c r="J919" i="1"/>
  <c r="J911" i="1"/>
  <c r="J903" i="1"/>
  <c r="J895" i="1"/>
  <c r="J887" i="1"/>
  <c r="J879" i="1"/>
  <c r="J871" i="1"/>
  <c r="J864" i="1"/>
  <c r="J856" i="1"/>
  <c r="J731" i="1"/>
  <c r="J496" i="1"/>
  <c r="J816" i="1"/>
  <c r="J471" i="1"/>
  <c r="J938" i="1"/>
  <c r="J934" i="1"/>
  <c r="J824" i="1"/>
  <c r="J797" i="1"/>
  <c r="J775" i="1"/>
  <c r="J935" i="1"/>
  <c r="J848" i="1"/>
  <c r="J1114" i="1"/>
  <c r="J1106" i="1"/>
  <c r="J1098" i="1"/>
  <c r="J1090" i="1"/>
  <c r="J1082" i="1"/>
  <c r="J1074" i="1"/>
  <c r="J1066" i="1"/>
  <c r="J1058" i="1"/>
  <c r="J1050" i="1"/>
  <c r="J1042" i="1"/>
  <c r="J1034" i="1"/>
  <c r="J1026" i="1"/>
  <c r="J1015" i="1"/>
  <c r="J999" i="1"/>
  <c r="J983" i="1"/>
  <c r="J967" i="1"/>
  <c r="J951" i="1"/>
  <c r="J930" i="1"/>
  <c r="J926" i="1"/>
  <c r="J918" i="1"/>
  <c r="J910" i="1"/>
  <c r="J902" i="1"/>
  <c r="J894" i="1"/>
  <c r="J886" i="1"/>
  <c r="J878" i="1"/>
  <c r="J863" i="1"/>
  <c r="J855" i="1"/>
  <c r="J674" i="1"/>
  <c r="J596" i="1"/>
  <c r="J513" i="1"/>
  <c r="J411" i="1"/>
  <c r="J27" i="1"/>
  <c r="J1122" i="1"/>
  <c r="J1008" i="1"/>
  <c r="J1005" i="1"/>
  <c r="J992" i="1"/>
  <c r="J989" i="1"/>
  <c r="J976" i="1"/>
  <c r="J973" i="1"/>
  <c r="J960" i="1"/>
  <c r="J944" i="1"/>
  <c r="J929" i="1"/>
  <c r="J922" i="1"/>
  <c r="J914" i="1"/>
  <c r="J906" i="1"/>
  <c r="J898" i="1"/>
  <c r="J890" i="1"/>
  <c r="J882" i="1"/>
  <c r="J874" i="1"/>
  <c r="J867" i="1"/>
  <c r="J859" i="1"/>
  <c r="J832" i="1"/>
  <c r="J778" i="1"/>
  <c r="J734" i="1"/>
  <c r="J711" i="1"/>
  <c r="J648" i="1"/>
  <c r="J537" i="1"/>
  <c r="J921" i="1"/>
  <c r="J913" i="1"/>
  <c r="J610" i="1"/>
  <c r="J840" i="1"/>
  <c r="J808" i="1"/>
  <c r="J800" i="1"/>
  <c r="J794" i="1"/>
  <c r="J728" i="1"/>
  <c r="J714" i="1"/>
  <c r="J758" i="1"/>
  <c r="J667" i="1"/>
  <c r="J604" i="1"/>
  <c r="J573" i="1"/>
  <c r="J406" i="1"/>
  <c r="J319" i="1"/>
  <c r="J296" i="1"/>
  <c r="J774" i="1"/>
  <c r="J771" i="1"/>
  <c r="J751" i="1"/>
  <c r="J730" i="1"/>
  <c r="J710" i="1"/>
  <c r="J707" i="1"/>
  <c r="J658" i="1"/>
  <c r="J655" i="1"/>
  <c r="J651" i="1"/>
  <c r="J640" i="1"/>
  <c r="J595" i="1"/>
  <c r="J589" i="1"/>
  <c r="J512" i="1"/>
  <c r="J463" i="1"/>
  <c r="J434" i="1"/>
  <c r="J750" i="1"/>
  <c r="J747" i="1"/>
  <c r="J727" i="1"/>
  <c r="J696" i="1"/>
  <c r="J643" i="1"/>
  <c r="J632" i="1"/>
  <c r="J565" i="1"/>
  <c r="J544" i="1"/>
  <c r="J519" i="1"/>
  <c r="J511" i="1"/>
  <c r="J77" i="1"/>
  <c r="J865" i="1"/>
  <c r="J857" i="1"/>
  <c r="J849" i="1"/>
  <c r="J841" i="1"/>
  <c r="J833" i="1"/>
  <c r="J825" i="1"/>
  <c r="J817" i="1"/>
  <c r="J809" i="1"/>
  <c r="J787" i="1"/>
  <c r="J767" i="1"/>
  <c r="J736" i="1"/>
  <c r="J726" i="1"/>
  <c r="J723" i="1"/>
  <c r="J703" i="1"/>
  <c r="J699" i="1"/>
  <c r="J688" i="1"/>
  <c r="J639" i="1"/>
  <c r="J635" i="1"/>
  <c r="J624" i="1"/>
  <c r="J564" i="1"/>
  <c r="J103" i="1"/>
  <c r="J798" i="1"/>
  <c r="J786" i="1"/>
  <c r="J766" i="1"/>
  <c r="J763" i="1"/>
  <c r="J743" i="1"/>
  <c r="J722" i="1"/>
  <c r="J702" i="1"/>
  <c r="J698" i="1"/>
  <c r="J695" i="1"/>
  <c r="J691" i="1"/>
  <c r="J680" i="1"/>
  <c r="J634" i="1"/>
  <c r="J631" i="1"/>
  <c r="J627" i="1"/>
  <c r="J616" i="1"/>
  <c r="J579" i="1"/>
  <c r="J575" i="1"/>
  <c r="J534" i="1"/>
  <c r="J490" i="1"/>
  <c r="J474" i="1"/>
  <c r="J432" i="1"/>
  <c r="J408" i="1"/>
  <c r="J403" i="1"/>
  <c r="J388" i="1"/>
  <c r="J380" i="1"/>
  <c r="J851" i="1"/>
  <c r="J843" i="1"/>
  <c r="J835" i="1"/>
  <c r="J827" i="1"/>
  <c r="J819" i="1"/>
  <c r="J811" i="1"/>
  <c r="J803" i="1"/>
  <c r="J795" i="1"/>
  <c r="J783" i="1"/>
  <c r="J752" i="1"/>
  <c r="J742" i="1"/>
  <c r="J739" i="1"/>
  <c r="J719" i="1"/>
  <c r="J687" i="1"/>
  <c r="J683" i="1"/>
  <c r="J672" i="1"/>
  <c r="J619" i="1"/>
  <c r="J608" i="1"/>
  <c r="J583" i="1"/>
  <c r="J578" i="1"/>
  <c r="J559" i="1"/>
  <c r="J551" i="1"/>
  <c r="J526" i="1"/>
  <c r="J498" i="1"/>
  <c r="J448" i="1"/>
  <c r="J782" i="1"/>
  <c r="J779" i="1"/>
  <c r="J759" i="1"/>
  <c r="J755" i="1"/>
  <c r="J738" i="1"/>
  <c r="J735" i="1"/>
  <c r="J718" i="1"/>
  <c r="J715" i="1"/>
  <c r="J682" i="1"/>
  <c r="J679" i="1"/>
  <c r="J675" i="1"/>
  <c r="J671" i="1"/>
  <c r="J664" i="1"/>
  <c r="J656" i="1"/>
  <c r="J618" i="1"/>
  <c r="J615" i="1"/>
  <c r="J611" i="1"/>
  <c r="J601" i="1"/>
  <c r="J593" i="1"/>
  <c r="J558" i="1"/>
  <c r="J541" i="1"/>
  <c r="J505" i="1"/>
  <c r="J493" i="1"/>
  <c r="J456" i="1"/>
  <c r="J447" i="1"/>
  <c r="J229" i="1"/>
  <c r="J533" i="1"/>
  <c r="J518" i="1"/>
  <c r="J504" i="1"/>
  <c r="J485" i="1"/>
  <c r="J455" i="1"/>
  <c r="J440" i="1"/>
  <c r="J421" i="1"/>
  <c r="J402" i="1"/>
  <c r="J381" i="1"/>
  <c r="J377" i="1"/>
  <c r="J373" i="1"/>
  <c r="J339" i="1"/>
  <c r="J290" i="1"/>
  <c r="J286" i="1"/>
  <c r="J221" i="1"/>
  <c r="J39" i="1"/>
  <c r="J532" i="1"/>
  <c r="J517" i="1"/>
  <c r="J503" i="1"/>
  <c r="J488" i="1"/>
  <c r="J469" i="1"/>
  <c r="J439" i="1"/>
  <c r="J424" i="1"/>
  <c r="J372" i="1"/>
  <c r="J364" i="1"/>
  <c r="J358" i="1"/>
  <c r="J322" i="1"/>
  <c r="J318" i="1"/>
  <c r="J300" i="1"/>
  <c r="J263" i="1"/>
  <c r="J245" i="1"/>
  <c r="J694" i="1"/>
  <c r="J686" i="1"/>
  <c r="J678" i="1"/>
  <c r="J670" i="1"/>
  <c r="J662" i="1"/>
  <c r="J654" i="1"/>
  <c r="J646" i="1"/>
  <c r="J638" i="1"/>
  <c r="J630" i="1"/>
  <c r="J622" i="1"/>
  <c r="J614" i="1"/>
  <c r="J606" i="1"/>
  <c r="J599" i="1"/>
  <c r="J592" i="1"/>
  <c r="J587" i="1"/>
  <c r="J580" i="1"/>
  <c r="J572" i="1"/>
  <c r="J566" i="1"/>
  <c r="J557" i="1"/>
  <c r="J550" i="1"/>
  <c r="J524" i="1"/>
  <c r="J510" i="1"/>
  <c r="J495" i="1"/>
  <c r="J480" i="1"/>
  <c r="J461" i="1"/>
  <c r="J431" i="1"/>
  <c r="J416" i="1"/>
  <c r="J405" i="1"/>
  <c r="J397" i="1"/>
  <c r="J376" i="1"/>
  <c r="J307" i="1"/>
  <c r="J122" i="1"/>
  <c r="J43" i="1"/>
  <c r="J553" i="1"/>
  <c r="J535" i="1"/>
  <c r="J520" i="1"/>
  <c r="J506" i="1"/>
  <c r="J502" i="1"/>
  <c r="J487" i="1"/>
  <c r="J472" i="1"/>
  <c r="J453" i="1"/>
  <c r="J442" i="1"/>
  <c r="J423" i="1"/>
  <c r="J409" i="1"/>
  <c r="J400" i="1"/>
  <c r="J384" i="1"/>
  <c r="J312" i="1"/>
  <c r="J208" i="1"/>
  <c r="J106" i="1"/>
  <c r="J586" i="1"/>
  <c r="J571" i="1"/>
  <c r="J549" i="1"/>
  <c r="J542" i="1"/>
  <c r="J527" i="1"/>
  <c r="J479" i="1"/>
  <c r="J464" i="1"/>
  <c r="J415" i="1"/>
  <c r="J383" i="1"/>
  <c r="J375" i="1"/>
  <c r="J316" i="1"/>
  <c r="J278" i="1"/>
  <c r="J215" i="1"/>
  <c r="J200" i="1"/>
  <c r="J191" i="1"/>
  <c r="J187" i="1"/>
  <c r="J126" i="1"/>
  <c r="J110" i="1"/>
  <c r="J58" i="1"/>
  <c r="J361" i="1"/>
  <c r="J344" i="1"/>
  <c r="J333" i="1"/>
  <c r="J292" i="1"/>
  <c r="J218" i="1"/>
  <c r="J157" i="1"/>
  <c r="J136" i="1"/>
  <c r="J125" i="1"/>
  <c r="J120" i="1"/>
  <c r="J135" i="1"/>
  <c r="J93" i="1"/>
  <c r="J22" i="1"/>
  <c r="J387" i="1"/>
  <c r="J325" i="1"/>
  <c r="J306" i="1"/>
  <c r="J190" i="1"/>
  <c r="J160" i="1"/>
  <c r="J96" i="1"/>
  <c r="J91" i="1"/>
  <c r="J72" i="1"/>
  <c r="J62" i="1"/>
  <c r="J365" i="1"/>
  <c r="J362" i="1"/>
  <c r="J275" i="1"/>
  <c r="J171" i="1"/>
  <c r="J168" i="1"/>
  <c r="J163" i="1"/>
  <c r="J71" i="1"/>
  <c r="J56" i="1"/>
  <c r="J46" i="1"/>
  <c r="J395" i="1"/>
  <c r="J355" i="1"/>
  <c r="J348" i="1"/>
  <c r="J328" i="1"/>
  <c r="J309" i="1"/>
  <c r="J293" i="1"/>
  <c r="J284" i="1"/>
  <c r="J264" i="1"/>
  <c r="J255" i="1"/>
  <c r="J251" i="1"/>
  <c r="J224" i="1"/>
  <c r="J189" i="1"/>
  <c r="J159" i="1"/>
  <c r="J154" i="1"/>
  <c r="J151" i="1"/>
  <c r="J128" i="1"/>
  <c r="J123" i="1"/>
  <c r="J104" i="1"/>
  <c r="J94" i="1"/>
  <c r="J55" i="1"/>
  <c r="J45" i="1"/>
  <c r="J40" i="1"/>
  <c r="J30" i="1"/>
  <c r="J354" i="1"/>
  <c r="J351" i="1"/>
  <c r="J283" i="1"/>
  <c r="J274" i="1"/>
  <c r="J254" i="1"/>
  <c r="J235" i="1"/>
  <c r="J227" i="1"/>
  <c r="J178" i="1"/>
  <c r="J174" i="1"/>
  <c r="J166" i="1"/>
  <c r="J75" i="1"/>
  <c r="J29" i="1"/>
  <c r="J357" i="1"/>
  <c r="J323" i="1"/>
  <c r="J315" i="1"/>
  <c r="J287" i="1"/>
  <c r="J253" i="1"/>
  <c r="J242" i="1"/>
  <c r="J238" i="1"/>
  <c r="J230" i="1"/>
  <c r="J181" i="1"/>
  <c r="J112" i="1"/>
  <c r="J107" i="1"/>
  <c r="J88" i="1"/>
  <c r="J78" i="1"/>
  <c r="J59" i="1"/>
  <c r="J214" i="1"/>
  <c r="J211" i="1"/>
  <c r="J150" i="1"/>
  <c r="J147" i="1"/>
  <c r="J294" i="1"/>
  <c r="J262" i="1"/>
  <c r="J259" i="1"/>
  <c r="J198" i="1"/>
  <c r="J195" i="1"/>
  <c r="J134" i="1"/>
  <c r="J131" i="1"/>
  <c r="J118" i="1"/>
  <c r="J115" i="1"/>
  <c r="J102" i="1"/>
  <c r="J99" i="1"/>
  <c r="J86" i="1"/>
  <c r="J83" i="1"/>
  <c r="J70" i="1"/>
  <c r="J67" i="1"/>
  <c r="J54" i="1"/>
  <c r="J51" i="1"/>
  <c r="J38" i="1"/>
  <c r="J35" i="1"/>
  <c r="J291" i="1"/>
  <c r="J222" i="1"/>
  <c r="J219" i="1"/>
  <c r="J158" i="1"/>
  <c r="J155" i="1"/>
  <c r="J334" i="1"/>
  <c r="J302" i="1"/>
  <c r="J270" i="1"/>
  <c r="J246" i="1"/>
  <c r="J243" i="1"/>
  <c r="J182" i="1"/>
  <c r="J179" i="1"/>
  <c r="J331" i="1"/>
  <c r="J299" i="1"/>
  <c r="J267" i="1"/>
  <c r="J206" i="1"/>
  <c r="J203" i="1"/>
  <c r="J142" i="1"/>
  <c r="J139" i="1"/>
  <c r="J18" i="1"/>
  <c r="J15" i="1" l="1"/>
  <c r="I15" i="1"/>
  <c r="I15" i="5"/>
  <c r="D13" i="17" s="1"/>
  <c r="K15" i="5" l="1"/>
  <c r="F13" i="17" s="1"/>
  <c r="J15" i="5"/>
  <c r="E13" i="17" s="1"/>
  <c r="G15" i="5"/>
  <c r="C13" i="17" s="1"/>
  <c r="G2" i="5"/>
  <c r="H3" i="14" l="1"/>
  <c r="H15" i="14"/>
  <c r="C12" i="17" s="1"/>
  <c r="H2" i="14"/>
  <c r="J15" i="14" l="1"/>
  <c r="D12" i="17" s="1"/>
  <c r="K15" i="14" l="1"/>
  <c r="E12" i="17" s="1"/>
  <c r="L15" i="14" l="1"/>
  <c r="F12" i="17" s="1"/>
  <c r="H15" i="12" l="1"/>
  <c r="G15" i="12"/>
  <c r="F3" i="12"/>
  <c r="K15" i="7" l="1"/>
  <c r="F11" i="17" s="1"/>
  <c r="J15" i="7"/>
  <c r="E11" i="17" s="1"/>
  <c r="I15" i="7"/>
  <c r="D11" i="17" s="1"/>
  <c r="G3" i="7"/>
  <c r="G15" i="7"/>
  <c r="C11" i="17" s="1"/>
  <c r="G3" i="10" l="1"/>
  <c r="I15" i="10"/>
  <c r="D14" i="17" s="1"/>
  <c r="J15" i="10"/>
  <c r="E14" i="17" s="1"/>
  <c r="K15" i="10"/>
  <c r="F14" i="17" s="1"/>
  <c r="F10" i="17" l="1"/>
  <c r="E10" i="17"/>
  <c r="D10" i="17"/>
  <c r="C10" i="17"/>
  <c r="F3" i="6" l="1"/>
  <c r="J15" i="6"/>
  <c r="F9" i="17" s="1"/>
  <c r="I15" i="6"/>
  <c r="E9" i="17" s="1"/>
  <c r="H15" i="6"/>
  <c r="D9" i="17" s="1"/>
  <c r="J15" i="13" l="1"/>
  <c r="F8" i="17" s="1"/>
  <c r="I15" i="13"/>
  <c r="E8" i="17" s="1"/>
  <c r="H15" i="13"/>
  <c r="D8" i="17" s="1"/>
  <c r="F2" i="13"/>
  <c r="F3" i="13"/>
  <c r="F15" i="13"/>
  <c r="C8" i="17" s="1"/>
  <c r="E7" i="17" l="1"/>
  <c r="F7" i="17"/>
  <c r="C18" i="17" s="1"/>
  <c r="C7" i="17"/>
  <c r="D7" i="17" l="1"/>
  <c r="F15" i="12"/>
  <c r="F2" i="12"/>
  <c r="G2" i="10" l="1"/>
  <c r="G2" i="7"/>
  <c r="F2" i="6"/>
  <c r="G16" i="5"/>
  <c r="G15" i="10" l="1"/>
  <c r="C14" i="17" s="1"/>
  <c r="F15" i="6"/>
  <c r="C9"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Dramane Kone</author>
  </authors>
  <commentList>
    <comment ref="J21" authorId="0" shapeId="0" xr:uid="{97AFAC27-AD0E-4305-A3CE-37B7C21A1DDC}">
      <text>
        <r>
          <rPr>
            <b/>
            <sz val="9"/>
            <color indexed="81"/>
            <rFont val="Tahoma"/>
            <family val="2"/>
          </rPr>
          <t>Dramane Kone:</t>
        </r>
        <r>
          <rPr>
            <sz val="9"/>
            <color indexed="81"/>
            <rFont val="Tahoma"/>
            <family val="2"/>
          </rPr>
          <t xml:space="preserve">
Facturation dès que contrat ok</t>
        </r>
      </text>
    </comment>
    <comment ref="J34" authorId="0" shapeId="0" xr:uid="{EAA838D0-3213-4D29-8721-DA188FCA57F5}">
      <text>
        <r>
          <rPr>
            <b/>
            <sz val="9"/>
            <color indexed="81"/>
            <rFont val="Tahoma"/>
            <family val="2"/>
          </rPr>
          <t>Dramane Kone:</t>
        </r>
        <r>
          <rPr>
            <sz val="9"/>
            <color indexed="81"/>
            <rFont val="Tahoma"/>
            <family val="2"/>
          </rPr>
          <t xml:space="preserve">
Facturation dès que contrat ok</t>
        </r>
      </text>
    </comment>
    <comment ref="K34" authorId="0" shapeId="0" xr:uid="{331D7AF5-7522-4AB4-8D8C-8F6EF9FA6AA7}">
      <text>
        <r>
          <rPr>
            <b/>
            <sz val="9"/>
            <color indexed="81"/>
            <rFont val="Tahoma"/>
            <family val="2"/>
          </rPr>
          <t>Dramane Kone:</t>
        </r>
        <r>
          <rPr>
            <sz val="9"/>
            <color indexed="81"/>
            <rFont val="Tahoma"/>
            <family val="2"/>
          </rPr>
          <t xml:space="preserve">
Facturation dès que contrat ok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Dramane Kone</author>
  </authors>
  <commentList>
    <comment ref="F25" authorId="0" shapeId="0" xr:uid="{0F11F6BA-BFB5-447B-8AA4-BF26C8AE5761}">
      <text>
        <r>
          <rPr>
            <b/>
            <sz val="9"/>
            <color indexed="81"/>
            <rFont val="Tahoma"/>
            <family val="2"/>
          </rPr>
          <t>Dramane Kone:</t>
        </r>
        <r>
          <rPr>
            <sz val="9"/>
            <color indexed="81"/>
            <rFont val="Tahoma"/>
            <family val="2"/>
          </rPr>
          <t xml:space="preserve">
Avoir trimestriel a envoyer suite au reglement du differend lié a la réduction du loyer sur 18 sites ex barter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Dramane Kone</author>
  </authors>
  <commentList>
    <comment ref="B22" authorId="0" shapeId="0" xr:uid="{ABBE491B-934D-4BDB-9BC5-3475B5FB1DEB}">
      <text>
        <r>
          <rPr>
            <b/>
            <sz val="9"/>
            <color indexed="81"/>
            <rFont val="Tahoma"/>
            <family val="2"/>
          </rPr>
          <t>Dramane Kone:</t>
        </r>
        <r>
          <rPr>
            <sz val="9"/>
            <color indexed="81"/>
            <rFont val="Tahoma"/>
            <family val="2"/>
          </rPr>
          <t xml:space="preserve">
DEPLACEMENT Site ASSIKOI le 5 nov 21 (IHS_AGN_016O)</t>
        </r>
      </text>
    </comment>
    <comment ref="B722" authorId="0" shapeId="0" xr:uid="{F5084E6A-632F-42C7-AB1B-614D7B68A85E}">
      <text>
        <r>
          <rPr>
            <b/>
            <sz val="9"/>
            <color indexed="81"/>
            <rFont val="Tahoma"/>
            <family val="2"/>
          </rPr>
          <t>Dramane Kone:</t>
        </r>
        <r>
          <rPr>
            <sz val="9"/>
            <color indexed="81"/>
            <rFont val="Tahoma"/>
            <family val="2"/>
          </rPr>
          <t xml:space="preserve">
Deplacement du site TOUKOUZOU LE 05/10/21 (IHS_LGN_753O)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Dramane Kone</author>
  </authors>
  <commentList>
    <comment ref="D13" authorId="0" shapeId="0" xr:uid="{D0BC8397-F257-423E-8282-6D2B2F6F33F4}">
      <text>
        <r>
          <rPr>
            <b/>
            <sz val="9"/>
            <color indexed="81"/>
            <rFont val="Tahoma"/>
            <family val="2"/>
          </rPr>
          <t>Dramane Kone:</t>
        </r>
        <r>
          <rPr>
            <sz val="9"/>
            <color indexed="81"/>
            <rFont val="Tahoma"/>
            <family val="2"/>
          </rPr>
          <t xml:space="preserve">
Facturation mensuelle donc pareil pour les 2 autres mois du Trimestre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Dramane Kone</author>
  </authors>
  <commentList>
    <comment ref="O5" authorId="0" shapeId="0" xr:uid="{524A8F2D-4075-4C4A-BCC7-730D89AB71FF}">
      <text>
        <r>
          <rPr>
            <b/>
            <sz val="9"/>
            <color indexed="81"/>
            <rFont val="Tahoma"/>
            <family val="2"/>
          </rPr>
          <t>Dramane Kone:</t>
        </r>
        <r>
          <rPr>
            <sz val="9"/>
            <color indexed="81"/>
            <rFont val="Tahoma"/>
            <family val="2"/>
          </rPr>
          <t xml:space="preserve">
en attente du contrat signé par Orange pour facturation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Dramane Kone</author>
  </authors>
  <commentList>
    <comment ref="O5" authorId="0" shapeId="0" xr:uid="{5F86B155-4CBA-4A7F-8BB2-FE46EE834DED}">
      <text>
        <r>
          <rPr>
            <b/>
            <sz val="9"/>
            <color indexed="81"/>
            <rFont val="Tahoma"/>
            <family val="2"/>
          </rPr>
          <t>Dramane Kone:</t>
        </r>
        <r>
          <rPr>
            <sz val="9"/>
            <color indexed="81"/>
            <rFont val="Tahoma"/>
            <family val="2"/>
          </rPr>
          <t xml:space="preserve">
en attente du contrat signé par Orange pour facturation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Dramane Kone</author>
  </authors>
  <commentList>
    <comment ref="E3" authorId="0" shapeId="0" xr:uid="{5A66A2C3-6638-4668-A9F5-1C6CE78790A0}">
      <text>
        <r>
          <rPr>
            <b/>
            <sz val="9"/>
            <color indexed="81"/>
            <rFont val="Tahoma"/>
            <family val="2"/>
          </rPr>
          <t>Dramane Kone:</t>
        </r>
        <r>
          <rPr>
            <sz val="9"/>
            <color indexed="81"/>
            <rFont val="Tahoma"/>
            <family val="2"/>
          </rPr>
          <t xml:space="preserve">
Démonté le 01/11/22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Dramane Kone</author>
  </authors>
  <commentList>
    <comment ref="F5" authorId="0" shapeId="0" xr:uid="{79779336-98FE-43F5-8499-9584C0F84C1F}">
      <text>
        <r>
          <rPr>
            <b/>
            <sz val="9"/>
            <color indexed="81"/>
            <rFont val="Tahoma"/>
            <family val="2"/>
          </rPr>
          <t>Dramane Kone:</t>
        </r>
        <r>
          <rPr>
            <sz val="9"/>
            <color indexed="81"/>
            <rFont val="Tahoma"/>
            <family val="2"/>
          </rPr>
          <t xml:space="preserve">
intégré le 04/07/22
 en attente du contrat signé par ORANGE &amp; IHS avant la facturation</t>
        </r>
      </text>
    </comment>
  </commentList>
</comments>
</file>

<file path=xl/sharedStrings.xml><?xml version="1.0" encoding="utf-8"?>
<sst xmlns="http://schemas.openxmlformats.org/spreadsheetml/2006/main" count="10143" uniqueCount="5467">
  <si>
    <t>BARTER</t>
  </si>
  <si>
    <t>Colocation</t>
  </si>
  <si>
    <t>BTS</t>
  </si>
  <si>
    <t>Données mois N</t>
  </si>
  <si>
    <t>height</t>
  </si>
  <si>
    <t>No</t>
  </si>
  <si>
    <t>Site ID IHS</t>
  </si>
  <si>
    <t>Old Site ID</t>
  </si>
  <si>
    <t>Site Name</t>
  </si>
  <si>
    <t>Invoiced height</t>
  </si>
  <si>
    <t>Category</t>
  </si>
  <si>
    <t>IHS_LGN_982M</t>
  </si>
  <si>
    <t>CI02925</t>
  </si>
  <si>
    <t>ALLOKOIZI</t>
  </si>
  <si>
    <t>IHS_SCE_105M</t>
  </si>
  <si>
    <t>CI02931</t>
  </si>
  <si>
    <t>ABOISSOCENTRE</t>
  </si>
  <si>
    <t>IHS_SCE_106M</t>
  </si>
  <si>
    <t>CI02933</t>
  </si>
  <si>
    <t>GRANDBASSAMHOTELMANTCHAN</t>
  </si>
  <si>
    <t>IHS_LGN_731O</t>
  </si>
  <si>
    <t>LOPOU</t>
  </si>
  <si>
    <t>CI01335</t>
  </si>
  <si>
    <t>IHS_SVN_149M</t>
  </si>
  <si>
    <t>CI02884</t>
  </si>
  <si>
    <t>KorhogoRenfo7</t>
  </si>
  <si>
    <t>IHS_LGN_979M</t>
  </si>
  <si>
    <t>CI02494</t>
  </si>
  <si>
    <t>ABATTANQ</t>
  </si>
  <si>
    <t>IHS_BSD_216M</t>
  </si>
  <si>
    <t>CI02601</t>
  </si>
  <si>
    <t>ApresPontBrime</t>
  </si>
  <si>
    <t>IHS_MCY_076M</t>
  </si>
  <si>
    <t>CI02740</t>
  </si>
  <si>
    <t>GuigloRteV16</t>
  </si>
  <si>
    <t>IHS_DHM_103M</t>
  </si>
  <si>
    <t>CI02741</t>
  </si>
  <si>
    <t>ManRteTouba</t>
  </si>
  <si>
    <t>IHS_LGN_976M</t>
  </si>
  <si>
    <t>CI02757</t>
  </si>
  <si>
    <t>aboboCobakro3</t>
  </si>
  <si>
    <t>IHS_LGN_969M</t>
  </si>
  <si>
    <t>CI02830</t>
  </si>
  <si>
    <t>CocodyNew5</t>
  </si>
  <si>
    <t>IHS_VDB_136M</t>
  </si>
  <si>
    <t>CI02875</t>
  </si>
  <si>
    <t>BkeRenfo9</t>
  </si>
  <si>
    <t>IHS_SVN_148M</t>
  </si>
  <si>
    <t>CI02883</t>
  </si>
  <si>
    <t>KorhogoRenfo6</t>
  </si>
  <si>
    <t>IHS_NCE_087M</t>
  </si>
  <si>
    <t>CI02630</t>
  </si>
  <si>
    <t>Allongoh</t>
  </si>
  <si>
    <t>IHS_LGN_973M</t>
  </si>
  <si>
    <t>CI02904</t>
  </si>
  <si>
    <t>YopZISud</t>
  </si>
  <si>
    <t>IHS_HSD_140M</t>
  </si>
  <si>
    <t>CI02742</t>
  </si>
  <si>
    <t>VavouaRenfo1</t>
  </si>
  <si>
    <t>IHS_LGN_977M</t>
  </si>
  <si>
    <t>CI02768</t>
  </si>
  <si>
    <t>AboboRenfo5</t>
  </si>
  <si>
    <t>IHS_LGN_967M</t>
  </si>
  <si>
    <t>CI02821</t>
  </si>
  <si>
    <t>CocodyExt2</t>
  </si>
  <si>
    <t>IHS_LGN_968M</t>
  </si>
  <si>
    <t>CI02829</t>
  </si>
  <si>
    <t>CocodyNew3</t>
  </si>
  <si>
    <t>IHS_LGN_962M</t>
  </si>
  <si>
    <t>CI02831</t>
  </si>
  <si>
    <t>CocodyNew7</t>
  </si>
  <si>
    <t>IHS_SVN_146M</t>
  </si>
  <si>
    <t>CI02879</t>
  </si>
  <si>
    <t>KorhogoRenfo2</t>
  </si>
  <si>
    <t>IHS_SVN_147M</t>
  </si>
  <si>
    <t>CI02880</t>
  </si>
  <si>
    <t>KorhogoRenfo3</t>
  </si>
  <si>
    <t>IHS_LGN_975M</t>
  </si>
  <si>
    <t>CI02792</t>
  </si>
  <si>
    <t>AnyamaRenfo8</t>
  </si>
  <si>
    <t>IHS_LGN_965M</t>
  </si>
  <si>
    <t>CI02816</t>
  </si>
  <si>
    <t>CocodyCiteSIRNord</t>
  </si>
  <si>
    <t>IHS_LGN_974M</t>
  </si>
  <si>
    <t>CI02850</t>
  </si>
  <si>
    <t>NdotreCobakro2</t>
  </si>
  <si>
    <t>IHS_LGN_909M</t>
  </si>
  <si>
    <t>CI02516</t>
  </si>
  <si>
    <t>GonzaqExt2</t>
  </si>
  <si>
    <t>IHS_HSD_130M</t>
  </si>
  <si>
    <t>CI02722</t>
  </si>
  <si>
    <t>Trafla</t>
  </si>
  <si>
    <t>IHS_LGN_935M</t>
  </si>
  <si>
    <t>CI02627</t>
  </si>
  <si>
    <t>ADJINTELEGRAM</t>
  </si>
  <si>
    <t>IHS_SBD_097M</t>
  </si>
  <si>
    <t>CI02692</t>
  </si>
  <si>
    <t>KREZOUKOUE</t>
  </si>
  <si>
    <t>IHS_BSD_218O</t>
  </si>
  <si>
    <t>IHS_BSD_222O</t>
  </si>
  <si>
    <t>IHS_LGN_953O</t>
  </si>
  <si>
    <t>IHS_DHM_100O</t>
  </si>
  <si>
    <t>YELLEU</t>
  </si>
  <si>
    <t>IHS_SVN_137O</t>
  </si>
  <si>
    <t>ZOGOUINE</t>
  </si>
  <si>
    <t>IHS_LGN_904M</t>
  </si>
  <si>
    <t>CI02486</t>
  </si>
  <si>
    <t>AboboCarrefour</t>
  </si>
  <si>
    <t>IHS_DHM_093M</t>
  </si>
  <si>
    <t>CI02605</t>
  </si>
  <si>
    <t>TIEMBLY-GLOPLOU</t>
  </si>
  <si>
    <t>IHS_HSD_139M</t>
  </si>
  <si>
    <t>CI02698</t>
  </si>
  <si>
    <t>LigaCamp</t>
  </si>
  <si>
    <t>IHS_LGN_925M</t>
  </si>
  <si>
    <t>CI02499</t>
  </si>
  <si>
    <t>CCommandoExt</t>
  </si>
  <si>
    <t>IHS_BSD_217M</t>
  </si>
  <si>
    <t>CI02602</t>
  </si>
  <si>
    <t>Carrefour Podio</t>
  </si>
  <si>
    <t>IHS_SBD_098M</t>
  </si>
  <si>
    <t>CI02699</t>
  </si>
  <si>
    <t>LOGBOBROU</t>
  </si>
  <si>
    <t>IHS_DHM_099O</t>
  </si>
  <si>
    <t>GOULALEU</t>
  </si>
  <si>
    <t>IHS_DHM_098O</t>
  </si>
  <si>
    <t>KASSIAPLEU</t>
  </si>
  <si>
    <t>IHS_VDB_131O</t>
  </si>
  <si>
    <t>SCB_NIAKARA</t>
  </si>
  <si>
    <t>IHS_LGN_912M</t>
  </si>
  <si>
    <t>CI02503</t>
  </si>
  <si>
    <t>PalmeraieExt</t>
  </si>
  <si>
    <t>IHS_DHM_095M</t>
  </si>
  <si>
    <t>CI02608</t>
  </si>
  <si>
    <t>BAFINGDALLA</t>
  </si>
  <si>
    <t>IHS_BAF_030M</t>
  </si>
  <si>
    <t>CI02609</t>
  </si>
  <si>
    <t>BOUINDALA</t>
  </si>
  <si>
    <t>IHS_BAF_027M</t>
  </si>
  <si>
    <t>CI02610</t>
  </si>
  <si>
    <t>GOUANA</t>
  </si>
  <si>
    <t>IHS_HSD_132M</t>
  </si>
  <si>
    <t>CI02620</t>
  </si>
  <si>
    <t>TCHEBLEGUHE</t>
  </si>
  <si>
    <t>IHS_MCY_071M</t>
  </si>
  <si>
    <t>CI02638</t>
  </si>
  <si>
    <t>BAHESETRON(GUEHIEBLY)</t>
  </si>
  <si>
    <t>IHS_SVN_144M</t>
  </si>
  <si>
    <t>CI02656</t>
  </si>
  <si>
    <t>LAMEKAHA1&amp;2&amp;3</t>
  </si>
  <si>
    <t>IHS_WRD_053M</t>
  </si>
  <si>
    <t>CI02668</t>
  </si>
  <si>
    <t>Gbogolo</t>
  </si>
  <si>
    <t>IHS_SVN_135O</t>
  </si>
  <si>
    <t>IHS_BSD_224M</t>
  </si>
  <si>
    <t>CI02640</t>
  </si>
  <si>
    <t>BASSA</t>
  </si>
  <si>
    <t>IHS_LGN_922M</t>
  </si>
  <si>
    <t>CI02490</t>
  </si>
  <si>
    <t>ALADGE </t>
  </si>
  <si>
    <t>IHS_MCE_068O</t>
  </si>
  <si>
    <t>ADOU_KOFFIKRO</t>
  </si>
  <si>
    <t>IHS_LGN_945O</t>
  </si>
  <si>
    <t>BINGERVIL_SUD</t>
  </si>
  <si>
    <t>IHS_BSD_223O</t>
  </si>
  <si>
    <t>MEDON_INAHIRI</t>
  </si>
  <si>
    <t>IHS_LGN_939O</t>
  </si>
  <si>
    <t>MODESTE</t>
  </si>
  <si>
    <t>IHS_LGN_958O</t>
  </si>
  <si>
    <t>GESCO</t>
  </si>
  <si>
    <t>IHS_LGN_903M</t>
  </si>
  <si>
    <t>CI02485</t>
  </si>
  <si>
    <t>AboboBCNew</t>
  </si>
  <si>
    <t>IHS_SVN_131M</t>
  </si>
  <si>
    <t>CI02715</t>
  </si>
  <si>
    <t>SAKPELE</t>
  </si>
  <si>
    <t>IHS_HSD_136M</t>
  </si>
  <si>
    <t>CI02642</t>
  </si>
  <si>
    <t>BazraSokoura</t>
  </si>
  <si>
    <t>IHS_SBD_096M</t>
  </si>
  <si>
    <t>CI02663</t>
  </si>
  <si>
    <t>GBEGARTI</t>
  </si>
  <si>
    <t>IHS_SVN_141O</t>
  </si>
  <si>
    <t>DAGBA</t>
  </si>
  <si>
    <t>IHS_SVN_139O</t>
  </si>
  <si>
    <t>MAHANDIANA-SOKOURANI</t>
  </si>
  <si>
    <t>IHS_SVN_136O</t>
  </si>
  <si>
    <t>PONONDOUGOU</t>
  </si>
  <si>
    <t>IHS_MRH_075O</t>
  </si>
  <si>
    <t>ZANZRA</t>
  </si>
  <si>
    <t>IHS_NCE_086M</t>
  </si>
  <si>
    <t>CI02625</t>
  </si>
  <si>
    <t>ABEANOU</t>
  </si>
  <si>
    <t>IHS_SVN_126M</t>
  </si>
  <si>
    <t>CI02662</t>
  </si>
  <si>
    <t>SAHANDALA</t>
  </si>
  <si>
    <t>IHS_WRD_052M</t>
  </si>
  <si>
    <t>CI02665</t>
  </si>
  <si>
    <t>gbemasso</t>
  </si>
  <si>
    <t>IHS_MCY_075M</t>
  </si>
  <si>
    <t>CI02714</t>
  </si>
  <si>
    <t>SADA</t>
  </si>
  <si>
    <t>IHS_FMG_103M</t>
  </si>
  <si>
    <t>CI02720</t>
  </si>
  <si>
    <t>Tietekou</t>
  </si>
  <si>
    <t>IHS_LGN_933M</t>
  </si>
  <si>
    <t>CI02599</t>
  </si>
  <si>
    <t>KoumZIExt</t>
  </si>
  <si>
    <t>IHS_LAC_110M</t>
  </si>
  <si>
    <t>CI02725</t>
  </si>
  <si>
    <t>Yadibikro</t>
  </si>
  <si>
    <t>IHS_WRD_054M</t>
  </si>
  <si>
    <t>CI02695</t>
  </si>
  <si>
    <t>LEASSO</t>
  </si>
  <si>
    <t>IHS_VDB_132M</t>
  </si>
  <si>
    <t>CI02728</t>
  </si>
  <si>
    <t>Boukebo</t>
  </si>
  <si>
    <t>IHS_FMG_102M</t>
  </si>
  <si>
    <t>CI02680</t>
  </si>
  <si>
    <t>KehiGbahi</t>
  </si>
  <si>
    <t>IHS_SVN_143M</t>
  </si>
  <si>
    <t>CI02713</t>
  </si>
  <si>
    <t>POUNDIA</t>
  </si>
  <si>
    <t>IHS_MCY_074O</t>
  </si>
  <si>
    <t>BLEDY-GOAZON</t>
  </si>
  <si>
    <t>IHS_SVN_140O</t>
  </si>
  <si>
    <t>NAWOLOKAHA</t>
  </si>
  <si>
    <t>IHS_VDB_129O</t>
  </si>
  <si>
    <t>SOKOBO</t>
  </si>
  <si>
    <t>IHS_SVN_122M</t>
  </si>
  <si>
    <t>CI01906</t>
  </si>
  <si>
    <t>LANDIOUGOU</t>
  </si>
  <si>
    <t>IHS_DHM_101M</t>
  </si>
  <si>
    <t>CI02606</t>
  </si>
  <si>
    <t>DAKOUEPLEU</t>
  </si>
  <si>
    <t>IHS_AGN_089O</t>
  </si>
  <si>
    <t>KODIEBOUMA</t>
  </si>
  <si>
    <t>IHS_LGN_938O</t>
  </si>
  <si>
    <t>MADRIZE</t>
  </si>
  <si>
    <t>IHS_BSD_220O</t>
  </si>
  <si>
    <t>IHS_LGN_943O</t>
  </si>
  <si>
    <t>IHS_LGN_936M</t>
  </si>
  <si>
    <t>CI02628</t>
  </si>
  <si>
    <t>AGNISSANKOI</t>
  </si>
  <si>
    <t>IHS_LAC_106M</t>
  </si>
  <si>
    <t>CI02654</t>
  </si>
  <si>
    <t>DIDAYAOKRO/LAC</t>
  </si>
  <si>
    <t>IHS_LAC_108M</t>
  </si>
  <si>
    <t>CI02697</t>
  </si>
  <si>
    <t>Lengbre</t>
  </si>
  <si>
    <t>IHS_SVN_130M</t>
  </si>
  <si>
    <t>CI02707</t>
  </si>
  <si>
    <t>NOGOTAHA</t>
  </si>
  <si>
    <t>IHS_LGN_932M</t>
  </si>
  <si>
    <t>CI02744</t>
  </si>
  <si>
    <t>CafedeVersailles</t>
  </si>
  <si>
    <t>IHS_LAC_107M</t>
  </si>
  <si>
    <t>CI02684</t>
  </si>
  <si>
    <t>KONANKOKOREKRO</t>
  </si>
  <si>
    <t>IHS_HSD_138M</t>
  </si>
  <si>
    <t>CI02604</t>
  </si>
  <si>
    <t>Bateguedea</t>
  </si>
  <si>
    <t>IHS_DNG_047M</t>
  </si>
  <si>
    <t>CI02615</t>
  </si>
  <si>
    <t>FEREMANDOUGOU</t>
  </si>
  <si>
    <t>IHS_DNG_048M</t>
  </si>
  <si>
    <t>CI02617</t>
  </si>
  <si>
    <t>BASSEKODOUGOU</t>
  </si>
  <si>
    <t>IHS_HSD_131M</t>
  </si>
  <si>
    <t>CI02619</t>
  </si>
  <si>
    <t>DEPA</t>
  </si>
  <si>
    <t>IHS_AGN_087M</t>
  </si>
  <si>
    <t>CI02653</t>
  </si>
  <si>
    <t>DIASSON</t>
  </si>
  <si>
    <t>IHS_DHM_089M</t>
  </si>
  <si>
    <t>CI02655</t>
  </si>
  <si>
    <t>KOULAEOUE</t>
  </si>
  <si>
    <t>IHS_ZNZ_085M</t>
  </si>
  <si>
    <t>CI02661</t>
  </si>
  <si>
    <t>gbangbo</t>
  </si>
  <si>
    <t>IHS_SVN_142M</t>
  </si>
  <si>
    <t>CI02666</t>
  </si>
  <si>
    <t>TIORO</t>
  </si>
  <si>
    <t>IHS_BSD_214M</t>
  </si>
  <si>
    <t>CI02669</t>
  </si>
  <si>
    <t>GNAPIDOU</t>
  </si>
  <si>
    <t>IHS_FMG_101M</t>
  </si>
  <si>
    <t>CI02673</t>
  </si>
  <si>
    <t>GRANDZIA</t>
  </si>
  <si>
    <t>IHS_DNG_043M</t>
  </si>
  <si>
    <t>CI02676</t>
  </si>
  <si>
    <t>Kagbangbè</t>
  </si>
  <si>
    <t>IHS_BSD_225M</t>
  </si>
  <si>
    <t>CI02688</t>
  </si>
  <si>
    <t>KOUAMEADJI</t>
  </si>
  <si>
    <t>IHS_DNG_049M</t>
  </si>
  <si>
    <t>CI02706</t>
  </si>
  <si>
    <t>Niamasso</t>
  </si>
  <si>
    <t>IHS_DHM_091M</t>
  </si>
  <si>
    <t>CI02709</t>
  </si>
  <si>
    <t>oulaiglepleu</t>
  </si>
  <si>
    <t>IHS_FMG_104M</t>
  </si>
  <si>
    <t>CI02724</t>
  </si>
  <si>
    <t>WANEWA</t>
  </si>
  <si>
    <t>IHS_LGN_884M</t>
  </si>
  <si>
    <t>CI02213</t>
  </si>
  <si>
    <t>Ambassade de chine/ Synacass ci</t>
  </si>
  <si>
    <t>IHS_LGN_926M</t>
  </si>
  <si>
    <t>CI02470</t>
  </si>
  <si>
    <t>YopBonikroExt1</t>
  </si>
  <si>
    <t>IHS_NCE_089M</t>
  </si>
  <si>
    <t>CI02643</t>
  </si>
  <si>
    <t>BENDIEKOMENANKRO</t>
  </si>
  <si>
    <t>IHS_NCE_092M</t>
  </si>
  <si>
    <t>CI02650</t>
  </si>
  <si>
    <t>CANTONDJAKPO</t>
  </si>
  <si>
    <t>IHS_NCE_091M</t>
  </si>
  <si>
    <t>CI02730</t>
  </si>
  <si>
    <t>Aounienfoutou</t>
  </si>
  <si>
    <t>IHS_ZNZ_094O</t>
  </si>
  <si>
    <t>DJORO-DJORO</t>
  </si>
  <si>
    <t>IHS_HSD_133O</t>
  </si>
  <si>
    <t>GOGOGUHE</t>
  </si>
  <si>
    <t>IHS_HSD_135O</t>
  </si>
  <si>
    <t>IHS_ZNZ_093O</t>
  </si>
  <si>
    <t>NYAMOIN</t>
  </si>
  <si>
    <t>IHS_DNG_044M</t>
  </si>
  <si>
    <t>CI02708</t>
  </si>
  <si>
    <t>OUAYERE</t>
  </si>
  <si>
    <t>IHS_HSD_129M</t>
  </si>
  <si>
    <t>CI02710</t>
  </si>
  <si>
    <t>PK8</t>
  </si>
  <si>
    <t>IHS_VDB_133M</t>
  </si>
  <si>
    <t>CI00008</t>
  </si>
  <si>
    <t>AirFrance</t>
  </si>
  <si>
    <t>IHS_LGN_901M</t>
  </si>
  <si>
    <t>CI02483</t>
  </si>
  <si>
    <t>AboboAnyama</t>
  </si>
  <si>
    <t>IHS_BSD_226M</t>
  </si>
  <si>
    <t>CI02701</t>
  </si>
  <si>
    <t>Mahino</t>
  </si>
  <si>
    <t>IHS_SVN_129M</t>
  </si>
  <si>
    <t>CI02703</t>
  </si>
  <si>
    <t>MOLONGO</t>
  </si>
  <si>
    <t>IHS_DNG_045M</t>
  </si>
  <si>
    <t>CI02700</t>
  </si>
  <si>
    <t>madianan</t>
  </si>
  <si>
    <t>IHS_LAC_109M</t>
  </si>
  <si>
    <t>CI02705</t>
  </si>
  <si>
    <t>NDAKOUASSIKRO</t>
  </si>
  <si>
    <t>IHS_ZNZ_091M</t>
  </si>
  <si>
    <t>CI02711</t>
  </si>
  <si>
    <t>POKO</t>
  </si>
  <si>
    <t>IHS_LGN_914M</t>
  </si>
  <si>
    <t>CI02504</t>
  </si>
  <si>
    <t>RivieraStViateurExt</t>
  </si>
  <si>
    <t>IHS_DHM_092M</t>
  </si>
  <si>
    <t>CI02712</t>
  </si>
  <si>
    <t>Poumbly</t>
  </si>
  <si>
    <t>IHS_LGN_946O</t>
  </si>
  <si>
    <t>IHS_SCE_104O</t>
  </si>
  <si>
    <t>IHS_VDB_127O</t>
  </si>
  <si>
    <t>IHS_BSD_221O</t>
  </si>
  <si>
    <t xml:space="preserve">KROHON </t>
  </si>
  <si>
    <t>IHS_VDB_128O</t>
  </si>
  <si>
    <t>NIMBO</t>
  </si>
  <si>
    <t>IHS_LAC_112O</t>
  </si>
  <si>
    <t>OUFFOUE DIEKRO</t>
  </si>
  <si>
    <t>IHS_VDB_126O</t>
  </si>
  <si>
    <t>TOUNGBOKRO</t>
  </si>
  <si>
    <t>IHS_VDB_125M</t>
  </si>
  <si>
    <t>CI02691</t>
  </si>
  <si>
    <t>KOUROUKOUNA</t>
  </si>
  <si>
    <t>IHS_LGN_916M</t>
  </si>
  <si>
    <t>CI02542</t>
  </si>
  <si>
    <t>YopMicaoExt</t>
  </si>
  <si>
    <t>IHS_LGN_928M</t>
  </si>
  <si>
    <t>CI02591</t>
  </si>
  <si>
    <t>AnyamachateauExt</t>
  </si>
  <si>
    <t>IHS_SCE_100M</t>
  </si>
  <si>
    <t>CI02621</t>
  </si>
  <si>
    <t>M'bohoin</t>
  </si>
  <si>
    <t>IHS_FMG_100M</t>
  </si>
  <si>
    <t>CI02649</t>
  </si>
  <si>
    <t>BROUDOUME</t>
  </si>
  <si>
    <t>IHS_ZNZ_087M</t>
  </si>
  <si>
    <t>CI02681</t>
  </si>
  <si>
    <t>KIRAMISSE</t>
  </si>
  <si>
    <t>IHS_NCE_090M</t>
  </si>
  <si>
    <t>CI02682</t>
  </si>
  <si>
    <t>KOKONOU</t>
  </si>
  <si>
    <t>IHS_SVN_128M</t>
  </si>
  <si>
    <t>CI02685</t>
  </si>
  <si>
    <t>KOROKARA</t>
  </si>
  <si>
    <t>IHS_ZNZ_088M</t>
  </si>
  <si>
    <t>CI02687</t>
  </si>
  <si>
    <t>KOTIO</t>
  </si>
  <si>
    <t>IHS_ZNZ_089M</t>
  </si>
  <si>
    <t>CI02689</t>
  </si>
  <si>
    <t>KOUASSISERANOU</t>
  </si>
  <si>
    <t>IHS_DHM_087M</t>
  </si>
  <si>
    <t>CI02057</t>
  </si>
  <si>
    <t>Guingloville</t>
  </si>
  <si>
    <t>IHS_HSD_128M</t>
  </si>
  <si>
    <t>CI02671</t>
  </si>
  <si>
    <t>Gorodi</t>
  </si>
  <si>
    <t>IHS_SVN_120M</t>
  </si>
  <si>
    <t>CI02525</t>
  </si>
  <si>
    <t>KorhogoBelleville</t>
  </si>
  <si>
    <t>IHS_DHM_086M</t>
  </si>
  <si>
    <t>CI02528</t>
  </si>
  <si>
    <t>ManLycee2</t>
  </si>
  <si>
    <t>IHS_LAC_105M</t>
  </si>
  <si>
    <t>CI02636</t>
  </si>
  <si>
    <t>ASSIENGATTAKRO/LAC</t>
  </si>
  <si>
    <t>IHS_SCE_102M</t>
  </si>
  <si>
    <t>CI02629</t>
  </si>
  <si>
    <t>AKACHANTIER</t>
  </si>
  <si>
    <t>IHS_NCE_088M</t>
  </si>
  <si>
    <t>CI02633</t>
  </si>
  <si>
    <t>Angamankro</t>
  </si>
  <si>
    <t>IHS_SVN_123M</t>
  </si>
  <si>
    <t>CI02635</t>
  </si>
  <si>
    <t>gbetogo</t>
  </si>
  <si>
    <t>IHS_SVN_125M</t>
  </si>
  <si>
    <t>CI02646</t>
  </si>
  <si>
    <t>BOLONAN</t>
  </si>
  <si>
    <t>IHS_DNG_042M</t>
  </si>
  <si>
    <t>CI02657</t>
  </si>
  <si>
    <t>Ferefougoula</t>
  </si>
  <si>
    <t>IHS_DHM_090M</t>
  </si>
  <si>
    <t>CI02660</t>
  </si>
  <si>
    <t>Gbangbégouiné</t>
  </si>
  <si>
    <t>IHS_LGN_908M</t>
  </si>
  <si>
    <t>CI02505</t>
  </si>
  <si>
    <t>CocodyExtension</t>
  </si>
  <si>
    <t>IHS_MRH_070M</t>
  </si>
  <si>
    <t>CI02538</t>
  </si>
  <si>
    <t>SinfraRteBouafle</t>
  </si>
  <si>
    <t>IHS_SCE_103M</t>
  </si>
  <si>
    <t>CI02631</t>
  </si>
  <si>
    <t>ALLOSO2</t>
  </si>
  <si>
    <t>IHS_LGN_934M</t>
  </si>
  <si>
    <t>CI02600</t>
  </si>
  <si>
    <t>AnoumaboSansFil</t>
  </si>
  <si>
    <t>IHS_DHM_088M</t>
  </si>
  <si>
    <t>CI02645</t>
  </si>
  <si>
    <t>Blody</t>
  </si>
  <si>
    <t>IHS_HSD_137M</t>
  </si>
  <si>
    <t>CI02704</t>
  </si>
  <si>
    <t>NahioCamp</t>
  </si>
  <si>
    <t>IHS_AGN_088O</t>
  </si>
  <si>
    <t>IHS_LGN_905M</t>
  </si>
  <si>
    <t>CI02492</t>
  </si>
  <si>
    <t>AnyamaNQ</t>
  </si>
  <si>
    <t>IHS_LGN_906M</t>
  </si>
  <si>
    <t>CI02512</t>
  </si>
  <si>
    <t>EBIMPE </t>
  </si>
  <si>
    <t>IHS_FMG_098M</t>
  </si>
  <si>
    <t>CI02513</t>
  </si>
  <si>
    <t>GagnoaBarioExt</t>
  </si>
  <si>
    <t>IHS_FMG_099M</t>
  </si>
  <si>
    <t>CI02514</t>
  </si>
  <si>
    <t>GagnoaLycée</t>
  </si>
  <si>
    <t>IHS_FMG_097M</t>
  </si>
  <si>
    <t>CI02515</t>
  </si>
  <si>
    <t>GagnoaExt3</t>
  </si>
  <si>
    <t>IHS_SVN_121M</t>
  </si>
  <si>
    <t>CI02527</t>
  </si>
  <si>
    <t>KorhogoKassirime</t>
  </si>
  <si>
    <t>IHS_BSD_213M</t>
  </si>
  <si>
    <t>CI02540</t>
  </si>
  <si>
    <t>SoubreRenfo2</t>
  </si>
  <si>
    <t>IHS_LGN_918M</t>
  </si>
  <si>
    <t>CI02545</t>
  </si>
  <si>
    <t>YopWassakara</t>
  </si>
  <si>
    <t>IHS_LGN_929M</t>
  </si>
  <si>
    <t>CI02592</t>
  </si>
  <si>
    <t>AnyamaBelleVilleEXt</t>
  </si>
  <si>
    <t>IHS_LGN_931M</t>
  </si>
  <si>
    <t>CI02594</t>
  </si>
  <si>
    <t>YopLokouaExt</t>
  </si>
  <si>
    <t>IHS_MRH_072M</t>
  </si>
  <si>
    <t>CI02664</t>
  </si>
  <si>
    <t>gbegbessou</t>
  </si>
  <si>
    <t>IHS_ZNZ_090M</t>
  </si>
  <si>
    <t>CI02693</t>
  </si>
  <si>
    <t>LAHOUDIGAN</t>
  </si>
  <si>
    <t>IHS_BSD_215M</t>
  </si>
  <si>
    <t>CI02702</t>
  </si>
  <si>
    <t>MEDON</t>
  </si>
  <si>
    <t>IHS_MRH_076O</t>
  </si>
  <si>
    <t>IHS_BSD_219O</t>
  </si>
  <si>
    <t>IHS_LGN_940O</t>
  </si>
  <si>
    <t>IHS_LGN_944O</t>
  </si>
  <si>
    <t>YOP_WALI</t>
  </si>
  <si>
    <t>IHS_BAF_028M</t>
  </si>
  <si>
    <t>CI02611</t>
  </si>
  <si>
    <t>N'GOLODOUGOU</t>
  </si>
  <si>
    <t>IHS_BAF_029M</t>
  </si>
  <si>
    <t>CI02612</t>
  </si>
  <si>
    <t>TOURESSO 2</t>
  </si>
  <si>
    <t>IHS_SVN_127M</t>
  </si>
  <si>
    <t>CI02677</t>
  </si>
  <si>
    <t>KALOA</t>
  </si>
  <si>
    <t>IHS_LGN_937O</t>
  </si>
  <si>
    <t>ANYAMA_ADJAME</t>
  </si>
  <si>
    <t>IHS_MCY_073O</t>
  </si>
  <si>
    <t>IHS_HSD_134O</t>
  </si>
  <si>
    <t>IHS_SBD_095M</t>
  </si>
  <si>
    <t>CI02508</t>
  </si>
  <si>
    <t>DivoBribore</t>
  </si>
  <si>
    <t>IHS_LGN_917M</t>
  </si>
  <si>
    <t>CI02544</t>
  </si>
  <si>
    <t>YopPayBasExt</t>
  </si>
  <si>
    <t>IHS_LGN_955O</t>
  </si>
  <si>
    <t>ONI_CRAE</t>
  </si>
  <si>
    <t>IHS_MCE_067O</t>
  </si>
  <si>
    <t>ABENG_PLATO</t>
  </si>
  <si>
    <t>IHS_LGN_956M</t>
  </si>
  <si>
    <t>SOCIFAB</t>
  </si>
  <si>
    <t>IHS_LGN_890M</t>
  </si>
  <si>
    <t>CI02189</t>
  </si>
  <si>
    <t>Bingerville cité fourgère</t>
  </si>
  <si>
    <t>IHS_LGN_872O</t>
  </si>
  <si>
    <t>GOUVERNEUR</t>
  </si>
  <si>
    <t>IHS_LGN_900O</t>
  </si>
  <si>
    <t>Anoumabo new</t>
  </si>
  <si>
    <t>IHS_LGN_888O</t>
  </si>
  <si>
    <t>CARREFOUR_ABATA</t>
  </si>
  <si>
    <t>IHS_DHM_102M</t>
  </si>
  <si>
    <t>CI00723</t>
  </si>
  <si>
    <t>MAN2</t>
  </si>
  <si>
    <t>IHS_SCE_099M</t>
  </si>
  <si>
    <t>CI02193</t>
  </si>
  <si>
    <t>ABOISSONEW2TPExtension</t>
  </si>
  <si>
    <t>IHS_SCE_098M</t>
  </si>
  <si>
    <t>CI02194</t>
  </si>
  <si>
    <t>ABOISSONEW1Betiabo</t>
  </si>
  <si>
    <t>IHS_VDB_123M</t>
  </si>
  <si>
    <t>CI02218</t>
  </si>
  <si>
    <t>LONGO</t>
  </si>
  <si>
    <t>IHS_SVN_117M</t>
  </si>
  <si>
    <t>CI02219</t>
  </si>
  <si>
    <t xml:space="preserve"> OUNANGAKAHA </t>
  </si>
  <si>
    <t>IHS_SVN_113M</t>
  </si>
  <si>
    <t>CI02261</t>
  </si>
  <si>
    <t>DASSOUGBO</t>
  </si>
  <si>
    <t>IHS_SVN_114M</t>
  </si>
  <si>
    <t>CI02286</t>
  </si>
  <si>
    <t>KOLON</t>
  </si>
  <si>
    <t>IHS_BSD_212M</t>
  </si>
  <si>
    <t>CI02300</t>
  </si>
  <si>
    <t>NEMANAKOYA</t>
  </si>
  <si>
    <t>IHS_SVN_118M</t>
  </si>
  <si>
    <t>CI02312</t>
  </si>
  <si>
    <t>SIKOLO</t>
  </si>
  <si>
    <t>IHS_LAC_103O</t>
  </si>
  <si>
    <t>YAKRO_NANAN</t>
  </si>
  <si>
    <t>IHS_DNG_040M</t>
  </si>
  <si>
    <t>CI02203</t>
  </si>
  <si>
    <t>ODIENNE_STADE</t>
  </si>
  <si>
    <t>IHS_FMG_096M</t>
  </si>
  <si>
    <t>CI02215</t>
  </si>
  <si>
    <t>GAGNOAZAPATA</t>
  </si>
  <si>
    <t>IHS_DHM_085M</t>
  </si>
  <si>
    <t>CI02222</t>
  </si>
  <si>
    <t>BOGOUINE</t>
  </si>
  <si>
    <t>IHS_SVN_115M</t>
  </si>
  <si>
    <t>CI02291</t>
  </si>
  <si>
    <t>KOUROUKONONDIOULASSO</t>
  </si>
  <si>
    <t>IHS_DHM_083O</t>
  </si>
  <si>
    <t>ONUCI_DANANE</t>
  </si>
  <si>
    <t>IHS_ZNZ_074O</t>
  </si>
  <si>
    <t>GOUMERE_BOUNA</t>
  </si>
  <si>
    <t>IHS_NCE_075O</t>
  </si>
  <si>
    <t>NGORANKRO</t>
  </si>
  <si>
    <t>IHS_ZNZ_083O</t>
  </si>
  <si>
    <t>TALAHINI</t>
  </si>
  <si>
    <t>IHS_LGN_876O</t>
  </si>
  <si>
    <t>IHS_LGN_873O</t>
  </si>
  <si>
    <t>IHS_NCE_084O</t>
  </si>
  <si>
    <t>IHS_DHM_082O</t>
  </si>
  <si>
    <t>GUEZON_GBEAN</t>
  </si>
  <si>
    <t>IHS_BSD_210O</t>
  </si>
  <si>
    <t>POLLET</t>
  </si>
  <si>
    <t>IHS_LGN_899O</t>
  </si>
  <si>
    <t>ROSIER_BASSAM</t>
  </si>
  <si>
    <t>IHS_VDB_116O</t>
  </si>
  <si>
    <t>BKE_COMMERCE</t>
  </si>
  <si>
    <t>IHS_VDB_117O</t>
  </si>
  <si>
    <t>KAMONOU</t>
  </si>
  <si>
    <t>IHS_LGN_883M</t>
  </si>
  <si>
    <t>CI02176</t>
  </si>
  <si>
    <t>Yopbonikro</t>
  </si>
  <si>
    <t>IHS_VDB_118O</t>
  </si>
  <si>
    <t>IHS_HSD_123O</t>
  </si>
  <si>
    <t>IHS_LGN_875M</t>
  </si>
  <si>
    <t>CI02196</t>
  </si>
  <si>
    <t>RivieraAgitel</t>
  </si>
  <si>
    <t>IHS_DHM_080M</t>
  </si>
  <si>
    <t>CI02202</t>
  </si>
  <si>
    <t>Man_Campus</t>
  </si>
  <si>
    <t>IHS_VDB_119O</t>
  </si>
  <si>
    <t>EMETTEUR</t>
  </si>
  <si>
    <t>IHS_VDB_121O</t>
  </si>
  <si>
    <t>IHS_VDB_120O</t>
  </si>
  <si>
    <t>IHS_DHM_084O</t>
  </si>
  <si>
    <t>ONUCI_DUEKOUE</t>
  </si>
  <si>
    <t>IHS_LGN_878O</t>
  </si>
  <si>
    <t>DIASPORA</t>
  </si>
  <si>
    <t>IHS_LGN_892M</t>
  </si>
  <si>
    <t>CI02183</t>
  </si>
  <si>
    <t>DjibiVillage</t>
  </si>
  <si>
    <t>IHS_DHM_081O</t>
  </si>
  <si>
    <t>ONUCI_MAN</t>
  </si>
  <si>
    <t>IHS_VDB_122O</t>
  </si>
  <si>
    <t>IHS_HSD_124O</t>
  </si>
  <si>
    <t>IHS_SCE_097O</t>
  </si>
  <si>
    <t>HEBE</t>
  </si>
  <si>
    <t>IHS_LGN_880O</t>
  </si>
  <si>
    <t>IHS_LGN_867O</t>
  </si>
  <si>
    <t>VERSANT</t>
  </si>
  <si>
    <t>IHS_LGN_895O</t>
  </si>
  <si>
    <t>IHS_LGN_869O</t>
  </si>
  <si>
    <t>MAHIKARI</t>
  </si>
  <si>
    <t>IHS_LGN_894O</t>
  </si>
  <si>
    <t>IHS_LGN_877M</t>
  </si>
  <si>
    <t>CI02186</t>
  </si>
  <si>
    <t>CampAkouedo</t>
  </si>
  <si>
    <t>IHS_MCE_069O</t>
  </si>
  <si>
    <t>AMORIAKRO</t>
  </si>
  <si>
    <t>IHS_LGN_897M</t>
  </si>
  <si>
    <t>CI02179</t>
  </si>
  <si>
    <t>Anyama Shneinder</t>
  </si>
  <si>
    <t>IHS_ZNZ_080M</t>
  </si>
  <si>
    <t>CI02195</t>
  </si>
  <si>
    <t>BondoukouKamagaya</t>
  </si>
  <si>
    <t>IHS_HSD_125M</t>
  </si>
  <si>
    <t>CI02199</t>
  </si>
  <si>
    <t>DaloaGbokora</t>
  </si>
  <si>
    <t>IHS_HSD_126M</t>
  </si>
  <si>
    <t>CI02200</t>
  </si>
  <si>
    <t>ISSIAZOBIA</t>
  </si>
  <si>
    <t>IHS_LGN_893M</t>
  </si>
  <si>
    <t>CI02207</t>
  </si>
  <si>
    <t>Anyama Belleville</t>
  </si>
  <si>
    <t>IHS_LGN_891M</t>
  </si>
  <si>
    <t>CI02212</t>
  </si>
  <si>
    <t>AkekoiDjibi</t>
  </si>
  <si>
    <t>IHS_SVN_112O</t>
  </si>
  <si>
    <t>IHS_LGN_792O</t>
  </si>
  <si>
    <t>Maroc CIT</t>
  </si>
  <si>
    <t>IHS_BSD_204O</t>
  </si>
  <si>
    <t>NV SASSANDRA</t>
  </si>
  <si>
    <t>IHS_DHM_072M</t>
  </si>
  <si>
    <t>CI01885</t>
  </si>
  <si>
    <t>GOHOUZAGNA</t>
  </si>
  <si>
    <t>IHS_ZNZ_075O</t>
  </si>
  <si>
    <t>YEZIMALA</t>
  </si>
  <si>
    <t>IHS_SBD_096O</t>
  </si>
  <si>
    <t>KOTIESSOU</t>
  </si>
  <si>
    <t>IHS_BSD_205O</t>
  </si>
  <si>
    <t>GRIHIRI</t>
  </si>
  <si>
    <t>IHS_BAF_025O</t>
  </si>
  <si>
    <t>SABOUDOUGOU</t>
  </si>
  <si>
    <t>IHS_LAC_101O</t>
  </si>
  <si>
    <t>DIDA_MOESSOU</t>
  </si>
  <si>
    <t>IHS_SCE_093M</t>
  </si>
  <si>
    <t>CI02040</t>
  </si>
  <si>
    <t>MADJAN</t>
  </si>
  <si>
    <t>IHS_DHM_074O</t>
  </si>
  <si>
    <t>YORODOUGOU</t>
  </si>
  <si>
    <t>IHS_FMG_091M</t>
  </si>
  <si>
    <t>CI01999</t>
  </si>
  <si>
    <t>GAGNOA SOLEIL</t>
  </si>
  <si>
    <t>IHS_DHM_079O</t>
  </si>
  <si>
    <t>ZEO</t>
  </si>
  <si>
    <t>IHS_SVN_105O</t>
  </si>
  <si>
    <t>BOUGOU</t>
  </si>
  <si>
    <t>IHS_FMG_092M</t>
  </si>
  <si>
    <t>CI01890</t>
  </si>
  <si>
    <t>Nazia</t>
  </si>
  <si>
    <t>IHS_AGN_081M</t>
  </si>
  <si>
    <t>CI02034</t>
  </si>
  <si>
    <t>ASSIKOUN</t>
  </si>
  <si>
    <t>IHS_ZNZ_079O</t>
  </si>
  <si>
    <t>GUIENDE</t>
  </si>
  <si>
    <t>IHS_LGN_844M</t>
  </si>
  <si>
    <t>CI02001</t>
  </si>
  <si>
    <t>SASANDRAGROUDOU</t>
  </si>
  <si>
    <t>IHS_AGN_085O</t>
  </si>
  <si>
    <t>ANNO</t>
  </si>
  <si>
    <t>IHS_ZNZ_076M</t>
  </si>
  <si>
    <t>CI01897</t>
  </si>
  <si>
    <t>Youndouo</t>
  </si>
  <si>
    <t>IHS_SVN_109M</t>
  </si>
  <si>
    <t>CI01947</t>
  </si>
  <si>
    <t>Sissengue</t>
  </si>
  <si>
    <t>IHS_FMG_095O</t>
  </si>
  <si>
    <t>AHONDO</t>
  </si>
  <si>
    <t>IHS_LGN_845O</t>
  </si>
  <si>
    <t>STADE</t>
  </si>
  <si>
    <t>IHS_SVN_104O</t>
  </si>
  <si>
    <t>KANAWOLO</t>
  </si>
  <si>
    <t>IHS_LGN_847O</t>
  </si>
  <si>
    <t>NV MSC</t>
  </si>
  <si>
    <t>IHS_LGN_838M</t>
  </si>
  <si>
    <t>CI01932</t>
  </si>
  <si>
    <t>PANDAH</t>
  </si>
  <si>
    <t>IHS_ZNZ_077M</t>
  </si>
  <si>
    <t>CI01934</t>
  </si>
  <si>
    <t>ASSEMPANAYE</t>
  </si>
  <si>
    <t>IHS_AGN_082M</t>
  </si>
  <si>
    <t>CI02033</t>
  </si>
  <si>
    <t>YAKASSEMEAZAGUIE</t>
  </si>
  <si>
    <t>IHS_BSD_202M</t>
  </si>
  <si>
    <t>CI02038</t>
  </si>
  <si>
    <t>MAPRI</t>
  </si>
  <si>
    <t>IHS_NCE_084M</t>
  </si>
  <si>
    <t>CI02047</t>
  </si>
  <si>
    <t>KOFFIKRO</t>
  </si>
  <si>
    <t>IHS_NCE_081O</t>
  </si>
  <si>
    <t>AKPASSANOU</t>
  </si>
  <si>
    <t>IHS_MCE_064O</t>
  </si>
  <si>
    <t>KATIMASSOU</t>
  </si>
  <si>
    <t>IHS_LAC_100O</t>
  </si>
  <si>
    <t>BODO_DIDIEVI</t>
  </si>
  <si>
    <t>IHS_LGN_846M</t>
  </si>
  <si>
    <t>CI01797</t>
  </si>
  <si>
    <t>TreichEntente</t>
  </si>
  <si>
    <t>IHS_NCE_082M</t>
  </si>
  <si>
    <t>CI01887</t>
  </si>
  <si>
    <t>GOUABO</t>
  </si>
  <si>
    <t>IHS_VDB_106M</t>
  </si>
  <si>
    <t>CI01984</t>
  </si>
  <si>
    <t>STADEBOUAKE</t>
  </si>
  <si>
    <t>IHS_MCE_060M</t>
  </si>
  <si>
    <t>CI02037</t>
  </si>
  <si>
    <t>AKAKRO</t>
  </si>
  <si>
    <t>IHS_BSD_201M</t>
  </si>
  <si>
    <t>CI02041</t>
  </si>
  <si>
    <t>PETITGABO</t>
  </si>
  <si>
    <t>IHS_BSD_207M</t>
  </si>
  <si>
    <t>CI02042</t>
  </si>
  <si>
    <t>LOGBAYO</t>
  </si>
  <si>
    <t>IHS_HSD_122M</t>
  </si>
  <si>
    <t>CI02044</t>
  </si>
  <si>
    <t>DALIA</t>
  </si>
  <si>
    <t>IHS_MRH_066M</t>
  </si>
  <si>
    <t>CI02048</t>
  </si>
  <si>
    <t>ALLEKRA</t>
  </si>
  <si>
    <t>IHS_MCE_066O</t>
  </si>
  <si>
    <t>NV AGNIBILEKRO</t>
  </si>
  <si>
    <t>IHS_DHM_078O</t>
  </si>
  <si>
    <t>BANNEU</t>
  </si>
  <si>
    <t>IHS_SVN_102O</t>
  </si>
  <si>
    <t>DOLOUROUVOGO</t>
  </si>
  <si>
    <t>IHS_DHM_077O</t>
  </si>
  <si>
    <t>BIANHITOUO = DEINNEU</t>
  </si>
  <si>
    <t>IHS_VDB_107O</t>
  </si>
  <si>
    <t>CITE DE L'AIR</t>
  </si>
  <si>
    <t>IHS_MCY_067O</t>
  </si>
  <si>
    <t>DJIDOUBAYE</t>
  </si>
  <si>
    <t>IHS_SVN_103O</t>
  </si>
  <si>
    <t>DOHIRIGUEKAHA</t>
  </si>
  <si>
    <t>IHS_BSD_209O</t>
  </si>
  <si>
    <t>KAKO VILLAGE</t>
  </si>
  <si>
    <t>IHS_MCY_069O</t>
  </si>
  <si>
    <t>KEIBLY</t>
  </si>
  <si>
    <t>IHS_DHM_069O</t>
  </si>
  <si>
    <t>OUYABLI</t>
  </si>
  <si>
    <t>IHS_NCE_083M</t>
  </si>
  <si>
    <t>CI01828</t>
  </si>
  <si>
    <t>Akpoue-Boue</t>
  </si>
  <si>
    <t>IHS_DHM_068O</t>
  </si>
  <si>
    <t>BEOUE-ZIBIAO</t>
  </si>
  <si>
    <t>IHS_DHM_070O</t>
  </si>
  <si>
    <t>GUEHOUO</t>
  </si>
  <si>
    <t>IHS_LGN_851O</t>
  </si>
  <si>
    <t>NV SACO</t>
  </si>
  <si>
    <t>IHS_MCY_070O</t>
  </si>
  <si>
    <t>DEBO1</t>
  </si>
  <si>
    <t>IHS_VDB_105O</t>
  </si>
  <si>
    <t>NV AGENCE_OCIT_BKE</t>
  </si>
  <si>
    <t>IHS_ZNZ_078O</t>
  </si>
  <si>
    <t>DANOA</t>
  </si>
  <si>
    <t>IHS_AGN_084M</t>
  </si>
  <si>
    <t>CI01829</t>
  </si>
  <si>
    <t xml:space="preserve">Allany </t>
  </si>
  <si>
    <t>IHS_VDB_112M</t>
  </si>
  <si>
    <t>CI01920</t>
  </si>
  <si>
    <t>NGUESSANPOKOUKRO</t>
  </si>
  <si>
    <t>IHS_AGN_083M</t>
  </si>
  <si>
    <t>CI01928</t>
  </si>
  <si>
    <t>Offoriguie</t>
  </si>
  <si>
    <t>IHS_VDB_109M</t>
  </si>
  <si>
    <t>CI01961</t>
  </si>
  <si>
    <t>TIEPLE</t>
  </si>
  <si>
    <t>IHS_BSD_200M</t>
  </si>
  <si>
    <t>CI01981</t>
  </si>
  <si>
    <t>SANPEDROBADOU</t>
  </si>
  <si>
    <t>IHS_FMG_093O</t>
  </si>
  <si>
    <t>GAGORE</t>
  </si>
  <si>
    <t>IHS_DHM_073O</t>
  </si>
  <si>
    <t>DOUAGUE</t>
  </si>
  <si>
    <t>IHS_SCE_092O</t>
  </si>
  <si>
    <t>BAFFIA</t>
  </si>
  <si>
    <t>IHS_VDB_111O</t>
  </si>
  <si>
    <t>BOUNDA</t>
  </si>
  <si>
    <t>IHS_SVN_108O</t>
  </si>
  <si>
    <t>KAKOLO</t>
  </si>
  <si>
    <t>IHS_NCE_080O</t>
  </si>
  <si>
    <t>BEDIAKRO=MENOU</t>
  </si>
  <si>
    <t>IHS_MCE_065O</t>
  </si>
  <si>
    <t>NV KOUN ABRONSO</t>
  </si>
  <si>
    <t>IHS_SCE_094O</t>
  </si>
  <si>
    <t>MOHAME</t>
  </si>
  <si>
    <t>IHS_LGN_836O</t>
  </si>
  <si>
    <t>NV EPHRATA</t>
  </si>
  <si>
    <t>IHS_LGN_849O</t>
  </si>
  <si>
    <t>NV ORCHIDEE</t>
  </si>
  <si>
    <t>IHS_SBD_092M</t>
  </si>
  <si>
    <t>CI01855</t>
  </si>
  <si>
    <t>CFI</t>
  </si>
  <si>
    <t>IHS_FMG_094M</t>
  </si>
  <si>
    <t>CI01875</t>
  </si>
  <si>
    <t>Gazahio</t>
  </si>
  <si>
    <t>IHS_SVN_107M</t>
  </si>
  <si>
    <t>CI01878</t>
  </si>
  <si>
    <t>GBINI</t>
  </si>
  <si>
    <t>IHS_MCE_062M</t>
  </si>
  <si>
    <t>CI01945</t>
  </si>
  <si>
    <t>Siakakro</t>
  </si>
  <si>
    <t>IHS_LGN_839M</t>
  </si>
  <si>
    <t>CI01955</t>
  </si>
  <si>
    <t>TamaboVillage</t>
  </si>
  <si>
    <t>IHS_VDB_113M</t>
  </si>
  <si>
    <t>CI01965</t>
  </si>
  <si>
    <t>Tounzuebo</t>
  </si>
  <si>
    <t>IHS_LGN_835O</t>
  </si>
  <si>
    <t>FEKESSE</t>
  </si>
  <si>
    <t>IHS_DHM_071O</t>
  </si>
  <si>
    <t>BLOTILE</t>
  </si>
  <si>
    <t>IHS_DHM_067O</t>
  </si>
  <si>
    <t>NV BIANKOUMA</t>
  </si>
  <si>
    <t>IHS_MCY_066M</t>
  </si>
  <si>
    <t>CI01857</t>
  </si>
  <si>
    <t>BlolequinCIB(Danhandrou)</t>
  </si>
  <si>
    <t>IHS_SBD_091M</t>
  </si>
  <si>
    <t>CI01882</t>
  </si>
  <si>
    <t xml:space="preserve">Gnehiri </t>
  </si>
  <si>
    <t>IHS_LGN_830O</t>
  </si>
  <si>
    <t>NV CAFEIER</t>
  </si>
  <si>
    <t>IHS_MCE_063M</t>
  </si>
  <si>
    <t>CI01842</t>
  </si>
  <si>
    <t>BANGOUA</t>
  </si>
  <si>
    <t>IHS_LGN_831O</t>
  </si>
  <si>
    <t>NV WOBIN</t>
  </si>
  <si>
    <t>IHS_LGN_841M</t>
  </si>
  <si>
    <t>CI02035</t>
  </si>
  <si>
    <t>KATCHEKAN</t>
  </si>
  <si>
    <t>IHS_SBD_094M</t>
  </si>
  <si>
    <t>CI02036</t>
  </si>
  <si>
    <t>ZOZUOKO</t>
  </si>
  <si>
    <t>IHS_BSD_203M</t>
  </si>
  <si>
    <t>CI01856</t>
  </si>
  <si>
    <t>Cantondougou</t>
  </si>
  <si>
    <t>IHS_SVN_110M</t>
  </si>
  <si>
    <t>CI01933</t>
  </si>
  <si>
    <t>PAPARA</t>
  </si>
  <si>
    <t>IHS_VDB_110M</t>
  </si>
  <si>
    <t>CI01831</t>
  </si>
  <si>
    <t>ANGOUAYAOKRO</t>
  </si>
  <si>
    <t>IHS_LGN_829O</t>
  </si>
  <si>
    <t>NV GESCO</t>
  </si>
  <si>
    <t>IHS_LGN_824O</t>
  </si>
  <si>
    <t>NV BELLEVILLE</t>
  </si>
  <si>
    <t>IHS_LGN_826O</t>
  </si>
  <si>
    <t>IHS_LGN_825O</t>
  </si>
  <si>
    <t>NV PRICHOC</t>
  </si>
  <si>
    <t>IHS_LGN_843M</t>
  </si>
  <si>
    <t>CI01949</t>
  </si>
  <si>
    <t>SOKROGBO</t>
  </si>
  <si>
    <t>IHS_LGN_840M</t>
  </si>
  <si>
    <t>CI01931</t>
  </si>
  <si>
    <t>PALMINDUSTRIEELOKA</t>
  </si>
  <si>
    <t>IHS_LGN_832M</t>
  </si>
  <si>
    <t>CI02005</t>
  </si>
  <si>
    <t>DERRIEREGENIE2000</t>
  </si>
  <si>
    <t>IHS_DHM_065M</t>
  </si>
  <si>
    <t>CI01983</t>
  </si>
  <si>
    <t>MANNORD</t>
  </si>
  <si>
    <t>IHS_BSD_208M</t>
  </si>
  <si>
    <t>CI01935</t>
  </si>
  <si>
    <t>PETIGOA2</t>
  </si>
  <si>
    <t>IHS_HSD_120M</t>
  </si>
  <si>
    <t>CI01985</t>
  </si>
  <si>
    <t>DALOAORLY2</t>
  </si>
  <si>
    <t>IHS_SCE_091M</t>
  </si>
  <si>
    <t>CI01840</t>
  </si>
  <si>
    <t xml:space="preserve">Bakro </t>
  </si>
  <si>
    <t>IHS_BSD_206M</t>
  </si>
  <si>
    <t>CI01850</t>
  </si>
  <si>
    <t>BodouyoBloc</t>
  </si>
  <si>
    <t>IHS_MCY_065M</t>
  </si>
  <si>
    <t>CI01880</t>
  </si>
  <si>
    <t xml:space="preserve">Kouassibakro </t>
  </si>
  <si>
    <t>IHS_AGN_080M</t>
  </si>
  <si>
    <t>CI01899</t>
  </si>
  <si>
    <t>Copa</t>
  </si>
  <si>
    <t>IHS_VDB_115M</t>
  </si>
  <si>
    <t>CI01923</t>
  </si>
  <si>
    <t>Niemene</t>
  </si>
  <si>
    <t>IHS_VDB_114M</t>
  </si>
  <si>
    <t>CI01952</t>
  </si>
  <si>
    <t>SranBondossou</t>
  </si>
  <si>
    <t>IHS_SBD_093M</t>
  </si>
  <si>
    <t>CI01969</t>
  </si>
  <si>
    <t>Yakasse</t>
  </si>
  <si>
    <t>IHS_HSD_121M</t>
  </si>
  <si>
    <t>CI01971</t>
  </si>
  <si>
    <t>GBOPROUYA(Chantier)</t>
  </si>
  <si>
    <t>IHS_LGN_842M</t>
  </si>
  <si>
    <t>CI01958</t>
  </si>
  <si>
    <t>Tieviessou</t>
  </si>
  <si>
    <t>IHS_SBD_090M</t>
  </si>
  <si>
    <t>CI01986</t>
  </si>
  <si>
    <t>DIVOHOTELETOILE</t>
  </si>
  <si>
    <t>IHS_SVN_101M</t>
  </si>
  <si>
    <t>CI01980</t>
  </si>
  <si>
    <t>KORHOGOEXT</t>
  </si>
  <si>
    <t>IHS_SVN_100M</t>
  </si>
  <si>
    <t>CI01982</t>
  </si>
  <si>
    <t>KORHOGOSINISTRE</t>
  </si>
  <si>
    <t>IHS_AGN_086M</t>
  </si>
  <si>
    <t>CI01930</t>
  </si>
  <si>
    <t>Otope1</t>
  </si>
  <si>
    <t>IHS_LGN_828M</t>
  </si>
  <si>
    <t>CI01992</t>
  </si>
  <si>
    <t>YOPZITIP</t>
  </si>
  <si>
    <t>IHS_LGN_837M</t>
  </si>
  <si>
    <t>CI02002</t>
  </si>
  <si>
    <t>NDOTRECOBAKRO</t>
  </si>
  <si>
    <t>IHS_LGN_833M</t>
  </si>
  <si>
    <t>CI02003</t>
  </si>
  <si>
    <t>ABOBOBOISSEC</t>
  </si>
  <si>
    <t>IHS_LGN_821M</t>
  </si>
  <si>
    <t>CI01801</t>
  </si>
  <si>
    <t>ABOBO BAOULENEW</t>
  </si>
  <si>
    <t>IHS_LGN_819M</t>
  </si>
  <si>
    <t>CI01808</t>
  </si>
  <si>
    <t>CITEDESARTS (SODEMIE)</t>
  </si>
  <si>
    <t>KAKOUKRO</t>
  </si>
  <si>
    <t>IHS_LGN_820M</t>
  </si>
  <si>
    <t>CI01790</t>
  </si>
  <si>
    <t>ABOBO PLAQUE</t>
  </si>
  <si>
    <t>IHS_LGN_788M</t>
  </si>
  <si>
    <t>CI01677</t>
  </si>
  <si>
    <t>TerminusNew</t>
  </si>
  <si>
    <t>IHS_SCE_025M</t>
  </si>
  <si>
    <t>CI01690</t>
  </si>
  <si>
    <t>Aboulie</t>
  </si>
  <si>
    <t>IHS_MCE_053M</t>
  </si>
  <si>
    <t>CI01691</t>
  </si>
  <si>
    <t>Abradinou</t>
  </si>
  <si>
    <t>IHS_SCE_032M</t>
  </si>
  <si>
    <t>CI01693</t>
  </si>
  <si>
    <t>Akounougbe</t>
  </si>
  <si>
    <t>IHS_LGN_721M</t>
  </si>
  <si>
    <t>CI01698</t>
  </si>
  <si>
    <t>Andou M'Batto</t>
  </si>
  <si>
    <t>IHS_LGN_737M</t>
  </si>
  <si>
    <t>CI01701</t>
  </si>
  <si>
    <t>Agnimanbo</t>
  </si>
  <si>
    <t>IHS_MCE_021M</t>
  </si>
  <si>
    <t>CI01702</t>
  </si>
  <si>
    <t>Assakro</t>
  </si>
  <si>
    <t>IHS_LGN_701M</t>
  </si>
  <si>
    <t>Sassako Begnené Avouagou</t>
  </si>
  <si>
    <t>IHS_ZNZ_042M</t>
  </si>
  <si>
    <t>CI01706</t>
  </si>
  <si>
    <t>Badoukro</t>
  </si>
  <si>
    <t>IHS_MRH_059M</t>
  </si>
  <si>
    <t>CI01709</t>
  </si>
  <si>
    <t>Banoufla</t>
  </si>
  <si>
    <t>IHS_SBD_013M</t>
  </si>
  <si>
    <t>CI01712</t>
  </si>
  <si>
    <t>Brabodougou</t>
  </si>
  <si>
    <t>IHS_LGN_758M</t>
  </si>
  <si>
    <t>CI01713</t>
  </si>
  <si>
    <t>Broubrou</t>
  </si>
  <si>
    <t>IHS_FMG_024M</t>
  </si>
  <si>
    <t>CI01714</t>
  </si>
  <si>
    <t>Dagodio</t>
  </si>
  <si>
    <t>IHS_SVN_059M</t>
  </si>
  <si>
    <t>CI01729</t>
  </si>
  <si>
    <t>Ganaoni</t>
  </si>
  <si>
    <t>IHS_NCE_038M</t>
  </si>
  <si>
    <t>CI01731</t>
  </si>
  <si>
    <t>Gbonou Carrefour</t>
  </si>
  <si>
    <t>IHS_SBD_072M</t>
  </si>
  <si>
    <t>CI01733</t>
  </si>
  <si>
    <t>Gnakoblonouan</t>
  </si>
  <si>
    <t>IHS_SBD_058M</t>
  </si>
  <si>
    <t>CI01734</t>
  </si>
  <si>
    <t>Goudi</t>
  </si>
  <si>
    <t>IHS_HSD_031M</t>
  </si>
  <si>
    <t>CI01735</t>
  </si>
  <si>
    <t>Sikaboutou</t>
  </si>
  <si>
    <t>IHS_SBD_039M</t>
  </si>
  <si>
    <t>CI01743</t>
  </si>
  <si>
    <t>Kadeko-Digako</t>
  </si>
  <si>
    <t>IHS_MCY_037M</t>
  </si>
  <si>
    <t>CI01745</t>
  </si>
  <si>
    <t>Kahen</t>
  </si>
  <si>
    <t>IHS_SVN_065M</t>
  </si>
  <si>
    <t>CI01746</t>
  </si>
  <si>
    <t>Katogo</t>
  </si>
  <si>
    <t>IHS_FMG_036M</t>
  </si>
  <si>
    <t>CI01747</t>
  </si>
  <si>
    <t>Kobouo</t>
  </si>
  <si>
    <t>IHS_BSD_083M</t>
  </si>
  <si>
    <t>CI01748</t>
  </si>
  <si>
    <t>Kokoloposso</t>
  </si>
  <si>
    <t>IHS_BSD_171M</t>
  </si>
  <si>
    <t>CI01754</t>
  </si>
  <si>
    <t>Petit Ouaga</t>
  </si>
  <si>
    <t>IHS_BSD_118M</t>
  </si>
  <si>
    <t>CI01756</t>
  </si>
  <si>
    <t>Miankou Kouassikro</t>
  </si>
  <si>
    <t>IHS_FMG_022M</t>
  </si>
  <si>
    <t>CI01758</t>
  </si>
  <si>
    <t>Lelebrekoua</t>
  </si>
  <si>
    <t>IHS_HSD_087M</t>
  </si>
  <si>
    <t>CI01762</t>
  </si>
  <si>
    <t>Nahio</t>
  </si>
  <si>
    <t>IHS_SBD_033M</t>
  </si>
  <si>
    <t>CI01763</t>
  </si>
  <si>
    <t>Dacouritro</t>
  </si>
  <si>
    <t>IHS_SCE_047M</t>
  </si>
  <si>
    <t>CI01764</t>
  </si>
  <si>
    <t>Niamienlessa</t>
  </si>
  <si>
    <t>IHS_NCE_026M</t>
  </si>
  <si>
    <t>CI01765</t>
  </si>
  <si>
    <t>Nzuekokore</t>
  </si>
  <si>
    <t>IHS_LGN_770M</t>
  </si>
  <si>
    <t>CI01771</t>
  </si>
  <si>
    <t>SCB Spadi</t>
  </si>
  <si>
    <t>IHS_SBD_018M</t>
  </si>
  <si>
    <t>CI01774</t>
  </si>
  <si>
    <t>Gly_sur les rails</t>
  </si>
  <si>
    <t>IHS_BSD_185M</t>
  </si>
  <si>
    <t>CI01775</t>
  </si>
  <si>
    <t>ADK</t>
  </si>
  <si>
    <t>IHS_ZNZ_069M</t>
  </si>
  <si>
    <t>CI01776</t>
  </si>
  <si>
    <t>Tehini</t>
  </si>
  <si>
    <t>IHS_BSD_062M</t>
  </si>
  <si>
    <t>CI01782</t>
  </si>
  <si>
    <t>Touih</t>
  </si>
  <si>
    <t>IHS_MCY_013M</t>
  </si>
  <si>
    <t>CI01783</t>
  </si>
  <si>
    <t xml:space="preserve">Nizahon V16 </t>
  </si>
  <si>
    <t>IHS_MCE_054M</t>
  </si>
  <si>
    <t>CI01785</t>
  </si>
  <si>
    <t>Akrebi</t>
  </si>
  <si>
    <t>IHS_HSD_112M</t>
  </si>
  <si>
    <t>CI01786</t>
  </si>
  <si>
    <t xml:space="preserve">Vrouho2 </t>
  </si>
  <si>
    <t>IHS_ZNZ_065M</t>
  </si>
  <si>
    <t>CI01789</t>
  </si>
  <si>
    <t>Sayé (Relais FH pour Tehini)</t>
  </si>
  <si>
    <t>IHS_LGN_812M</t>
  </si>
  <si>
    <t>CI01796</t>
  </si>
  <si>
    <t>ADJAMEDES APOTRES</t>
  </si>
  <si>
    <t>IHS_LGN_641O</t>
  </si>
  <si>
    <t>ABADJIN</t>
  </si>
  <si>
    <t>IHS_SBD_028O</t>
  </si>
  <si>
    <t>HEREMANKONODIES</t>
  </si>
  <si>
    <t>IHS_LGN_569O</t>
  </si>
  <si>
    <t>ABATTOIR</t>
  </si>
  <si>
    <t>IHS_LGN_432O</t>
  </si>
  <si>
    <t>ABIA-ABETY</t>
  </si>
  <si>
    <t>IHS_LGN_475O</t>
  </si>
  <si>
    <t>ABOBO_TE</t>
  </si>
  <si>
    <t>IHS_SBD_065O</t>
  </si>
  <si>
    <t>ADAHIDOUGOU</t>
  </si>
  <si>
    <t>IHS_SCE_017O</t>
  </si>
  <si>
    <t>ADIAKE</t>
  </si>
  <si>
    <t>IHS_LGN_686O</t>
  </si>
  <si>
    <t>ADIAPOTO</t>
  </si>
  <si>
    <t>IHS_BSD_029O</t>
  </si>
  <si>
    <t>ADJAMENE</t>
  </si>
  <si>
    <t>IHS_LGN_683O</t>
  </si>
  <si>
    <t>ADJOUFFOU</t>
  </si>
  <si>
    <t>IHS_LGN_514O</t>
  </si>
  <si>
    <t>ADVENTIS</t>
  </si>
  <si>
    <t>IHS_LGN_647O</t>
  </si>
  <si>
    <t>AEROPORT_ABJ</t>
  </si>
  <si>
    <t>IHS_LAC_036O</t>
  </si>
  <si>
    <t>AEROPORT_YAKRO</t>
  </si>
  <si>
    <t>IHS_VDB_049O</t>
  </si>
  <si>
    <t>AFFOTOBO</t>
  </si>
  <si>
    <t>IHS_LGN_126O</t>
  </si>
  <si>
    <t>AGBAN</t>
  </si>
  <si>
    <t>IHS_SBD_034O</t>
  </si>
  <si>
    <t>AGBAOU</t>
  </si>
  <si>
    <t>IHS_NCE_041O</t>
  </si>
  <si>
    <t>AGBOSSOU</t>
  </si>
  <si>
    <t>IHS_AGN_050O</t>
  </si>
  <si>
    <t>AGBOVILLE</t>
  </si>
  <si>
    <t>IHS_LGN_453O</t>
  </si>
  <si>
    <t>AGITEL</t>
  </si>
  <si>
    <t>IHS_LAC_086O</t>
  </si>
  <si>
    <t>AHEREMOU</t>
  </si>
  <si>
    <t>IHS_LGN_035O</t>
  </si>
  <si>
    <t>AIP</t>
  </si>
  <si>
    <t>IHS_LGN_671O</t>
  </si>
  <si>
    <t>AKANDJE</t>
  </si>
  <si>
    <t>IHS_MCE_040O</t>
  </si>
  <si>
    <t>AKATI</t>
  </si>
  <si>
    <t>IHS_LGN_642O</t>
  </si>
  <si>
    <t>AKEIKOI</t>
  </si>
  <si>
    <t>IHS_LGN_050O</t>
  </si>
  <si>
    <t>AKELIE</t>
  </si>
  <si>
    <t>IHS_LAC_076O</t>
  </si>
  <si>
    <t>AKOI_NDENOU</t>
  </si>
  <si>
    <t>IHS_MCE_011O</t>
  </si>
  <si>
    <t>AKOIKRO</t>
  </si>
  <si>
    <t>IHS_LAC_031O</t>
  </si>
  <si>
    <t>AKOUEBONZI</t>
  </si>
  <si>
    <t>IHS_SCE_018O</t>
  </si>
  <si>
    <t>AKRESSI</t>
  </si>
  <si>
    <t>IHS_FMG_072O</t>
  </si>
  <si>
    <t>AKROUFLA</t>
  </si>
  <si>
    <t>IHS_SCE_087O</t>
  </si>
  <si>
    <t>ALLAKRO</t>
  </si>
  <si>
    <t>IHS_LGN_221O</t>
  </si>
  <si>
    <t>ALLEY</t>
  </si>
  <si>
    <t>IHS_LGN_364O</t>
  </si>
  <si>
    <t>ALLOCODROME</t>
  </si>
  <si>
    <t>IHS_AGN_064O</t>
  </si>
  <si>
    <t>AMANGBEU</t>
  </si>
  <si>
    <t>IHS_MRH_013O</t>
  </si>
  <si>
    <t>AMANVI</t>
  </si>
  <si>
    <t>IHS_AGN_021O</t>
  </si>
  <si>
    <t>ANANGUIE</t>
  </si>
  <si>
    <t>IHS_LGN_073O</t>
  </si>
  <si>
    <t>ANAULICE</t>
  </si>
  <si>
    <t>IHS_HSD_113O</t>
  </si>
  <si>
    <t>ANCIEN-PROZI</t>
  </si>
  <si>
    <t>IHS_MRH_014O</t>
  </si>
  <si>
    <t>ANGOVIA</t>
  </si>
  <si>
    <t>IHS_LAC_049O</t>
  </si>
  <si>
    <t>ANIKRO</t>
  </si>
  <si>
    <t>IHS_SCE_068O</t>
  </si>
  <si>
    <t>APOUASSO_BIANOUAN</t>
  </si>
  <si>
    <t>IHS_ZNZ_011O</t>
  </si>
  <si>
    <t>APPIMANDOUM</t>
  </si>
  <si>
    <t>IHS_MCE_042O</t>
  </si>
  <si>
    <t>APPROMPRON</t>
  </si>
  <si>
    <t>IHS_LGN_058O</t>
  </si>
  <si>
    <t>ARCHEVECHE</t>
  </si>
  <si>
    <t>IHS_LGN_324O</t>
  </si>
  <si>
    <t>ASSA</t>
  </si>
  <si>
    <t>IHS_LAC_011O</t>
  </si>
  <si>
    <t>ASSABOU</t>
  </si>
  <si>
    <t>IHS_VDB_055O</t>
  </si>
  <si>
    <t>ASSANDRE</t>
  </si>
  <si>
    <t>IHS_SCE_060O</t>
  </si>
  <si>
    <t>ASSINIE</t>
  </si>
  <si>
    <t>IHS_LGN_694O</t>
  </si>
  <si>
    <t>ATTIEKOI</t>
  </si>
  <si>
    <t>IHS_LAC_019O</t>
  </si>
  <si>
    <t>ATTOUNGBLAN</t>
  </si>
  <si>
    <t>IHS_LGN_692O</t>
  </si>
  <si>
    <t>AZAGUIE-BLIDA</t>
  </si>
  <si>
    <t>IHS_HSD_061O</t>
  </si>
  <si>
    <t>BABO</t>
  </si>
  <si>
    <t>IHS_SBD_041O</t>
  </si>
  <si>
    <t>BABOKON</t>
  </si>
  <si>
    <t>IHS_SBD_007O</t>
  </si>
  <si>
    <t>BADA</t>
  </si>
  <si>
    <t>IHS_LGN_584O</t>
  </si>
  <si>
    <t>BAFOND</t>
  </si>
  <si>
    <t>IHS_LGN_657O</t>
  </si>
  <si>
    <t>BAGBA</t>
  </si>
  <si>
    <t>IHS_BSD_179O</t>
  </si>
  <si>
    <t>BAGOLIEOUA</t>
  </si>
  <si>
    <t>IHS_DNG_014O</t>
  </si>
  <si>
    <t>BAKO</t>
  </si>
  <si>
    <t>IHS_HSD_095O</t>
  </si>
  <si>
    <t>BALAHIO</t>
  </si>
  <si>
    <t>IHS_FMG_054O</t>
  </si>
  <si>
    <t>BALAYO</t>
  </si>
  <si>
    <t>IHS_BSD_064O</t>
  </si>
  <si>
    <t>BALOKUYA</t>
  </si>
  <si>
    <t>IHS_VDB_032O</t>
  </si>
  <si>
    <t>BAMORO_BAOULE</t>
  </si>
  <si>
    <t>IHS_NCE_025O</t>
  </si>
  <si>
    <t>BANABO</t>
  </si>
  <si>
    <t>IHS_MRH_021O</t>
  </si>
  <si>
    <t>BAONFLA</t>
  </si>
  <si>
    <t>IHS_BSD_015O</t>
  </si>
  <si>
    <t>BARDO</t>
  </si>
  <si>
    <t>IHS_FMG_050O</t>
  </si>
  <si>
    <t>BASSEHOA</t>
  </si>
  <si>
    <t>IHS_LGN_204O</t>
  </si>
  <si>
    <t>BELLE</t>
  </si>
  <si>
    <t>IHS_LGN_223O</t>
  </si>
  <si>
    <t>BELLE_EPINE</t>
  </si>
  <si>
    <t>IHS_LGN_347O</t>
  </si>
  <si>
    <t>BEVERLY</t>
  </si>
  <si>
    <t>IHS_MRH_054O</t>
  </si>
  <si>
    <t>BEZIAKA</t>
  </si>
  <si>
    <t>IHS_LGN_640O</t>
  </si>
  <si>
    <t>BIABOU</t>
  </si>
  <si>
    <t>IHS_LGN_130O</t>
  </si>
  <si>
    <t>BIAFRA</t>
  </si>
  <si>
    <t>IHS_HSD_048O</t>
  </si>
  <si>
    <t>BIDIAHOUAN</t>
  </si>
  <si>
    <t>IHS_FMG_056O</t>
  </si>
  <si>
    <t>BIDIE</t>
  </si>
  <si>
    <t>IHS_FMG_035O</t>
  </si>
  <si>
    <t>BILAHIO</t>
  </si>
  <si>
    <t>IHS_LGN_655O</t>
  </si>
  <si>
    <t>BIMBRESSO</t>
  </si>
  <si>
    <t>IHS_HSD_092O</t>
  </si>
  <si>
    <t>BIZERAGUHE</t>
  </si>
  <si>
    <t>IHS_FMG_052O</t>
  </si>
  <si>
    <t>BLEANIANDA</t>
  </si>
  <si>
    <t>IHS_DHM_035O</t>
  </si>
  <si>
    <t>BLENIMEOUIN</t>
  </si>
  <si>
    <t>IHS_ZNZ_054O</t>
  </si>
  <si>
    <t>BOAHIA</t>
  </si>
  <si>
    <t>IHS_HSD_094O</t>
  </si>
  <si>
    <t>BOGBAM</t>
  </si>
  <si>
    <t>IHS_BSD_122O</t>
  </si>
  <si>
    <t>IHS_LGN_459O</t>
  </si>
  <si>
    <t>BOKOSSA</t>
  </si>
  <si>
    <t>IHS_ZNZ_024O</t>
  </si>
  <si>
    <t>BONDO</t>
  </si>
  <si>
    <t>IHS_NCE_033O</t>
  </si>
  <si>
    <t>BONGOUANOU</t>
  </si>
  <si>
    <t>IHS_MRH_022O</t>
  </si>
  <si>
    <t>BONON</t>
  </si>
  <si>
    <t>IHS_LGN_351O</t>
  </si>
  <si>
    <t>BONOUMIN</t>
  </si>
  <si>
    <t>IHS_MCE_008O</t>
  </si>
  <si>
    <t>BONZOU</t>
  </si>
  <si>
    <t>BOROTOU</t>
  </si>
  <si>
    <t>IHS_MRH_019O</t>
  </si>
  <si>
    <t>BOUAFLA</t>
  </si>
  <si>
    <t>IHS_LGN_104O</t>
  </si>
  <si>
    <t>BRACODI</t>
  </si>
  <si>
    <t>IHS_FMG_055O</t>
  </si>
  <si>
    <t>BRIHI</t>
  </si>
  <si>
    <t>IHS_HSD_043O</t>
  </si>
  <si>
    <t>BROKOUA</t>
  </si>
  <si>
    <t>IHS_HSD_056O</t>
  </si>
  <si>
    <t>BROMA</t>
  </si>
  <si>
    <t>BUYO</t>
  </si>
  <si>
    <t>IHS_BSD_188O</t>
  </si>
  <si>
    <t>BUYOCITE</t>
  </si>
  <si>
    <t>IHS_MCE_005O</t>
  </si>
  <si>
    <t>CAFETOU</t>
  </si>
  <si>
    <t>IHS_LAC_029O</t>
  </si>
  <si>
    <t>CAFOP</t>
  </si>
  <si>
    <t>IHS_LGN_166O</t>
  </si>
  <si>
    <t>CAMPUS</t>
  </si>
  <si>
    <t>IHS_LGN_376O</t>
  </si>
  <si>
    <t>CANAL</t>
  </si>
  <si>
    <t>IHS_LGN_217O</t>
  </si>
  <si>
    <t>CARROSSIER</t>
  </si>
  <si>
    <t>IHS_LGN_328O</t>
  </si>
  <si>
    <t>CASCADE</t>
  </si>
  <si>
    <t>IHS_MCY_038O</t>
  </si>
  <si>
    <t>CHC</t>
  </si>
  <si>
    <t>IHS_LGN_565O</t>
  </si>
  <si>
    <t>CLOTCHA</t>
  </si>
  <si>
    <t>IHS_SCE_084O</t>
  </si>
  <si>
    <t>COCOTERAIE</t>
  </si>
  <si>
    <t>IHS_BSD_019O</t>
  </si>
  <si>
    <t>COLAS</t>
  </si>
  <si>
    <t>IHS_LGN_320O</t>
  </si>
  <si>
    <t>COMAFRIQUE</t>
  </si>
  <si>
    <t>IHS_LGN_196O</t>
  </si>
  <si>
    <t>COMPLEXE</t>
  </si>
  <si>
    <t>IHS_BSD_007O</t>
  </si>
  <si>
    <t>CONCORDE</t>
  </si>
  <si>
    <t>IHS_LAC_032O</t>
  </si>
  <si>
    <t>CORRIDOR</t>
  </si>
  <si>
    <t>IHS_LGN_522O</t>
  </si>
  <si>
    <t>COSAV</t>
  </si>
  <si>
    <t>IHS_LGN_740O</t>
  </si>
  <si>
    <t>COSROU</t>
  </si>
  <si>
    <t>IHS_ZNZ_016O</t>
  </si>
  <si>
    <t>DADIASSE</t>
  </si>
  <si>
    <t>IHS_LGN_094O</t>
  </si>
  <si>
    <t>DALLO</t>
  </si>
  <si>
    <t>IHS_MRH_006O</t>
  </si>
  <si>
    <t>DATEKOUMAN</t>
  </si>
  <si>
    <t>IHS_SBD_015O</t>
  </si>
  <si>
    <t>DATTA</t>
  </si>
  <si>
    <t>IHS_HSD_070O</t>
  </si>
  <si>
    <t>DEDIAFLA</t>
  </si>
  <si>
    <t>IHS_LGN_049O</t>
  </si>
  <si>
    <t>DELAFOSSE</t>
  </si>
  <si>
    <t>IHS_ZNZ_035O</t>
  </si>
  <si>
    <t>DIAMBA</t>
  </si>
  <si>
    <t>IHS_MCE_022O</t>
  </si>
  <si>
    <t>DIANGOBO_ZOUHOUNOU</t>
  </si>
  <si>
    <t>IHS_WRD_049O</t>
  </si>
  <si>
    <t>DIANRA</t>
  </si>
  <si>
    <t>IHS_SCE_010O</t>
  </si>
  <si>
    <t>DIATOKRO</t>
  </si>
  <si>
    <t>IHS_MCY_048O</t>
  </si>
  <si>
    <t>DIBOKE</t>
  </si>
  <si>
    <t>IHS_SCE_031O</t>
  </si>
  <si>
    <t>DIBY_MAFERE</t>
  </si>
  <si>
    <t>IHS_LAC_016O</t>
  </si>
  <si>
    <t>DIOULABOUGOU</t>
  </si>
  <si>
    <t>IHS_MRH_035O</t>
  </si>
  <si>
    <t>DJAHAKRO</t>
  </si>
  <si>
    <t>IHS_LAC_068O</t>
  </si>
  <si>
    <t>DJEKANOU</t>
  </si>
  <si>
    <t>IHS_BSD_110O</t>
  </si>
  <si>
    <t>DJIBAGUI</t>
  </si>
  <si>
    <t>IHS_SBD_036O</t>
  </si>
  <si>
    <t>DJIDJIDOU</t>
  </si>
  <si>
    <t>IHS_BSD_111O</t>
  </si>
  <si>
    <t>DJOUROUTOU</t>
  </si>
  <si>
    <t>IHS_BSD_059O</t>
  </si>
  <si>
    <t>DOBA</t>
  </si>
  <si>
    <t>IHS_BSD_106O</t>
  </si>
  <si>
    <t>DOBRE</t>
  </si>
  <si>
    <t>IHS_BSD_049O</t>
  </si>
  <si>
    <t>DOGBO</t>
  </si>
  <si>
    <t>IHS_SBD_073O</t>
  </si>
  <si>
    <t>DOKPODON</t>
  </si>
  <si>
    <t>IHS_HSD_097O</t>
  </si>
  <si>
    <t>DOMANGBEU</t>
  </si>
  <si>
    <t>IHS_LGN_030O</t>
  </si>
  <si>
    <t>DOUANE</t>
  </si>
  <si>
    <t>IHS_SBD_066O</t>
  </si>
  <si>
    <t>DOUGODOU</t>
  </si>
  <si>
    <t>IHS_LGN_709O</t>
  </si>
  <si>
    <t>DZEUDJI</t>
  </si>
  <si>
    <t>IHS_LGN_270O</t>
  </si>
  <si>
    <t>EBATHE</t>
  </si>
  <si>
    <t>IHS_SCE_048O</t>
  </si>
  <si>
    <t>EDJAMBO</t>
  </si>
  <si>
    <t>IHS_LGN_666O</t>
  </si>
  <si>
    <t>EFYM</t>
  </si>
  <si>
    <t>IHS_MCE_039O</t>
  </si>
  <si>
    <t>EHUIASSO</t>
  </si>
  <si>
    <t>IHS_AGN_069O</t>
  </si>
  <si>
    <t>ELEVI</t>
  </si>
  <si>
    <t>IHS_LGN_702O</t>
  </si>
  <si>
    <t>ELOKATE</t>
  </si>
  <si>
    <t>IHS_LGN_322O</t>
  </si>
  <si>
    <t>EMERAUDE</t>
  </si>
  <si>
    <t>IHS_BSD_030O</t>
  </si>
  <si>
    <t>FAHE</t>
  </si>
  <si>
    <t>IHS_LGN_392O</t>
  </si>
  <si>
    <t>FALLONE</t>
  </si>
  <si>
    <t>IHS_LGN_628O</t>
  </si>
  <si>
    <t>FAMA</t>
  </si>
  <si>
    <t>IHS_NCE_073O</t>
  </si>
  <si>
    <t>FAMIENKRO</t>
  </si>
  <si>
    <t>IHS_LGN_589O</t>
  </si>
  <si>
    <t>FATIMA</t>
  </si>
  <si>
    <t>IHS_MCY_024O</t>
  </si>
  <si>
    <t>FENGOLO_DUEKOUE</t>
  </si>
  <si>
    <t>IHS_DNG_037O</t>
  </si>
  <si>
    <t>FENGOLO_MADINANI</t>
  </si>
  <si>
    <t>IHS_BSD_025O</t>
  </si>
  <si>
    <t>FEXIM</t>
  </si>
  <si>
    <t>IHS_LGN_336O</t>
  </si>
  <si>
    <t>FOREST</t>
  </si>
  <si>
    <t>IHS_LGN_080O</t>
  </si>
  <si>
    <t>FOYER</t>
  </si>
  <si>
    <t>IHS_SCE_058O</t>
  </si>
  <si>
    <t>FRAMBO</t>
  </si>
  <si>
    <t>IHS_LGN_037O</t>
  </si>
  <si>
    <t>FRATERNITE</t>
  </si>
  <si>
    <t>IHS_LGN_152O</t>
  </si>
  <si>
    <t>FRIGELIAS</t>
  </si>
  <si>
    <t>IHS_HSD_078O</t>
  </si>
  <si>
    <t>GABIA_ISSIA</t>
  </si>
  <si>
    <t>IHS_HSD_027O</t>
  </si>
  <si>
    <t>GABOUA</t>
  </si>
  <si>
    <t>IHS_BSD_036O</t>
  </si>
  <si>
    <t>GAGNY</t>
  </si>
  <si>
    <t>IHS_BSD_127O</t>
  </si>
  <si>
    <t>GALLEA</t>
  </si>
  <si>
    <t>IHS_BSD_147O</t>
  </si>
  <si>
    <t>GBAKALEKPA</t>
  </si>
  <si>
    <t>IHS_HSD_024O</t>
  </si>
  <si>
    <t>GBALAGOUA</t>
  </si>
  <si>
    <t>IHS_BSD_138O</t>
  </si>
  <si>
    <t>GBALEBOUO</t>
  </si>
  <si>
    <t>IHS_SVN_016O</t>
  </si>
  <si>
    <t>GBALEKAHA</t>
  </si>
  <si>
    <t>IHS_BSD_113O</t>
  </si>
  <si>
    <t>GBAPET</t>
  </si>
  <si>
    <t>IHS_SVN_073O</t>
  </si>
  <si>
    <t>GBON</t>
  </si>
  <si>
    <t>IHS_AGN_017O</t>
  </si>
  <si>
    <t>GD_AKOUDZIN</t>
  </si>
  <si>
    <t>IHS_LGN_704O</t>
  </si>
  <si>
    <t>GD_ALEPE</t>
  </si>
  <si>
    <t>IHS_LGN_730O</t>
  </si>
  <si>
    <t>GD_BOUBOURY</t>
  </si>
  <si>
    <t>IHS_DHM_057O</t>
  </si>
  <si>
    <t>GLANGLEU</t>
  </si>
  <si>
    <t>IHS_BSD_175O</t>
  </si>
  <si>
    <t>GNAGBOYA</t>
  </si>
  <si>
    <t>IHS_BSD_121O</t>
  </si>
  <si>
    <t>GNAGO 2</t>
  </si>
  <si>
    <t>IHS_BSD_044O</t>
  </si>
  <si>
    <t>GNITY</t>
  </si>
  <si>
    <t>IHS_BSD_159O</t>
  </si>
  <si>
    <t>GNOGBOYO</t>
  </si>
  <si>
    <t>IHS_MRH_015O</t>
  </si>
  <si>
    <t>GOBAZRA</t>
  </si>
  <si>
    <t>IHS_BSD_056O</t>
  </si>
  <si>
    <t>GOH</t>
  </si>
  <si>
    <t>IHS_LGN_736O</t>
  </si>
  <si>
    <t>GOMON 3</t>
  </si>
  <si>
    <t>IHS_HSD_033O</t>
  </si>
  <si>
    <t>GONATE</t>
  </si>
  <si>
    <t>IHS_LGN_659O</t>
  </si>
  <si>
    <t>GONZAGUEVILLE</t>
  </si>
  <si>
    <t>IHS_LGN_199O</t>
  </si>
  <si>
    <t>GOTAM</t>
  </si>
  <si>
    <t>IHS_LGN_781O</t>
  </si>
  <si>
    <t>GOUDI BOBODA</t>
  </si>
  <si>
    <t>IHS_MRH_051O</t>
  </si>
  <si>
    <t>GOUEHIZRA</t>
  </si>
  <si>
    <t>IHS_HSD_099O</t>
  </si>
  <si>
    <t>GOURIELA</t>
  </si>
  <si>
    <t>IHS_MCY_008O</t>
  </si>
  <si>
    <t>GOYA</t>
  </si>
  <si>
    <t>IHS_BSD_181O</t>
  </si>
  <si>
    <t>GRIBOUO</t>
  </si>
  <si>
    <t>IHS_SBD_019O</t>
  </si>
  <si>
    <t>GROBIAKOKO</t>
  </si>
  <si>
    <t>IHS_BSD_046O</t>
  </si>
  <si>
    <t>GROBONOU DAN</t>
  </si>
  <si>
    <t>GUESSABO</t>
  </si>
  <si>
    <t>IHS_MCY_005O</t>
  </si>
  <si>
    <t>GUIAHON</t>
  </si>
  <si>
    <t>GUIBEROUA</t>
  </si>
  <si>
    <t>IHS_LGN_406O</t>
  </si>
  <si>
    <t>GUICHANROLAIN</t>
  </si>
  <si>
    <t>IHS_BSD_154O</t>
  </si>
  <si>
    <t>GUIMEYO</t>
  </si>
  <si>
    <t>IHS_LGN_476O</t>
  </si>
  <si>
    <t>HALLAMA</t>
  </si>
  <si>
    <t>IHS_BSD_057O</t>
  </si>
  <si>
    <t>HEKE</t>
  </si>
  <si>
    <t>IHS_LGN_327O</t>
  </si>
  <si>
    <t>HOMAWOO</t>
  </si>
  <si>
    <t>IHS_SVN_025O</t>
  </si>
  <si>
    <t>HOUPHOUETKAHA</t>
  </si>
  <si>
    <t>IHS_LGN_662O</t>
  </si>
  <si>
    <t>HYDROFISH</t>
  </si>
  <si>
    <t>IHS_SBD_011O</t>
  </si>
  <si>
    <t>IDEC</t>
  </si>
  <si>
    <t>IHS_ZNZ_034O</t>
  </si>
  <si>
    <t>IGUELA</t>
  </si>
  <si>
    <t>IHS_LGN_548O</t>
  </si>
  <si>
    <t>ILES BOULAY</t>
  </si>
  <si>
    <t>IHS_LGN_233O</t>
  </si>
  <si>
    <t>INJS</t>
  </si>
  <si>
    <t>IHS_LAC_033O</t>
  </si>
  <si>
    <t>INSET</t>
  </si>
  <si>
    <t>IHS_LGN_079O</t>
  </si>
  <si>
    <t>IPNETP</t>
  </si>
  <si>
    <t>IHS_BSD_006O</t>
  </si>
  <si>
    <t>JEAN PAUL</t>
  </si>
  <si>
    <t>IHS_LAC_039O</t>
  </si>
  <si>
    <t>KACOU_BROUKRO</t>
  </si>
  <si>
    <t>IHS_SVN_041O</t>
  </si>
  <si>
    <t>KADIOHA</t>
  </si>
  <si>
    <t>IHS_SBD_048O</t>
  </si>
  <si>
    <t>KAGBE</t>
  </si>
  <si>
    <t>IHS_LGN_387O</t>
  </si>
  <si>
    <t>KAHIRA</t>
  </si>
  <si>
    <t>IHS_LGN_326O</t>
  </si>
  <si>
    <t>KAMENA</t>
  </si>
  <si>
    <t>IHS_NCE_035O</t>
  </si>
  <si>
    <t>KANGANDI</t>
  </si>
  <si>
    <t>IHS_VDB_036O</t>
  </si>
  <si>
    <t>KANOUKRO</t>
  </si>
  <si>
    <t>IHS_LGN_765O</t>
  </si>
  <si>
    <t>KASSASSOU</t>
  </si>
  <si>
    <t>IHS_LGN_750O</t>
  </si>
  <si>
    <t>KAVI</t>
  </si>
  <si>
    <t>IHS_SCE_055O</t>
  </si>
  <si>
    <t>KETESSO</t>
  </si>
  <si>
    <t>IHS_MCE_012O</t>
  </si>
  <si>
    <t>KODJINAN</t>
  </si>
  <si>
    <t>IHS_SCE_008O</t>
  </si>
  <si>
    <t>KOHOUROU</t>
  </si>
  <si>
    <t>IHS_LAC_091O</t>
  </si>
  <si>
    <t>KOKRENOU_MAIRIE</t>
  </si>
  <si>
    <t>IHS_VDB_039O</t>
  </si>
  <si>
    <t>KONDOUKRO</t>
  </si>
  <si>
    <t>IHS_VDB_031O</t>
  </si>
  <si>
    <t>KONGODEKRO</t>
  </si>
  <si>
    <t>IHS_BSD_178O</t>
  </si>
  <si>
    <t>KOREGUHE</t>
  </si>
  <si>
    <t>IHS_ZNZ_026O</t>
  </si>
  <si>
    <t>KOROBO</t>
  </si>
  <si>
    <t>IHS_LGN_710O</t>
  </si>
  <si>
    <t>KOSSIHOUEN</t>
  </si>
  <si>
    <t>IHS_BSD_065O</t>
  </si>
  <si>
    <t>KOTO SOGB</t>
  </si>
  <si>
    <t>IHS_NCE_037O</t>
  </si>
  <si>
    <t>KOTOBI</t>
  </si>
  <si>
    <t>IHS_SCE_038O</t>
  </si>
  <si>
    <t>KOTOKA</t>
  </si>
  <si>
    <t>IHS_NCE_030O</t>
  </si>
  <si>
    <t>KOUADIOBILEKRO</t>
  </si>
  <si>
    <t>IHS_LGN_187O</t>
  </si>
  <si>
    <t>KOWEIT</t>
  </si>
  <si>
    <t>IHS_BSD_139O</t>
  </si>
  <si>
    <t>KPADA</t>
  </si>
  <si>
    <t>IHS_DHM_021O</t>
  </si>
  <si>
    <t>KPATA</t>
  </si>
  <si>
    <t>IHS_LAC_053O</t>
  </si>
  <si>
    <t>KPLESSOU</t>
  </si>
  <si>
    <t>IHS_BSD_082O</t>
  </si>
  <si>
    <t>KRAGUI</t>
  </si>
  <si>
    <t>IHS_LGN_700O</t>
  </si>
  <si>
    <t>KROGBA</t>
  </si>
  <si>
    <t>IHS_BSD_058O</t>
  </si>
  <si>
    <t>LABAKUYA</t>
  </si>
  <si>
    <t>IHS_LGN_098O</t>
  </si>
  <si>
    <t>LABASSI</t>
  </si>
  <si>
    <t>IHS_HSD_015O</t>
  </si>
  <si>
    <t>LAGOKIE</t>
  </si>
  <si>
    <t>IHS_LGN_571O</t>
  </si>
  <si>
    <t>LAGOMA</t>
  </si>
  <si>
    <t>IHS_SCE_026O</t>
  </si>
  <si>
    <t>LARABIA</t>
  </si>
  <si>
    <t>IHS_LGN_368O</t>
  </si>
  <si>
    <t>LAURIER</t>
  </si>
  <si>
    <t>IHS_SBD_071O</t>
  </si>
  <si>
    <t>LAUZOUA</t>
  </si>
  <si>
    <t>IHS_LGN_582O</t>
  </si>
  <si>
    <t>LAVOISIER</t>
  </si>
  <si>
    <t>IHS_LGN_416O</t>
  </si>
  <si>
    <t>LEHI</t>
  </si>
  <si>
    <t>IHS_DHM_008O</t>
  </si>
  <si>
    <t>LEROUX</t>
  </si>
  <si>
    <t>IHS_BSD_160O</t>
  </si>
  <si>
    <t>LESSIRI</t>
  </si>
  <si>
    <t>IHS_BSD_169O</t>
  </si>
  <si>
    <t>LILIYO</t>
  </si>
  <si>
    <t>IHS_LGN_096O</t>
  </si>
  <si>
    <t>LOCODJRO</t>
  </si>
  <si>
    <t>IHS_LAC_041O</t>
  </si>
  <si>
    <t>LOLOBO</t>
  </si>
  <si>
    <t>IHS_LAC_081O</t>
  </si>
  <si>
    <t>LOMO_SUD</t>
  </si>
  <si>
    <t>IHS_LAC_064O</t>
  </si>
  <si>
    <t>LOMOKANKRO</t>
  </si>
  <si>
    <t>IHS_VDB_050O</t>
  </si>
  <si>
    <t>LOUGBONOU</t>
  </si>
  <si>
    <t>IHS_HSD_072O</t>
  </si>
  <si>
    <t>LOURIA</t>
  </si>
  <si>
    <t>LUENOUFLA</t>
  </si>
  <si>
    <t>IHS_LGN_394O</t>
  </si>
  <si>
    <t>LYMAS</t>
  </si>
  <si>
    <t>IHS_LGN_386O</t>
  </si>
  <si>
    <t>MACA</t>
  </si>
  <si>
    <t>IHS_LGN_258O</t>
  </si>
  <si>
    <t>MACACI</t>
  </si>
  <si>
    <t>IHS_LGN_143O</t>
  </si>
  <si>
    <t>MAGATIGUI</t>
  </si>
  <si>
    <t>IHS_FMG_021O</t>
  </si>
  <si>
    <t>MAGUEHIO</t>
  </si>
  <si>
    <t>IHS_FMG_028O</t>
  </si>
  <si>
    <t>MAGUIAHIO</t>
  </si>
  <si>
    <t>IHS_SVN_061O</t>
  </si>
  <si>
    <t>MAHANDOUGOU</t>
  </si>
  <si>
    <t>IHS_LGN_261O</t>
  </si>
  <si>
    <t>MALRAUX</t>
  </si>
  <si>
    <t>MAN</t>
  </si>
  <si>
    <t>IHS_DHM_016O</t>
  </si>
  <si>
    <t>MANGOUIN</t>
  </si>
  <si>
    <t>IHS_ZNZ_036O</t>
  </si>
  <si>
    <t>MARAHUI</t>
  </si>
  <si>
    <t>IHS_NCE_024O</t>
  </si>
  <si>
    <t>MBATTO</t>
  </si>
  <si>
    <t>IHS_LAC_087O</t>
  </si>
  <si>
    <t>MBRIMBO</t>
  </si>
  <si>
    <t>IHS_LGN_360O</t>
  </si>
  <si>
    <t>MEGVIE</t>
  </si>
  <si>
    <t>IHS_SCE_033O</t>
  </si>
  <si>
    <t>MELEKOUKRO</t>
  </si>
  <si>
    <t>IHS_BSD_084O</t>
  </si>
  <si>
    <t>MENEKE</t>
  </si>
  <si>
    <t>IHS_LGN_365O</t>
  </si>
  <si>
    <t>MENUISERIE</t>
  </si>
  <si>
    <t>IHS_LGN_603O</t>
  </si>
  <si>
    <t>METAN</t>
  </si>
  <si>
    <t>IHS_AGN_008O</t>
  </si>
  <si>
    <t>MIADZIN</t>
  </si>
  <si>
    <t>IHS_MRH_055O</t>
  </si>
  <si>
    <t>MINFLA</t>
  </si>
  <si>
    <t>IHS_LAC_065O</t>
  </si>
  <si>
    <t>MOLONOU</t>
  </si>
  <si>
    <t>IHS_LAC_085O</t>
  </si>
  <si>
    <t>MOLONOUBLE</t>
  </si>
  <si>
    <t>IHS_SVN_040O</t>
  </si>
  <si>
    <t>MOMIRASSO</t>
  </si>
  <si>
    <t>IHS_HSD_071O</t>
  </si>
  <si>
    <t>MONOKOZOHI</t>
  </si>
  <si>
    <t>IHS_SVN_007O</t>
  </si>
  <si>
    <t>MONT</t>
  </si>
  <si>
    <t>IHS_DHM_046O</t>
  </si>
  <si>
    <t>MORIBA</t>
  </si>
  <si>
    <t>IHS_MCE_046O</t>
  </si>
  <si>
    <t>MOUSSAKRO</t>
  </si>
  <si>
    <t>IHS_SCE_011O</t>
  </si>
  <si>
    <t>MOUYASSUE</t>
  </si>
  <si>
    <t>IHS_BSD_022O</t>
  </si>
  <si>
    <t>MUNICIPAL</t>
  </si>
  <si>
    <t>IHS_LGN_065O</t>
  </si>
  <si>
    <t>NADI</t>
  </si>
  <si>
    <t>IHS_SVN_092O</t>
  </si>
  <si>
    <t>NAFOUN</t>
  </si>
  <si>
    <t>IHS_LGN_154O</t>
  </si>
  <si>
    <t>NAMORY</t>
  </si>
  <si>
    <t>IHS_LGN_784O</t>
  </si>
  <si>
    <t>NDAKRO</t>
  </si>
  <si>
    <t>IHS_MRH_008O</t>
  </si>
  <si>
    <t>NDOUFFOUKANKRO</t>
  </si>
  <si>
    <t>IHS_NCE_016O</t>
  </si>
  <si>
    <t>NDRIKRO</t>
  </si>
  <si>
    <t>IHS_NCE_019O</t>
  </si>
  <si>
    <t>NGRAMASSABO</t>
  </si>
  <si>
    <t>IHS_VDB_058O</t>
  </si>
  <si>
    <t>NGUESSANKRO</t>
  </si>
  <si>
    <t>IHS_LGN_755O</t>
  </si>
  <si>
    <t>NIAMAZRA</t>
  </si>
  <si>
    <t>IHS_LGN_680O</t>
  </si>
  <si>
    <t>NIEKY BONJOUR</t>
  </si>
  <si>
    <t>IHS_LGN_466O</t>
  </si>
  <si>
    <t>NIL</t>
  </si>
  <si>
    <t>IHS_BSD_157O</t>
  </si>
  <si>
    <t>NIOROUHIO</t>
  </si>
  <si>
    <t>IHS_BSD_014O</t>
  </si>
  <si>
    <t>NITORO</t>
  </si>
  <si>
    <t>IHS_LGN_606O</t>
  </si>
  <si>
    <t>NKOCHI</t>
  </si>
  <si>
    <t>IHS_LAC_013O</t>
  </si>
  <si>
    <t>NZUESSY</t>
  </si>
  <si>
    <t>IHS_BSD_155O</t>
  </si>
  <si>
    <t>OBROUAYO</t>
  </si>
  <si>
    <t>IHS_LGN_635O</t>
  </si>
  <si>
    <t>OCPV</t>
  </si>
  <si>
    <t>IHS_AGN_072O</t>
  </si>
  <si>
    <t>OFFOUMPO</t>
  </si>
  <si>
    <t>IHS_SBD_025O</t>
  </si>
  <si>
    <t>OGOUDOU</t>
  </si>
  <si>
    <t>OKROUYO</t>
  </si>
  <si>
    <t>IHS_VDB_030O</t>
  </si>
  <si>
    <t>OLAM</t>
  </si>
  <si>
    <t>IHS_ZNZ_059O</t>
  </si>
  <si>
    <t>ONDEFIDOUO</t>
  </si>
  <si>
    <t>IHS_LGN_725O</t>
  </si>
  <si>
    <t>ORBAFF</t>
  </si>
  <si>
    <t>IHS_SVN_068O</t>
  </si>
  <si>
    <t>OUAMELHORO</t>
  </si>
  <si>
    <t>OUANINOU</t>
  </si>
  <si>
    <t>IHS_LGN_779O</t>
  </si>
  <si>
    <t>PACOBO</t>
  </si>
  <si>
    <t>IHS_BSD_161O</t>
  </si>
  <si>
    <t>PAILLOTE</t>
  </si>
  <si>
    <t>IHS_LGN_227O</t>
  </si>
  <si>
    <t>PALETUVIER</t>
  </si>
  <si>
    <t>IHS_HSD_018O</t>
  </si>
  <si>
    <t>PASTORAL</t>
  </si>
  <si>
    <t>IHS_BSD_061O</t>
  </si>
  <si>
    <t>PAULY BROUSSE</t>
  </si>
  <si>
    <t>IHS_BSD_102O</t>
  </si>
  <si>
    <t>PETIT BONDOUKOU</t>
  </si>
  <si>
    <t>IHS_BSD_148O</t>
  </si>
  <si>
    <t>PETIT_TIEME</t>
  </si>
  <si>
    <t>PINHOU</t>
  </si>
  <si>
    <t>IHS_LGN_027O</t>
  </si>
  <si>
    <t>PISAM</t>
  </si>
  <si>
    <t>IHS_FMG_034O</t>
  </si>
  <si>
    <t>PISSEKOU</t>
  </si>
  <si>
    <t>IHS_LGN_745O</t>
  </si>
  <si>
    <t>PK 85</t>
  </si>
  <si>
    <t>IHS_LGN_651O</t>
  </si>
  <si>
    <t>PK18</t>
  </si>
  <si>
    <t>IHS_LGN_631O</t>
  </si>
  <si>
    <t>PLAQUE</t>
  </si>
  <si>
    <t>IHS_LGN_358O</t>
  </si>
  <si>
    <t>PORT-BOUET 2</t>
  </si>
  <si>
    <t>IHS_LGN_785O</t>
  </si>
  <si>
    <t>POSTE_TIASSALE</t>
  </si>
  <si>
    <t>IHS_MRH_033O</t>
  </si>
  <si>
    <t>PRONIANI</t>
  </si>
  <si>
    <t>IHS_LGN_260O</t>
  </si>
  <si>
    <t>QUEENS</t>
  </si>
  <si>
    <t>IHS_SCE_078O</t>
  </si>
  <si>
    <t>RAGGI</t>
  </si>
  <si>
    <t>IHS_AGN_052O</t>
  </si>
  <si>
    <t>RAN_AGBOVILLE</t>
  </si>
  <si>
    <t>IHS_LGN_402O</t>
  </si>
  <si>
    <t>RHONE_POULENC</t>
  </si>
  <si>
    <t>IHS_LGN_097O</t>
  </si>
  <si>
    <t>SADEM</t>
  </si>
  <si>
    <t>IHS_LGN_411O</t>
  </si>
  <si>
    <t>SAGA</t>
  </si>
  <si>
    <t>IHS_LGN_488O</t>
  </si>
  <si>
    <t>SAGBE</t>
  </si>
  <si>
    <t>IHS_BSD_165O</t>
  </si>
  <si>
    <t>SAGBOYA</t>
  </si>
  <si>
    <t>IHS_BSD_060O</t>
  </si>
  <si>
    <t>SAHOUA</t>
  </si>
  <si>
    <t>IHS_LAC_047O</t>
  </si>
  <si>
    <t>SAKIARE</t>
  </si>
  <si>
    <t>IHS_BAF_004O</t>
  </si>
  <si>
    <t>Sakofé</t>
  </si>
  <si>
    <t>IHS_LGN_206O</t>
  </si>
  <si>
    <t>SAMARITAIN</t>
  </si>
  <si>
    <t>IHS_SCE_006O</t>
  </si>
  <si>
    <t>SANHOUMAN</t>
  </si>
  <si>
    <t>IHS_BAF_013O</t>
  </si>
  <si>
    <t>SANTA</t>
  </si>
  <si>
    <t>IHS_HSD_098O</t>
  </si>
  <si>
    <t>SEITIFLA</t>
  </si>
  <si>
    <t>IHS_HSD_075O</t>
  </si>
  <si>
    <t>SELIEGUHE</t>
  </si>
  <si>
    <t>IHS_BSD_090O</t>
  </si>
  <si>
    <t>SELIGBANGAN</t>
  </si>
  <si>
    <t>IHS_DHM_037O</t>
  </si>
  <si>
    <t>SEMIEN</t>
  </si>
  <si>
    <t>IHS_LGN_681O</t>
  </si>
  <si>
    <t>SEMINAIRE</t>
  </si>
  <si>
    <t>IHS_SVN_048O</t>
  </si>
  <si>
    <t>SEPENEDIOKAHA</t>
  </si>
  <si>
    <t>IHS_WRD_040O</t>
  </si>
  <si>
    <t>SHARALA</t>
  </si>
  <si>
    <t>IHS_MRH_010O</t>
  </si>
  <si>
    <t>SIETINFLA</t>
  </si>
  <si>
    <t>IHS_HSD_069O</t>
  </si>
  <si>
    <t>SIFCI</t>
  </si>
  <si>
    <t>IHS_LGN_262O</t>
  </si>
  <si>
    <t>SIGI</t>
  </si>
  <si>
    <t>IHS_LGN_777O</t>
  </si>
  <si>
    <t>SINGROBO</t>
  </si>
  <si>
    <t>IHS_LGN_555O</t>
  </si>
  <si>
    <t>SION</t>
  </si>
  <si>
    <t>IHS_WRD_028O</t>
  </si>
  <si>
    <t>SIRIHIO</t>
  </si>
  <si>
    <t>IHS_HSD_006O</t>
  </si>
  <si>
    <t>SODIMA</t>
  </si>
  <si>
    <t>IHS_DHM_039O</t>
  </si>
  <si>
    <t>SOKOURALA</t>
  </si>
  <si>
    <t>IHS_LGN_356O</t>
  </si>
  <si>
    <t>SOL_BENI</t>
  </si>
  <si>
    <t>IHS_SCE_083O</t>
  </si>
  <si>
    <t>SONGAN</t>
  </si>
  <si>
    <t>IHS_LGN_679O</t>
  </si>
  <si>
    <t>SONGON</t>
  </si>
  <si>
    <t>IHS_LGN_222O</t>
  </si>
  <si>
    <t>SORBONNE</t>
  </si>
  <si>
    <t>IHS_NCE_008O</t>
  </si>
  <si>
    <t>SOUNGASSOU</t>
  </si>
  <si>
    <t>IHS_LGN_353O</t>
  </si>
  <si>
    <t>SOUNKALO</t>
  </si>
  <si>
    <t>IHS_LGN_407O</t>
  </si>
  <si>
    <t>ST_AMBROISE</t>
  </si>
  <si>
    <t>IHS_MRH_003O</t>
  </si>
  <si>
    <t>ST_AUGUSTIN</t>
  </si>
  <si>
    <t>IHS_LGN_531O</t>
  </si>
  <si>
    <t>ST_VIATEUR</t>
  </si>
  <si>
    <t>IHS_LGN_574O</t>
  </si>
  <si>
    <t>STE_ANNICK</t>
  </si>
  <si>
    <t>IHS_LGN_247O</t>
  </si>
  <si>
    <t>STE_CECILE</t>
  </si>
  <si>
    <t>IHS_LGN_614O</t>
  </si>
  <si>
    <t>STE_RITA</t>
  </si>
  <si>
    <t>IHS_LAC_034O</t>
  </si>
  <si>
    <t>SUBIAKRO</t>
  </si>
  <si>
    <t>IHS_LGN_400O</t>
  </si>
  <si>
    <t>SYNINFO</t>
  </si>
  <si>
    <t>IHS_LAC_069O</t>
  </si>
  <si>
    <t>TAKISALEKRO</t>
  </si>
  <si>
    <t>IHS_BSD_128O</t>
  </si>
  <si>
    <t>TAKORAGUI</t>
  </si>
  <si>
    <t>IHS_LGN_751O</t>
  </si>
  <si>
    <t>TAMABO</t>
  </si>
  <si>
    <t>IHS_HSD_014O</t>
  </si>
  <si>
    <t>TAZIBOUO</t>
  </si>
  <si>
    <t>IHS_FMG_017O</t>
  </si>
  <si>
    <t>TCHEDJELE</t>
  </si>
  <si>
    <t>IHS_DHM_050O</t>
  </si>
  <si>
    <t>TEAPLEU</t>
  </si>
  <si>
    <t>IHS_SVN_004O</t>
  </si>
  <si>
    <t>TEGUERE</t>
  </si>
  <si>
    <t>IHS_MCY_026O</t>
  </si>
  <si>
    <t>THANRY_SND</t>
  </si>
  <si>
    <t>IHS_DHM_018O</t>
  </si>
  <si>
    <t>THE</t>
  </si>
  <si>
    <t>IHS_LGN_767O</t>
  </si>
  <si>
    <t>TIASSALE</t>
  </si>
  <si>
    <t>IHS_BSD_096O</t>
  </si>
  <si>
    <t>TIAZALE</t>
  </si>
  <si>
    <t>IHS_ZNZ_029O</t>
  </si>
  <si>
    <t>TIEDIO</t>
  </si>
  <si>
    <t>IHS_SVN_026O</t>
  </si>
  <si>
    <t>TIEKPE</t>
  </si>
  <si>
    <t>IHS_WRD_044O</t>
  </si>
  <si>
    <t>TIENIGBE BOBO</t>
  </si>
  <si>
    <t>IHS_ZNZ_055O</t>
  </si>
  <si>
    <t>TIENKOIKRO</t>
  </si>
  <si>
    <t>IHS_FMG_018O</t>
  </si>
  <si>
    <t>TIPADIPA</t>
  </si>
  <si>
    <t>IHS_SVN_044O</t>
  </si>
  <si>
    <t>TOGONIERE</t>
  </si>
  <si>
    <t>IHS_LGN_774O</t>
  </si>
  <si>
    <t>TOLLAKRO</t>
  </si>
  <si>
    <t>IHS_WRD_023O</t>
  </si>
  <si>
    <t>TOMONO</t>
  </si>
  <si>
    <t>IHS_SVN_037O</t>
  </si>
  <si>
    <t>TONGON</t>
  </si>
  <si>
    <t>IHS_HSD_020O</t>
  </si>
  <si>
    <t>TOROGUHE</t>
  </si>
  <si>
    <t>IHS_ZNZ_023O</t>
  </si>
  <si>
    <t>TORROSSANGUEHI</t>
  </si>
  <si>
    <t>IHS_BAF_003O</t>
  </si>
  <si>
    <t>TOUBACO</t>
  </si>
  <si>
    <t>IHS_LAC_050O</t>
  </si>
  <si>
    <t>TOUMBOKRO</t>
  </si>
  <si>
    <t>IHS_SVN_074O</t>
  </si>
  <si>
    <t>TOUMOUKORO</t>
  </si>
  <si>
    <t>IHS_NCE_013O</t>
  </si>
  <si>
    <t>TRIANIKRO</t>
  </si>
  <si>
    <t>IHS_LGN_288O</t>
  </si>
  <si>
    <t>UNILEVER</t>
  </si>
  <si>
    <t>IHS_LGN_318O</t>
  </si>
  <si>
    <t>UNIWAX</t>
  </si>
  <si>
    <t>IHS_NCE_007O</t>
  </si>
  <si>
    <t>UTEXI</t>
  </si>
  <si>
    <t>IHS_HSD_096O</t>
  </si>
  <si>
    <t>VAAFLA</t>
  </si>
  <si>
    <t>IHS_HSD_109O</t>
  </si>
  <si>
    <t>VAOU</t>
  </si>
  <si>
    <t>IHS_SBD_080O</t>
  </si>
  <si>
    <t>VATICAN_DIVO</t>
  </si>
  <si>
    <t>IHS_LGN_498O</t>
  </si>
  <si>
    <t>WANTOUE</t>
  </si>
  <si>
    <t>IHS_LGN_145O</t>
  </si>
  <si>
    <t>WILLIAMSVILLE</t>
  </si>
  <si>
    <t>IHS_LGN_594O</t>
  </si>
  <si>
    <t>WINNER</t>
  </si>
  <si>
    <t>IHS_LGN_517O</t>
  </si>
  <si>
    <t>WOBIN</t>
  </si>
  <si>
    <t>IHS_BSD_184O</t>
  </si>
  <si>
    <t>WONSEALY</t>
  </si>
  <si>
    <t>IHS_LGN_483O</t>
  </si>
  <si>
    <t>YAKICE</t>
  </si>
  <si>
    <t>IHS_SBD_070O</t>
  </si>
  <si>
    <t>YOCOBOUE</t>
  </si>
  <si>
    <t>IHS_FMG_073O</t>
  </si>
  <si>
    <t>YOHOUDA</t>
  </si>
  <si>
    <t>IHS_LGN_434O</t>
  </si>
  <si>
    <t>YOPLAIT</t>
  </si>
  <si>
    <t>IHS_MRH_020O</t>
  </si>
  <si>
    <t>ZAGUIE</t>
  </si>
  <si>
    <t>IHS_SVN_075O</t>
  </si>
  <si>
    <t>ZAGUINASSO</t>
  </si>
  <si>
    <t>IHS_FMG_080O</t>
  </si>
  <si>
    <t>ZANGUE</t>
  </si>
  <si>
    <t>IHS_NCE_063O</t>
  </si>
  <si>
    <t>ZANZANSOU</t>
  </si>
  <si>
    <t>IHS_DHM_053O</t>
  </si>
  <si>
    <t>ZEALE</t>
  </si>
  <si>
    <t>IHS_SBD_074O</t>
  </si>
  <si>
    <t>ZEGBAN</t>
  </si>
  <si>
    <t>IHS_LGN_473O</t>
  </si>
  <si>
    <t>ZEPHYR</t>
  </si>
  <si>
    <t>IHS_HSD_022O</t>
  </si>
  <si>
    <t>ZEPREGUHE</t>
  </si>
  <si>
    <t>IHS_BSD_158O</t>
  </si>
  <si>
    <t>ZERGBEU</t>
  </si>
  <si>
    <t>IHS_LGN_370O</t>
  </si>
  <si>
    <t>ZI</t>
  </si>
  <si>
    <t>IHS_DHM_047O</t>
  </si>
  <si>
    <t>ZIKI_DIES</t>
  </si>
  <si>
    <t>IHS_BSD_012O</t>
  </si>
  <si>
    <t>ZIMBABWE</t>
  </si>
  <si>
    <t>IHS_FMG_045O</t>
  </si>
  <si>
    <t>ZOHOA</t>
  </si>
  <si>
    <t>IHS_DHM_041O</t>
  </si>
  <si>
    <t>ZOU</t>
  </si>
  <si>
    <t>IHS_BSD_182O</t>
  </si>
  <si>
    <t>ZOUGOUZOA</t>
  </si>
  <si>
    <t>IHS_HSD_046O</t>
  </si>
  <si>
    <t>ZOUKPANGBEU</t>
  </si>
  <si>
    <t>IHS_HSD_068O</t>
  </si>
  <si>
    <t>ZOUZOU</t>
  </si>
  <si>
    <t>IHS_AGN_045O</t>
  </si>
  <si>
    <t>ABONGOUA</t>
  </si>
  <si>
    <t>IHS_AGN_076O</t>
  </si>
  <si>
    <t>ABOUDE</t>
  </si>
  <si>
    <t>IHS_MCE_016O</t>
  </si>
  <si>
    <t>AFFALIKRO</t>
  </si>
  <si>
    <t>IHS_AGN_037O</t>
  </si>
  <si>
    <t>AFFERY</t>
  </si>
  <si>
    <t>IHS_AGN_039O</t>
  </si>
  <si>
    <t>AHEOUA</t>
  </si>
  <si>
    <t>IHS_LGN_716O</t>
  </si>
  <si>
    <t>AKRADIO</t>
  </si>
  <si>
    <t>IHS_SBD_037O</t>
  </si>
  <si>
    <t>AKRIDOULADE</t>
  </si>
  <si>
    <t>IHS_SCE_066O</t>
  </si>
  <si>
    <t>ALEPE</t>
  </si>
  <si>
    <t>IHS_VDB_048O</t>
  </si>
  <si>
    <t>ALLOKODJEKRO</t>
  </si>
  <si>
    <t>IHS_MCE_013O</t>
  </si>
  <si>
    <t>AMELEKIA</t>
  </si>
  <si>
    <t>IHS_NCE_040O</t>
  </si>
  <si>
    <t>ANDE</t>
  </si>
  <si>
    <t>IHS_LGN_352O</t>
  </si>
  <si>
    <t>ANGRE</t>
  </si>
  <si>
    <t>IHS_MCE_018O</t>
  </si>
  <si>
    <t>APOISSO_CIT</t>
  </si>
  <si>
    <t>IHS_MCE_027O</t>
  </si>
  <si>
    <t>APPROMPRONOU</t>
  </si>
  <si>
    <t>IHS_NCE_049O</t>
  </si>
  <si>
    <t>ARRIKOKRO</t>
  </si>
  <si>
    <t>IHS_VDB_034O</t>
  </si>
  <si>
    <t>ASRIKRO</t>
  </si>
  <si>
    <t>IHS_NCE_054O</t>
  </si>
  <si>
    <t>ASSALE-KOUASSIKRO</t>
  </si>
  <si>
    <t>IHS_LAC_044O</t>
  </si>
  <si>
    <t>ATTIEGOUAKRO</t>
  </si>
  <si>
    <t>IHS_LGN_693O</t>
  </si>
  <si>
    <t>AZAGUIE</t>
  </si>
  <si>
    <t>IHS_WRD_030O</t>
  </si>
  <si>
    <t>BANADJE</t>
  </si>
  <si>
    <t>IHS_ZNZ_027O</t>
  </si>
  <si>
    <t>BANDAKAGNI</t>
  </si>
  <si>
    <t>IHS_DHM_030O</t>
  </si>
  <si>
    <t>BANGOLO</t>
  </si>
  <si>
    <t>IHS_AGN_062O</t>
  </si>
  <si>
    <t>BANGUIE</t>
  </si>
  <si>
    <t>IHS_VDB_082O</t>
  </si>
  <si>
    <t>BASSAWA</t>
  </si>
  <si>
    <t>IHS_FMG_058O</t>
  </si>
  <si>
    <t>BAYOTA</t>
  </si>
  <si>
    <t>IHS_HSD_044O</t>
  </si>
  <si>
    <t>BEDIALA</t>
  </si>
  <si>
    <t>IHS_HSD_058O</t>
  </si>
  <si>
    <t>BEJOSSO</t>
  </si>
  <si>
    <t>IHS_MCY_035O</t>
  </si>
  <si>
    <t>BEOUE_LAYAN</t>
  </si>
  <si>
    <t>IHS_AGN_030O</t>
  </si>
  <si>
    <t>BIEBI</t>
  </si>
  <si>
    <t>IHS_MRH_038O</t>
  </si>
  <si>
    <t>BINZRA</t>
  </si>
  <si>
    <t>IHS_LGN_082O</t>
  </si>
  <si>
    <t>BLACK</t>
  </si>
  <si>
    <t>IHS_SVN_081O</t>
  </si>
  <si>
    <t>BLESSEGUE</t>
  </si>
  <si>
    <t>IHS_NCE_029O</t>
  </si>
  <si>
    <t>BOCANDA</t>
  </si>
  <si>
    <t>IHS_DNG_019O</t>
  </si>
  <si>
    <t>BOGODOUGOU</t>
  </si>
  <si>
    <t>IHS_HSD_038O</t>
  </si>
  <si>
    <t>BOGUEDIA</t>
  </si>
  <si>
    <t>IHS_VDB_076O</t>
  </si>
  <si>
    <t>BOKALA</t>
  </si>
  <si>
    <t>IHS_LAC_083O</t>
  </si>
  <si>
    <t>BOLI_KOUADIOKRO</t>
  </si>
  <si>
    <t>IHS_SCE_034O</t>
  </si>
  <si>
    <t>BONGO_SAPH</t>
  </si>
  <si>
    <t>IHS_SCE_063O</t>
  </si>
  <si>
    <t>BONOUA</t>
  </si>
  <si>
    <t>BONOUFLA</t>
  </si>
  <si>
    <t>IHS_BAF_019O</t>
  </si>
  <si>
    <t>BOOKO</t>
  </si>
  <si>
    <t>IHS_ZNZ_061O</t>
  </si>
  <si>
    <t>BOUNA</t>
  </si>
  <si>
    <t>BOUNDIALI</t>
  </si>
  <si>
    <t>IHS_LGN_688O</t>
  </si>
  <si>
    <t>BREGBO</t>
  </si>
  <si>
    <t>IHS_NCE_032O</t>
  </si>
  <si>
    <t>BROUKRO</t>
  </si>
  <si>
    <t>IHS_BSD_195O</t>
  </si>
  <si>
    <t>Buyo CIT</t>
  </si>
  <si>
    <t>IHS_ZNZ_051O</t>
  </si>
  <si>
    <t>CHANTIER ARSENE</t>
  </si>
  <si>
    <t>IHS_VDB_077O</t>
  </si>
  <si>
    <t>DABAKALA</t>
  </si>
  <si>
    <t>IHS_LGN_717O</t>
  </si>
  <si>
    <t>DABOU</t>
  </si>
  <si>
    <t>IHS_SBD_024O</t>
  </si>
  <si>
    <t>DAIRO</t>
  </si>
  <si>
    <t>IHS_NCE_050O</t>
  </si>
  <si>
    <t>DAOUKRO CIT</t>
  </si>
  <si>
    <t>IHS_SVN_090O</t>
  </si>
  <si>
    <t>DEBETE</t>
  </si>
  <si>
    <t>IHS_BSD_101O</t>
  </si>
  <si>
    <t>DEBLABLE</t>
  </si>
  <si>
    <t>IHS_WRD_048O</t>
  </si>
  <si>
    <t>DIANRA VILLAGE</t>
  </si>
  <si>
    <t>IHS_LAC_078O</t>
  </si>
  <si>
    <t>DIDIEVI</t>
  </si>
  <si>
    <t>IHS_FMG_066O</t>
  </si>
  <si>
    <t>DIEGONEFLA</t>
  </si>
  <si>
    <t>IHS_NCE_017O</t>
  </si>
  <si>
    <t>DIEKADIOKRO</t>
  </si>
  <si>
    <t>IHS_SVN_028O</t>
  </si>
  <si>
    <t>DIKODOUGOU</t>
  </si>
  <si>
    <t>DIOULATIEDOUGOU</t>
  </si>
  <si>
    <t>IHS_AGN_029O</t>
  </si>
  <si>
    <t>DJANGOBO</t>
  </si>
  <si>
    <t>IHS_WRD_006O</t>
  </si>
  <si>
    <t>IHS_SCE_042O</t>
  </si>
  <si>
    <t>EBOINDA</t>
  </si>
  <si>
    <t>IHS_SCE_019O</t>
  </si>
  <si>
    <t>EHANIA</t>
  </si>
  <si>
    <t>IHS_SBD_076O</t>
  </si>
  <si>
    <t>FRESCO</t>
  </si>
  <si>
    <t>IHS_BSD_033O</t>
  </si>
  <si>
    <t>GABIADJI</t>
  </si>
  <si>
    <t>GADOUAN</t>
  </si>
  <si>
    <t>IHS_FMG_003O</t>
  </si>
  <si>
    <t>GAGNOA</t>
  </si>
  <si>
    <t>IHS_BSD_192O</t>
  </si>
  <si>
    <t>GBAPLEU CIT</t>
  </si>
  <si>
    <t>IHS_HSD_030O</t>
  </si>
  <si>
    <t>GBOGUHE</t>
  </si>
  <si>
    <t>IHS_BSD_176O</t>
  </si>
  <si>
    <t>GD_ZATRY</t>
  </si>
  <si>
    <t>IHS_FMG_047O</t>
  </si>
  <si>
    <t>GNATROA</t>
  </si>
  <si>
    <t>IHS_MRH_056O</t>
  </si>
  <si>
    <t>GOHOUNFLA</t>
  </si>
  <si>
    <t>IHS_DNG_030O</t>
  </si>
  <si>
    <t>GOULIA</t>
  </si>
  <si>
    <t>IHS_LAC_042O</t>
  </si>
  <si>
    <t>GOUROMINANKRO</t>
  </si>
  <si>
    <t>IHS_BSD_152O</t>
  </si>
  <si>
    <t>GUEYO</t>
  </si>
  <si>
    <t>IHS_SBD_014O</t>
  </si>
  <si>
    <t>GUILEHIRI</t>
  </si>
  <si>
    <t>IHS_SBD_042O</t>
  </si>
  <si>
    <t>GUITRY</t>
  </si>
  <si>
    <t>IHS_SBD_027O</t>
  </si>
  <si>
    <t>HEREMANKONO</t>
  </si>
  <si>
    <t>IHS_SBD_053O</t>
  </si>
  <si>
    <t>HIRE</t>
  </si>
  <si>
    <t>IHS_LGN_446O</t>
  </si>
  <si>
    <t>INTERPOL</t>
  </si>
  <si>
    <t>IHS_LGN_752O</t>
  </si>
  <si>
    <t>IROBO</t>
  </si>
  <si>
    <t>IHS_DHM_029O</t>
  </si>
  <si>
    <t>IHS_SVN_058O</t>
  </si>
  <si>
    <t>KALAKALA</t>
  </si>
  <si>
    <t>IHS_WRD_019O</t>
  </si>
  <si>
    <t>KANI</t>
  </si>
  <si>
    <t>IHS_DNG_010O</t>
  </si>
  <si>
    <t>KANIASSO</t>
  </si>
  <si>
    <t>KASSERE</t>
  </si>
  <si>
    <t>IHS_NCE_009O</t>
  </si>
  <si>
    <t>KOFFI_AHOUSSOUKRO</t>
  </si>
  <si>
    <t>IHS_SCE_020O</t>
  </si>
  <si>
    <t>KOFFIKRO AFFEMA</t>
  </si>
  <si>
    <t>IHS_SVN_080O</t>
  </si>
  <si>
    <t>KONG</t>
  </si>
  <si>
    <t>KORO</t>
  </si>
  <si>
    <t>IHS_FMG_081O</t>
  </si>
  <si>
    <t>KOUAMEFLA</t>
  </si>
  <si>
    <t>IHS_ZNZ_041O</t>
  </si>
  <si>
    <t>KOUASSI DATEKRO</t>
  </si>
  <si>
    <t>KOUIBLY</t>
  </si>
  <si>
    <t>IHS_SBD_044O</t>
  </si>
  <si>
    <t>LAKOTA</t>
  </si>
  <si>
    <t>IHS_ZNZ_066O</t>
  </si>
  <si>
    <t>LATOURGO</t>
  </si>
  <si>
    <t>IHS_BSD_177O</t>
  </si>
  <si>
    <t>LOGBOVILLE</t>
  </si>
  <si>
    <t>LOGOUALE</t>
  </si>
  <si>
    <t>IHS_LAC_074O</t>
  </si>
  <si>
    <t>LOUKOU YAOKRO</t>
  </si>
  <si>
    <t>IHS_AGN_070O</t>
  </si>
  <si>
    <t>LOVIGUIE</t>
  </si>
  <si>
    <t>IHS_SCE_014O</t>
  </si>
  <si>
    <t>MAFERE</t>
  </si>
  <si>
    <t>IHS_BSD_035O</t>
  </si>
  <si>
    <t>MATHIEUKRO</t>
  </si>
  <si>
    <t>IHS_BSD_074O</t>
  </si>
  <si>
    <t>MEAGUI</t>
  </si>
  <si>
    <t>IHS_LGN_711O</t>
  </si>
  <si>
    <t>MEMNI</t>
  </si>
  <si>
    <t>IHS_DNG_027O</t>
  </si>
  <si>
    <t>MINIGNAN</t>
  </si>
  <si>
    <t>IHS_LGN_724O</t>
  </si>
  <si>
    <t>MOTOBE</t>
  </si>
  <si>
    <t>IHS_ZNZ_047O</t>
  </si>
  <si>
    <t>NANGBO_DONGBO</t>
  </si>
  <si>
    <t>IHS_SVN_017O</t>
  </si>
  <si>
    <t>NAPIELEDOUGOU</t>
  </si>
  <si>
    <t>IHS_LGN_697O</t>
  </si>
  <si>
    <t>NDJEM</t>
  </si>
  <si>
    <t>IHS_LGN_761O</t>
  </si>
  <si>
    <t>NDOUCI</t>
  </si>
  <si>
    <t>IHS_SBD_056O</t>
  </si>
  <si>
    <t>NEKO</t>
  </si>
  <si>
    <t>IHS_LGN_467O</t>
  </si>
  <si>
    <t>NIANGON</t>
  </si>
  <si>
    <t>IHS_SVN_060O</t>
  </si>
  <si>
    <t>NIELLE</t>
  </si>
  <si>
    <t>IHS_ZNZ_063O</t>
  </si>
  <si>
    <t>NIOLONGO</t>
  </si>
  <si>
    <t>IHS_SCE_064O</t>
  </si>
  <si>
    <t>NOE</t>
  </si>
  <si>
    <t>IHS_SCE_059O</t>
  </si>
  <si>
    <t>NOUAMOU</t>
  </si>
  <si>
    <t>IHS_SBD_068O</t>
  </si>
  <si>
    <t>OKROMODOU</t>
  </si>
  <si>
    <t>IHS_SCE_050O</t>
  </si>
  <si>
    <t>ONO</t>
  </si>
  <si>
    <t>OTTAWA</t>
  </si>
  <si>
    <t>IHS_FMG_027O</t>
  </si>
  <si>
    <t>OUGALILIE</t>
  </si>
  <si>
    <t>PARA</t>
  </si>
  <si>
    <t>IHS_MCY_050O</t>
  </si>
  <si>
    <t>IHS_LGN_723O</t>
  </si>
  <si>
    <t>PK50</t>
  </si>
  <si>
    <t>IHS_MCY_053O</t>
  </si>
  <si>
    <t>POYABLY</t>
  </si>
  <si>
    <t>IHS_LAC_088O</t>
  </si>
  <si>
    <t>RAVIAT</t>
  </si>
  <si>
    <t>IHS_LAC_035O</t>
  </si>
  <si>
    <t>SAHABO</t>
  </si>
  <si>
    <t>SAIOUA</t>
  </si>
  <si>
    <t>IHS_DNG_007O</t>
  </si>
  <si>
    <t>SAMANGO</t>
  </si>
  <si>
    <t>IHS_VDB_059O</t>
  </si>
  <si>
    <t>SATAMA-SOKORO</t>
  </si>
  <si>
    <t>IHS_WRD_003O</t>
  </si>
  <si>
    <t>SEGUELA</t>
  </si>
  <si>
    <t>IHS_ZNZ_012O</t>
  </si>
  <si>
    <t>SIAGO</t>
  </si>
  <si>
    <t>IHS_LGN_741O</t>
  </si>
  <si>
    <t>SIKENSI</t>
  </si>
  <si>
    <t>IHS_MRH_031O</t>
  </si>
  <si>
    <t>SINFRA</t>
  </si>
  <si>
    <t>SOGB</t>
  </si>
  <si>
    <t>IHS_ZNZ_008O</t>
  </si>
  <si>
    <t>SOKO</t>
  </si>
  <si>
    <t>IHS_BSD_137O</t>
  </si>
  <si>
    <t>SOUBRE</t>
  </si>
  <si>
    <t>IHS_SVN_024O</t>
  </si>
  <si>
    <t>SUCAF FERKE</t>
  </si>
  <si>
    <t>IHS_LGN_782O</t>
  </si>
  <si>
    <t>TAABO</t>
  </si>
  <si>
    <t>IHS_ZNZ_017O</t>
  </si>
  <si>
    <t>TABAGNE</t>
  </si>
  <si>
    <t>IHS_BSD_094O</t>
  </si>
  <si>
    <t>TABOU</t>
  </si>
  <si>
    <t>IHS_MCY_049O</t>
  </si>
  <si>
    <t>TAI</t>
  </si>
  <si>
    <t>IHS_ZNZ_052O</t>
  </si>
  <si>
    <t>TAKIKRO</t>
  </si>
  <si>
    <t>IHS_ZNZ_025O</t>
  </si>
  <si>
    <t>TANDA</t>
  </si>
  <si>
    <t>IHS_DHM_048O</t>
  </si>
  <si>
    <t>TENTOUO</t>
  </si>
  <si>
    <t>IHS_SCE_053O</t>
  </si>
  <si>
    <t>TIAPOUM</t>
  </si>
  <si>
    <t>IHS_SBD_040O</t>
  </si>
  <si>
    <t>TIEGBA</t>
  </si>
  <si>
    <t>IHS_NCE_012O</t>
  </si>
  <si>
    <t>TIEMELEKRO</t>
  </si>
  <si>
    <t>IHS_WRD_041O</t>
  </si>
  <si>
    <t>TIENINGBOUE</t>
  </si>
  <si>
    <t>IHS_DHM_011O</t>
  </si>
  <si>
    <t>TIENY_SEABLY</t>
  </si>
  <si>
    <t>IHS_MCY_056O</t>
  </si>
  <si>
    <t>TOULEPLEU</t>
  </si>
  <si>
    <t>IHS_LAC_066O</t>
  </si>
  <si>
    <t>TOUMODI</t>
  </si>
  <si>
    <t>IHS_LGN_734O</t>
  </si>
  <si>
    <t>TOUPAH</t>
  </si>
  <si>
    <t>IHS_HSD_083O</t>
  </si>
  <si>
    <t>VAVOUA</t>
  </si>
  <si>
    <t>IHS_MRH_057O</t>
  </si>
  <si>
    <t>VOUEBOUFLA</t>
  </si>
  <si>
    <t>IHS_AGN_043O</t>
  </si>
  <si>
    <t>YAKASSE_ME</t>
  </si>
  <si>
    <t>IHS_NCE_071O</t>
  </si>
  <si>
    <t>YAOKRO_MBAHIAKRO</t>
  </si>
  <si>
    <t>ZAGNE</t>
  </si>
  <si>
    <t>IHS_HSD_036O</t>
  </si>
  <si>
    <t>ZAIBO</t>
  </si>
  <si>
    <t>IHS_BSD_186O</t>
  </si>
  <si>
    <t>ZAKUEOUA</t>
  </si>
  <si>
    <t>IHS_HSD_034O</t>
  </si>
  <si>
    <t>ZALIHOUAN</t>
  </si>
  <si>
    <t>IHS_LAC_038O</t>
  </si>
  <si>
    <t>ZAMBAKRO</t>
  </si>
  <si>
    <t>ZEAGLO</t>
  </si>
  <si>
    <t>IHS_SBD_052O</t>
  </si>
  <si>
    <t>ZEGO</t>
  </si>
  <si>
    <t>IHS_MRH_048O</t>
  </si>
  <si>
    <t>ZUENOULA</t>
  </si>
  <si>
    <t>IHS_LGN_595M</t>
  </si>
  <si>
    <t>Baron Hotel</t>
  </si>
  <si>
    <t>IHS_SCE_004M</t>
  </si>
  <si>
    <t>CI00003</t>
  </si>
  <si>
    <t>Adaou</t>
  </si>
  <si>
    <t>IHS_SCE_057M</t>
  </si>
  <si>
    <t>CI00012</t>
  </si>
  <si>
    <t>Assinie Assouinde CDMA</t>
  </si>
  <si>
    <t>IHS_LGN_757M</t>
  </si>
  <si>
    <t>CI00020</t>
  </si>
  <si>
    <t>Bodo</t>
  </si>
  <si>
    <t>IHS_VDB_021M</t>
  </si>
  <si>
    <t>CI00027</t>
  </si>
  <si>
    <t>Bouake2</t>
  </si>
  <si>
    <t>IHS_LGN_715M</t>
  </si>
  <si>
    <t>CI00036</t>
  </si>
  <si>
    <t>Dabou2</t>
  </si>
  <si>
    <t>IHS_NCE_052M</t>
  </si>
  <si>
    <t>CI00040</t>
  </si>
  <si>
    <t>Daoukro</t>
  </si>
  <si>
    <t>IHS_SBD_006M</t>
  </si>
  <si>
    <t>CI00044</t>
  </si>
  <si>
    <t>Divo2</t>
  </si>
  <si>
    <t>IHS_VDB_096M</t>
  </si>
  <si>
    <t>CI00045</t>
  </si>
  <si>
    <t>Djebonoua</t>
  </si>
  <si>
    <t>IHS_SCE_027M</t>
  </si>
  <si>
    <t>CI00046</t>
  </si>
  <si>
    <t>Djemissikro</t>
  </si>
  <si>
    <t>IHS_SVN_008M</t>
  </si>
  <si>
    <t>CI00069</t>
  </si>
  <si>
    <t>Korhogo2</t>
  </si>
  <si>
    <t>IHS_LGN_726M</t>
  </si>
  <si>
    <t>CI00075</t>
  </si>
  <si>
    <t>Mbrou</t>
  </si>
  <si>
    <t>IHS_LAC_040M</t>
  </si>
  <si>
    <t>CI00080</t>
  </si>
  <si>
    <t>Ndoukahakro</t>
  </si>
  <si>
    <t>IHS_LGN_773M</t>
  </si>
  <si>
    <t>CI00083</t>
  </si>
  <si>
    <t>Nzianoua</t>
  </si>
  <si>
    <t>IHS_VDB_008M</t>
  </si>
  <si>
    <t>CI00086</t>
  </si>
  <si>
    <t>OdienneKourani</t>
  </si>
  <si>
    <t>IHS_BSD_009M</t>
  </si>
  <si>
    <t>CI00096</t>
  </si>
  <si>
    <t>SanPedro3</t>
  </si>
  <si>
    <t>IHS_HSD_013M</t>
  </si>
  <si>
    <t>CI00107</t>
  </si>
  <si>
    <t>IHS_LAC_060M</t>
  </si>
  <si>
    <t>CI00110</t>
  </si>
  <si>
    <t>Tiebissou</t>
  </si>
  <si>
    <t>IHS_LAC_003M</t>
  </si>
  <si>
    <t>CI00116</t>
  </si>
  <si>
    <t>YakroHabitat</t>
  </si>
  <si>
    <t>IHS_LGN_053M</t>
  </si>
  <si>
    <t>CI00121</t>
  </si>
  <si>
    <t>220logements</t>
  </si>
  <si>
    <t>IHS_LGN_293M</t>
  </si>
  <si>
    <t>CI00123</t>
  </si>
  <si>
    <t>7eTranche</t>
  </si>
  <si>
    <t>IHS_LGN_596M</t>
  </si>
  <si>
    <t>CI00128</t>
  </si>
  <si>
    <t>AboboBaoule</t>
  </si>
  <si>
    <t>IHS_LGN_066M</t>
  </si>
  <si>
    <t>CI00136</t>
  </si>
  <si>
    <t>AdjMosquee</t>
  </si>
  <si>
    <t>IHS_LGN_649M</t>
  </si>
  <si>
    <t>CI00138</t>
  </si>
  <si>
    <t>Aeroport</t>
  </si>
  <si>
    <t>IHS_LGN_546M</t>
  </si>
  <si>
    <t>CI00143</t>
  </si>
  <si>
    <t>Akwaba</t>
  </si>
  <si>
    <t>IHS_LGN_591M</t>
  </si>
  <si>
    <t>CI00150</t>
  </si>
  <si>
    <t>Anonkoua</t>
  </si>
  <si>
    <t>IHS_LGN_286M</t>
  </si>
  <si>
    <t>CI00151</t>
  </si>
  <si>
    <t>Anono</t>
  </si>
  <si>
    <t>IHS_LGN_081M</t>
  </si>
  <si>
    <t>CI00153</t>
  </si>
  <si>
    <t>Assurance</t>
  </si>
  <si>
    <t>IHS_LGN_613M</t>
  </si>
  <si>
    <t>CI00155</t>
  </si>
  <si>
    <t>Avocatier</t>
  </si>
  <si>
    <t>IHS_LGN_452M</t>
  </si>
  <si>
    <t>CI00161</t>
  </si>
  <si>
    <t>Bietry2</t>
  </si>
  <si>
    <t>IHS_LGN_267M</t>
  </si>
  <si>
    <t>CI00167</t>
  </si>
  <si>
    <t>Carla</t>
  </si>
  <si>
    <t>IHS_LGN_159M</t>
  </si>
  <si>
    <t>CI00174</t>
  </si>
  <si>
    <t>CMT</t>
  </si>
  <si>
    <t>IHS_LGN_016M</t>
  </si>
  <si>
    <t>CI00184</t>
  </si>
  <si>
    <t>EppRan</t>
  </si>
  <si>
    <t>IHS_LGN_195M</t>
  </si>
  <si>
    <t>CI00185</t>
  </si>
  <si>
    <t>GarBassam</t>
  </si>
  <si>
    <t>IHS_LGN_634M</t>
  </si>
  <si>
    <t>CI00189</t>
  </si>
  <si>
    <t>IleVerte</t>
  </si>
  <si>
    <t>IHS_LGN_421M</t>
  </si>
  <si>
    <t>CI00203</t>
  </si>
  <si>
    <t>Koumassi4</t>
  </si>
  <si>
    <t>IHS_LGN_511M</t>
  </si>
  <si>
    <t>CI00204</t>
  </si>
  <si>
    <t>Koumassi5</t>
  </si>
  <si>
    <t>IHS_LGN_234M</t>
  </si>
  <si>
    <t>CI00214</t>
  </si>
  <si>
    <t>Marcory4</t>
  </si>
  <si>
    <t>IHS_LGN_194M</t>
  </si>
  <si>
    <t>CI00215</t>
  </si>
  <si>
    <t>Marcory5</t>
  </si>
  <si>
    <t>IHS_LGN_087M</t>
  </si>
  <si>
    <t>CI00219</t>
  </si>
  <si>
    <t>MichelEynard</t>
  </si>
  <si>
    <t>IHS_LGN_404M</t>
  </si>
  <si>
    <t>CI00220</t>
  </si>
  <si>
    <t>Mpouto</t>
  </si>
  <si>
    <t>IHS_LGN_643M</t>
  </si>
  <si>
    <t>CI00223</t>
  </si>
  <si>
    <t>NDotre</t>
  </si>
  <si>
    <t>IHS_LGN_409M</t>
  </si>
  <si>
    <t>CI00225</t>
  </si>
  <si>
    <t>Niangon</t>
  </si>
  <si>
    <t>IHS_LGN_604M</t>
  </si>
  <si>
    <t>CI00227</t>
  </si>
  <si>
    <t>NPonon</t>
  </si>
  <si>
    <t>IHS_LGN_369M</t>
  </si>
  <si>
    <t>CI00234</t>
  </si>
  <si>
    <t>PetroIvoire</t>
  </si>
  <si>
    <t>IHS_LGN_624M</t>
  </si>
  <si>
    <t>CI00235</t>
  </si>
  <si>
    <t>Pk18</t>
  </si>
  <si>
    <t>IHS_LGN_363M</t>
  </si>
  <si>
    <t>CI00239</t>
  </si>
  <si>
    <t>Remblais2</t>
  </si>
  <si>
    <t>IHS_LGN_393M</t>
  </si>
  <si>
    <t>CI00244</t>
  </si>
  <si>
    <t>RivieraSelmer</t>
  </si>
  <si>
    <t>IHS_LGN_112M</t>
  </si>
  <si>
    <t>CI00250</t>
  </si>
  <si>
    <t>StLouis</t>
  </si>
  <si>
    <t>IHS_LGN_139M</t>
  </si>
  <si>
    <t>CI00262</t>
  </si>
  <si>
    <t>ToitRouge</t>
  </si>
  <si>
    <t>IHS_LGN_189M</t>
  </si>
  <si>
    <t>CI00264</t>
  </si>
  <si>
    <t>Treichv1</t>
  </si>
  <si>
    <t>IHS_LGN_469M</t>
  </si>
  <si>
    <t>CI00279</t>
  </si>
  <si>
    <t>YopMaca</t>
  </si>
  <si>
    <t>IHS_LGN_296M</t>
  </si>
  <si>
    <t>CI00281</t>
  </si>
  <si>
    <t>YopAndokoi</t>
  </si>
  <si>
    <t>IHS_LGN_171M</t>
  </si>
  <si>
    <t>CI00283</t>
  </si>
  <si>
    <t>YopBaptist</t>
  </si>
  <si>
    <t>IHS_LGN_186M</t>
  </si>
  <si>
    <t>CI00284</t>
  </si>
  <si>
    <t>Yop-complexe</t>
  </si>
  <si>
    <t>IHS_LGN_325M</t>
  </si>
  <si>
    <t>CI00288</t>
  </si>
  <si>
    <t>YopLycee</t>
  </si>
  <si>
    <t>IHS_LGN_207M</t>
  </si>
  <si>
    <t>CI00289</t>
  </si>
  <si>
    <t>YopougonGF</t>
  </si>
  <si>
    <t>IHS_ZNZ_002M</t>
  </si>
  <si>
    <t>CI00298</t>
  </si>
  <si>
    <t>Bondoukou2</t>
  </si>
  <si>
    <t>IHS_ZNZ_004M</t>
  </si>
  <si>
    <t>CI00299</t>
  </si>
  <si>
    <t>Bondoukou3</t>
  </si>
  <si>
    <t>IHS_NCE_003M</t>
  </si>
  <si>
    <t>CI00302</t>
  </si>
  <si>
    <t>Dimbokro2</t>
  </si>
  <si>
    <t>IHS_MCY_019M</t>
  </si>
  <si>
    <t>CI00304</t>
  </si>
  <si>
    <t>DUEKOUE2</t>
  </si>
  <si>
    <t>IHS_MCY_015M</t>
  </si>
  <si>
    <t>CI00305</t>
  </si>
  <si>
    <t>DUEKOUEKERE</t>
  </si>
  <si>
    <t>IHS_LAC_010M</t>
  </si>
  <si>
    <t>CI00306</t>
  </si>
  <si>
    <t>EPPDioulakro5</t>
  </si>
  <si>
    <t>IHS_HSD_003M</t>
  </si>
  <si>
    <t>CI00307</t>
  </si>
  <si>
    <t>Evechet</t>
  </si>
  <si>
    <t>IHS_FMG_016M</t>
  </si>
  <si>
    <t>CI00308</t>
  </si>
  <si>
    <t>GagnoaBSC</t>
  </si>
  <si>
    <t>IHS_FMG_001M</t>
  </si>
  <si>
    <t>CI00309</t>
  </si>
  <si>
    <t>GagnoaCSK</t>
  </si>
  <si>
    <t>IHS_FMG_012M</t>
  </si>
  <si>
    <t>CI00310</t>
  </si>
  <si>
    <t>GagnoaNQ</t>
  </si>
  <si>
    <t>IHS_LAC_001M</t>
  </si>
  <si>
    <t>CI00312</t>
  </si>
  <si>
    <t>GSPYakro</t>
  </si>
  <si>
    <t>IHS_MCY_003M</t>
  </si>
  <si>
    <t>CI00313</t>
  </si>
  <si>
    <t>GuigloResidentiel</t>
  </si>
  <si>
    <t>IHS_LAC_012M</t>
  </si>
  <si>
    <t>CI00317</t>
  </si>
  <si>
    <t>MamieAdjoua</t>
  </si>
  <si>
    <t>IHS_BSD_079M</t>
  </si>
  <si>
    <t>CI00319</t>
  </si>
  <si>
    <t>MeaguiEpp4</t>
  </si>
  <si>
    <t>IHS_BSD_076M</t>
  </si>
  <si>
    <t>CI00321</t>
  </si>
  <si>
    <t>MeaguiNetro</t>
  </si>
  <si>
    <t>IHS_LAC_014M</t>
  </si>
  <si>
    <t>CI00323</t>
  </si>
  <si>
    <t>Millionnaire</t>
  </si>
  <si>
    <t>IHS_SBD_010M</t>
  </si>
  <si>
    <t>CI00324</t>
  </si>
  <si>
    <t>RouteOume</t>
  </si>
  <si>
    <t>IHS_BSD_008M</t>
  </si>
  <si>
    <t>CI00325</t>
  </si>
  <si>
    <t>Sonouko</t>
  </si>
  <si>
    <t>IHS_BSD_011M</t>
  </si>
  <si>
    <t>CI00326</t>
  </si>
  <si>
    <t>Sotref</t>
  </si>
  <si>
    <t>IHS_BSD_146M</t>
  </si>
  <si>
    <t>CI00327</t>
  </si>
  <si>
    <t>SOUBRE3</t>
  </si>
  <si>
    <t>IHS_BSD_136M</t>
  </si>
  <si>
    <t>CI00328</t>
  </si>
  <si>
    <t>SOUBRECAMP</t>
  </si>
  <si>
    <t>IHS_BSD_134M</t>
  </si>
  <si>
    <t>CI00329</t>
  </si>
  <si>
    <t>SOUBREGABON</t>
  </si>
  <si>
    <t>IHS_LAC_067M</t>
  </si>
  <si>
    <t>CI00332</t>
  </si>
  <si>
    <t>ToumodiMarche</t>
  </si>
  <si>
    <t>IHS_LAC_009M</t>
  </si>
  <si>
    <t>CI00333</t>
  </si>
  <si>
    <t>Yakro220Lgts</t>
  </si>
  <si>
    <t>IHS_LAC_015M</t>
  </si>
  <si>
    <t>CI00334</t>
  </si>
  <si>
    <t>YakroBasilique</t>
  </si>
  <si>
    <t>IHS_LAC_002M</t>
  </si>
  <si>
    <t>CI00336</t>
  </si>
  <si>
    <t>YakroMosquée</t>
  </si>
  <si>
    <t>IHS_BSD_010M</t>
  </si>
  <si>
    <t>CI00337</t>
  </si>
  <si>
    <t>Zimbabwe</t>
  </si>
  <si>
    <t>IHS_LGN_263M</t>
  </si>
  <si>
    <t>CI00338</t>
  </si>
  <si>
    <t>2PlateauxZoo</t>
  </si>
  <si>
    <t>IHS_LGN_617M</t>
  </si>
  <si>
    <t>CI00339</t>
  </si>
  <si>
    <t>Abobo4etages</t>
  </si>
  <si>
    <t>IHS_LGN_460M</t>
  </si>
  <si>
    <t>CI00342</t>
  </si>
  <si>
    <t>AboboBanco</t>
  </si>
  <si>
    <t>IHS_LGN_026M</t>
  </si>
  <si>
    <t>CI00346</t>
  </si>
  <si>
    <t>AdjMarche</t>
  </si>
  <si>
    <t>IHS_LGN_430M</t>
  </si>
  <si>
    <t>CI00350</t>
  </si>
  <si>
    <t>AngréTerrain</t>
  </si>
  <si>
    <t>IHS_LGN_259M</t>
  </si>
  <si>
    <t>CI00352</t>
  </si>
  <si>
    <t>Akeble</t>
  </si>
  <si>
    <t>IHS_LGN_001M</t>
  </si>
  <si>
    <t>CI00353</t>
  </si>
  <si>
    <t>BiblioNat</t>
  </si>
  <si>
    <t>IHS_LGN_264M</t>
  </si>
  <si>
    <t>CI00358</t>
  </si>
  <si>
    <t>Ecis</t>
  </si>
  <si>
    <t>IHS_LGN_577M</t>
  </si>
  <si>
    <t>CI00360</t>
  </si>
  <si>
    <t>EPPBADRail4</t>
  </si>
  <si>
    <t>IHS_LGN_244M</t>
  </si>
  <si>
    <t>CI00362</t>
  </si>
  <si>
    <t>km4_ONUCI</t>
  </si>
  <si>
    <t>IHS_LGN_291M</t>
  </si>
  <si>
    <t>CI00365</t>
  </si>
  <si>
    <t>MarcoryGFCI</t>
  </si>
  <si>
    <t>IHS_LGN_581M</t>
  </si>
  <si>
    <t>CI00367</t>
  </si>
  <si>
    <t>P.B.Abattoir</t>
  </si>
  <si>
    <t>IHS_LGN_355M</t>
  </si>
  <si>
    <t>CI00370</t>
  </si>
  <si>
    <t>PortBouet2</t>
  </si>
  <si>
    <t>IHS_LGN_449M</t>
  </si>
  <si>
    <t>CI00372</t>
  </si>
  <si>
    <t>RivieraExt</t>
  </si>
  <si>
    <t>IHS_LGN_493M</t>
  </si>
  <si>
    <t>CI00373</t>
  </si>
  <si>
    <t>RouteDabou</t>
  </si>
  <si>
    <t>IHS_LGN_525M</t>
  </si>
  <si>
    <t>CI00375</t>
  </si>
  <si>
    <t>Star9B</t>
  </si>
  <si>
    <t>IHS_LGN_304M</t>
  </si>
  <si>
    <t>CI00376</t>
  </si>
  <si>
    <t>MarcoryShell</t>
  </si>
  <si>
    <t>IHS_LGN_485M</t>
  </si>
  <si>
    <t>CI00378</t>
  </si>
  <si>
    <t>VridiChapelle</t>
  </si>
  <si>
    <t>IHS_LGN_786M</t>
  </si>
  <si>
    <t>CI00380</t>
  </si>
  <si>
    <t>Attecoube3</t>
  </si>
  <si>
    <t>IHS_LGN_672M</t>
  </si>
  <si>
    <t>CI00382</t>
  </si>
  <si>
    <t>AdjamBing</t>
  </si>
  <si>
    <t>IHS_MCE_003M</t>
  </si>
  <si>
    <t>CI00385</t>
  </si>
  <si>
    <t>Abeng.Agni</t>
  </si>
  <si>
    <t>IHS_AGN_004M</t>
  </si>
  <si>
    <t>CI00386</t>
  </si>
  <si>
    <t>AdzopeLycee</t>
  </si>
  <si>
    <t>IHS_MRH_004M</t>
  </si>
  <si>
    <t>CI00388</t>
  </si>
  <si>
    <t>Bouafle2</t>
  </si>
  <si>
    <t>IHS_HSD_010M</t>
  </si>
  <si>
    <t>CI00389</t>
  </si>
  <si>
    <t>DaloaEscad</t>
  </si>
  <si>
    <t>IHS_NCE_006M</t>
  </si>
  <si>
    <t>CI00391</t>
  </si>
  <si>
    <t>DimbokroBelleville</t>
  </si>
  <si>
    <t>IHS_MCY_020M</t>
  </si>
  <si>
    <t>CI00392</t>
  </si>
  <si>
    <t>DUEKOUERESIDENTIEL</t>
  </si>
  <si>
    <t>IHS_FMG_005M</t>
  </si>
  <si>
    <t>CI00393</t>
  </si>
  <si>
    <t>GagnoaDaresSalam</t>
  </si>
  <si>
    <t>IHS_MCY_006M</t>
  </si>
  <si>
    <t>CI00394</t>
  </si>
  <si>
    <t>GuigloGare</t>
  </si>
  <si>
    <t>IHS_BSD_002M</t>
  </si>
  <si>
    <t>CI00398</t>
  </si>
  <si>
    <t>Seweke</t>
  </si>
  <si>
    <t>IHS_MRH_034M</t>
  </si>
  <si>
    <t>CI00399</t>
  </si>
  <si>
    <t>Sinfra2</t>
  </si>
  <si>
    <t>IHS_DHM_032M</t>
  </si>
  <si>
    <t>CI00401</t>
  </si>
  <si>
    <t>IHS_MCY_045M</t>
  </si>
  <si>
    <t>CI00402</t>
  </si>
  <si>
    <t>BLOLEQUIN</t>
  </si>
  <si>
    <t>IHS_LGN_787M</t>
  </si>
  <si>
    <t>VridiZI</t>
  </si>
  <si>
    <t>IHS_LGN_564M</t>
  </si>
  <si>
    <t>CI00407</t>
  </si>
  <si>
    <t>P.B.Abattoir2</t>
  </si>
  <si>
    <t>IHS_LGN_568M</t>
  </si>
  <si>
    <t>CI00410</t>
  </si>
  <si>
    <t>KoumassiCamp</t>
  </si>
  <si>
    <t>IHS_LGN_418M</t>
  </si>
  <si>
    <t>CI00413</t>
  </si>
  <si>
    <t>KoumArobase</t>
  </si>
  <si>
    <t>IHS_LGN_215M</t>
  </si>
  <si>
    <t>CI00417</t>
  </si>
  <si>
    <t>Solibra</t>
  </si>
  <si>
    <t>IHS_LGN_179M</t>
  </si>
  <si>
    <t>T.Voltaire</t>
  </si>
  <si>
    <t>IHS_LGN_161M</t>
  </si>
  <si>
    <t>CI00422</t>
  </si>
  <si>
    <t>ShellVallon</t>
  </si>
  <si>
    <t>IHS_LGN_235M</t>
  </si>
  <si>
    <t>CI00426</t>
  </si>
  <si>
    <t>Bonoumin3</t>
  </si>
  <si>
    <t>IHS_LGN_650M</t>
  </si>
  <si>
    <t>CI00434</t>
  </si>
  <si>
    <t>PK18Ananeraie</t>
  </si>
  <si>
    <t>IHS_LGN_637M</t>
  </si>
  <si>
    <t>CI00436</t>
  </si>
  <si>
    <t>AboboBC</t>
  </si>
  <si>
    <t>IHS_LGN_553M</t>
  </si>
  <si>
    <t>CI00437</t>
  </si>
  <si>
    <t>Kolotcha</t>
  </si>
  <si>
    <t>IHS_LGN_427M</t>
  </si>
  <si>
    <t>CI00438</t>
  </si>
  <si>
    <t>GSNanti</t>
  </si>
  <si>
    <t>IHS_LGN_046M</t>
  </si>
  <si>
    <t>CI00440</t>
  </si>
  <si>
    <t>Terminus04</t>
  </si>
  <si>
    <t>IHS_LGN_373M</t>
  </si>
  <si>
    <t>CI00446</t>
  </si>
  <si>
    <t>VridiZimbabwe</t>
  </si>
  <si>
    <t>IHS_LGN_508M</t>
  </si>
  <si>
    <t>CI00447</t>
  </si>
  <si>
    <t>BietryYace</t>
  </si>
  <si>
    <t>IHS_LGN_451M</t>
  </si>
  <si>
    <t>CI00451</t>
  </si>
  <si>
    <t>8TrancheNew</t>
  </si>
  <si>
    <t>IHS_LGN_162M</t>
  </si>
  <si>
    <t>CI00456</t>
  </si>
  <si>
    <t>CampusCite</t>
  </si>
  <si>
    <t>IHS_LGN_275M</t>
  </si>
  <si>
    <t>CI00460</t>
  </si>
  <si>
    <t>Kotibet</t>
  </si>
  <si>
    <t>IHS_LGN_454M</t>
  </si>
  <si>
    <t>CI00461</t>
  </si>
  <si>
    <t>Ananeraie2</t>
  </si>
  <si>
    <t>IHS_LGN_290M</t>
  </si>
  <si>
    <t>CI00463</t>
  </si>
  <si>
    <t>YopAttieN</t>
  </si>
  <si>
    <t>IHS_VDB_004M</t>
  </si>
  <si>
    <t>CI00466</t>
  </si>
  <si>
    <t>BouakeMarcheDCS</t>
  </si>
  <si>
    <t>IHS_SVN_005M</t>
  </si>
  <si>
    <t>CI00467</t>
  </si>
  <si>
    <t>Korhogo3</t>
  </si>
  <si>
    <t>IHS_SVN_006M</t>
  </si>
  <si>
    <t>CI00468</t>
  </si>
  <si>
    <t>KorhogoAhoussa</t>
  </si>
  <si>
    <t>IHS_AGN_036M</t>
  </si>
  <si>
    <t>CI00477</t>
  </si>
  <si>
    <t>BecediBrignan</t>
  </si>
  <si>
    <t>IHS_NCE_064M</t>
  </si>
  <si>
    <t>CI00493</t>
  </si>
  <si>
    <t>KoffiAmonkro</t>
  </si>
  <si>
    <t>IHS_LAC_051M</t>
  </si>
  <si>
    <t>Kokoumbo</t>
  </si>
  <si>
    <t>IHS_HSD_037M</t>
  </si>
  <si>
    <t>CI00498</t>
  </si>
  <si>
    <t>KRIKOREA</t>
  </si>
  <si>
    <t>IHS_SCE_086M</t>
  </si>
  <si>
    <t>CI00499</t>
  </si>
  <si>
    <t>Krindjabo</t>
  </si>
  <si>
    <t>IHS_BSD_026M</t>
  </si>
  <si>
    <t>CI00501</t>
  </si>
  <si>
    <t>Blahou</t>
  </si>
  <si>
    <t>IHS_SBD_057M</t>
  </si>
  <si>
    <t>CI00505</t>
  </si>
  <si>
    <t>Hire</t>
  </si>
  <si>
    <t>IHS_LAC_084M</t>
  </si>
  <si>
    <t>CI00508</t>
  </si>
  <si>
    <t>Kpouebo</t>
  </si>
  <si>
    <t>IHS_FMG_059M</t>
  </si>
  <si>
    <t>CI00521</t>
  </si>
  <si>
    <t>Dignago</t>
  </si>
  <si>
    <t>IHS_BSD_099M</t>
  </si>
  <si>
    <t>CI00525</t>
  </si>
  <si>
    <t>MontCoupe</t>
  </si>
  <si>
    <t>IHS_SBD_063M</t>
  </si>
  <si>
    <t>CI00532</t>
  </si>
  <si>
    <t>Gomeneberi</t>
  </si>
  <si>
    <t>IHS_MRH_009M</t>
  </si>
  <si>
    <t>CI00538</t>
  </si>
  <si>
    <t>Blanfla</t>
  </si>
  <si>
    <t>IHS_SBD_020M</t>
  </si>
  <si>
    <t>CI00539</t>
  </si>
  <si>
    <t>Ble</t>
  </si>
  <si>
    <t>IHS_FMG_023M</t>
  </si>
  <si>
    <t>CI00557</t>
  </si>
  <si>
    <t>Dougroupalegnoa</t>
  </si>
  <si>
    <t>IHS_BSD_100M</t>
  </si>
  <si>
    <t>CI00563</t>
  </si>
  <si>
    <t>Oupoyo</t>
  </si>
  <si>
    <t>IHS_BSD_085M</t>
  </si>
  <si>
    <t>CI00564</t>
  </si>
  <si>
    <t>Progreagui</t>
  </si>
  <si>
    <t>IHS_FMG_044M</t>
  </si>
  <si>
    <t>CI00566</t>
  </si>
  <si>
    <t>Serhio</t>
  </si>
  <si>
    <t>IHS_LGN_732M</t>
  </si>
  <si>
    <t>CI00568</t>
  </si>
  <si>
    <t>NouvelleOsrou</t>
  </si>
  <si>
    <t>IHS_MCY_041M</t>
  </si>
  <si>
    <t>CI00571</t>
  </si>
  <si>
    <t>GUEZON</t>
  </si>
  <si>
    <t>IHS_BSD_183M</t>
  </si>
  <si>
    <t>CI00579</t>
  </si>
  <si>
    <t>Kotableoua</t>
  </si>
  <si>
    <t>IHS_DHM_024M</t>
  </si>
  <si>
    <t>CI00581</t>
  </si>
  <si>
    <t>DIEOUZON</t>
  </si>
  <si>
    <t>IHS_HSD_064M</t>
  </si>
  <si>
    <t>CI00586</t>
  </si>
  <si>
    <t>BANDIAHI</t>
  </si>
  <si>
    <t>IHS_MCY_025M</t>
  </si>
  <si>
    <t>CI00588</t>
  </si>
  <si>
    <t>OUATTARADOUGOU</t>
  </si>
  <si>
    <t>IHS_DHM_012M</t>
  </si>
  <si>
    <t>CI00590</t>
  </si>
  <si>
    <t>Nidrou</t>
  </si>
  <si>
    <t>IHS_NCE_036M</t>
  </si>
  <si>
    <t>CI00593</t>
  </si>
  <si>
    <t>Kotobi</t>
  </si>
  <si>
    <t>IHS_AGN_025M</t>
  </si>
  <si>
    <t>CI00603</t>
  </si>
  <si>
    <t>Attobrou</t>
  </si>
  <si>
    <t>IHS_MCE_023M</t>
  </si>
  <si>
    <t>CI00604</t>
  </si>
  <si>
    <t>Manzanouan</t>
  </si>
  <si>
    <t>IHS_SCE_056M</t>
  </si>
  <si>
    <t>CI00605</t>
  </si>
  <si>
    <t>Nouamou</t>
  </si>
  <si>
    <t>IHS_BSD_108M</t>
  </si>
  <si>
    <t>CI00607</t>
  </si>
  <si>
    <t>PalmciIblidouba</t>
  </si>
  <si>
    <t>IHS_DHM_034M</t>
  </si>
  <si>
    <t>CI00614</t>
  </si>
  <si>
    <t>Mahapleu</t>
  </si>
  <si>
    <t>IHS_VDB_098M</t>
  </si>
  <si>
    <t>CI00617</t>
  </si>
  <si>
    <t>Beoumi</t>
  </si>
  <si>
    <t>IHS_VDB_060M</t>
  </si>
  <si>
    <t>CI00625</t>
  </si>
  <si>
    <t>Marabadjassa</t>
  </si>
  <si>
    <t>IHS_DHM_017M</t>
  </si>
  <si>
    <t>CI00627</t>
  </si>
  <si>
    <t>SANGOUINE</t>
  </si>
  <si>
    <t>IHS_HSD_104M</t>
  </si>
  <si>
    <t>CI00628</t>
  </si>
  <si>
    <t>Minore</t>
  </si>
  <si>
    <t>IHS_SBD_021M</t>
  </si>
  <si>
    <t>CI00641</t>
  </si>
  <si>
    <t>DivoPalmci</t>
  </si>
  <si>
    <t>IHS_NCE_070M</t>
  </si>
  <si>
    <t>CI00642</t>
  </si>
  <si>
    <t>Prikro</t>
  </si>
  <si>
    <t>IHS_AGN_057M</t>
  </si>
  <si>
    <t>CI00644</t>
  </si>
  <si>
    <t>Rubino</t>
  </si>
  <si>
    <t>IHS_AGN_031M</t>
  </si>
  <si>
    <t>CI00654</t>
  </si>
  <si>
    <t>Yakasse-Attobrou</t>
  </si>
  <si>
    <t>IHS_LAC_073M</t>
  </si>
  <si>
    <t>CI00671</t>
  </si>
  <si>
    <t>Ayaprikro</t>
  </si>
  <si>
    <t>IHS_VDB_037M</t>
  </si>
  <si>
    <t>CI00676</t>
  </si>
  <si>
    <t>Brobo</t>
  </si>
  <si>
    <t>IHS_NCE_011M</t>
  </si>
  <si>
    <t>CI00677</t>
  </si>
  <si>
    <t>Diangokro</t>
  </si>
  <si>
    <t>IHS_VDB_080M</t>
  </si>
  <si>
    <t>CI00678</t>
  </si>
  <si>
    <t>Mborla</t>
  </si>
  <si>
    <t>IHS_LAC_075M</t>
  </si>
  <si>
    <t>CI00679</t>
  </si>
  <si>
    <t>Djassanou</t>
  </si>
  <si>
    <t>IHS_VDB_086M</t>
  </si>
  <si>
    <t>CI00680</t>
  </si>
  <si>
    <t>Foumbolo</t>
  </si>
  <si>
    <t>IHS_VDB_043M</t>
  </si>
  <si>
    <t>CI00682</t>
  </si>
  <si>
    <t>Aounianfoutou</t>
  </si>
  <si>
    <t>IHS_SVN_046M</t>
  </si>
  <si>
    <t>CI00684</t>
  </si>
  <si>
    <t>Naniefongo</t>
  </si>
  <si>
    <t>IHS_VDB_066M</t>
  </si>
  <si>
    <t>CI00687</t>
  </si>
  <si>
    <t>Andokokrenou</t>
  </si>
  <si>
    <t>IHS_VDB_068M</t>
  </si>
  <si>
    <t>CI00691</t>
  </si>
  <si>
    <t>ToumodiSakassou</t>
  </si>
  <si>
    <t>IHS_DHM_049M</t>
  </si>
  <si>
    <t>CI00693</t>
  </si>
  <si>
    <t>Banteadepleu</t>
  </si>
  <si>
    <t>IHS_DHM_040M</t>
  </si>
  <si>
    <t>CI00697</t>
  </si>
  <si>
    <t>GuezonTahoke</t>
  </si>
  <si>
    <t>IHS_DHM_013M</t>
  </si>
  <si>
    <t>CI00699</t>
  </si>
  <si>
    <t>Facobly</t>
  </si>
  <si>
    <t>IHS_DNG_023M</t>
  </si>
  <si>
    <t>Gbeleban</t>
  </si>
  <si>
    <t>IHS_DHM_014M</t>
  </si>
  <si>
    <t>CI00702</t>
  </si>
  <si>
    <t>Gbonne</t>
  </si>
  <si>
    <t>IHS_BAF_012M</t>
  </si>
  <si>
    <t>CI00704</t>
  </si>
  <si>
    <t>GUINTEGUELA</t>
  </si>
  <si>
    <t>IHS_WRD_013M</t>
  </si>
  <si>
    <t>CI00720</t>
  </si>
  <si>
    <t>Worofla</t>
  </si>
  <si>
    <t>IHS_DHM_020M</t>
  </si>
  <si>
    <t>CI00721</t>
  </si>
  <si>
    <t>IHS_DHM_003M</t>
  </si>
  <si>
    <t>CI00724</t>
  </si>
  <si>
    <t>MANMISTROT</t>
  </si>
  <si>
    <t>IHS_DNG_002M</t>
  </si>
  <si>
    <t>CI00725</t>
  </si>
  <si>
    <t>OdienneAviation</t>
  </si>
  <si>
    <t>IHS_LGN_733M</t>
  </si>
  <si>
    <t>CI00732</t>
  </si>
  <si>
    <t>Kodiossou</t>
  </si>
  <si>
    <t>IHS_LGN_689M</t>
  </si>
  <si>
    <t>CI00733</t>
  </si>
  <si>
    <t>Brofodoumé</t>
  </si>
  <si>
    <t>IHS_AGN_066M</t>
  </si>
  <si>
    <t>CI00737</t>
  </si>
  <si>
    <t>Guessiguie</t>
  </si>
  <si>
    <t>IHS_NCE_015M</t>
  </si>
  <si>
    <t>CI00739</t>
  </si>
  <si>
    <t>Bengassou</t>
  </si>
  <si>
    <t>IHS_ZNZ_043M</t>
  </si>
  <si>
    <t>CI00742</t>
  </si>
  <si>
    <t>Nassian</t>
  </si>
  <si>
    <t>IHS_NCE_039M</t>
  </si>
  <si>
    <t>CI00744</t>
  </si>
  <si>
    <t>NZecrezessou</t>
  </si>
  <si>
    <t>IHS_ZNZ_018M</t>
  </si>
  <si>
    <t>CI00748</t>
  </si>
  <si>
    <t>Tambi</t>
  </si>
  <si>
    <t>IHS_ZNZ_037M</t>
  </si>
  <si>
    <t>CI00749</t>
  </si>
  <si>
    <t>Taoudi</t>
  </si>
  <si>
    <t>IHS_ZNZ_030M</t>
  </si>
  <si>
    <t>CI00751</t>
  </si>
  <si>
    <t>Transua</t>
  </si>
  <si>
    <t>IHS_LGN_729M</t>
  </si>
  <si>
    <t>CI00752</t>
  </si>
  <si>
    <t>Danguira</t>
  </si>
  <si>
    <t>IHS_VDB_044M</t>
  </si>
  <si>
    <t>CI00759</t>
  </si>
  <si>
    <t>Botro</t>
  </si>
  <si>
    <t>IHS_BSD_077M</t>
  </si>
  <si>
    <t>CI00761</t>
  </si>
  <si>
    <t>Niabably</t>
  </si>
  <si>
    <t>IHS_FMG_062M</t>
  </si>
  <si>
    <t>CI00765</t>
  </si>
  <si>
    <t>Bahompa</t>
  </si>
  <si>
    <t>IHS_FMG_051M</t>
  </si>
  <si>
    <t>CI00766</t>
  </si>
  <si>
    <t>Zaddi</t>
  </si>
  <si>
    <t>IHS_HSD_108M</t>
  </si>
  <si>
    <t>CI00780</t>
  </si>
  <si>
    <t>Dananon</t>
  </si>
  <si>
    <t>IHS_WRD_020M</t>
  </si>
  <si>
    <t>CI00782</t>
  </si>
  <si>
    <t>Tiema</t>
  </si>
  <si>
    <t>IHS_SVN_053M</t>
  </si>
  <si>
    <t>CI00786</t>
  </si>
  <si>
    <t>Kassere</t>
  </si>
  <si>
    <t>IHS_SVN_071M</t>
  </si>
  <si>
    <t>CI00787</t>
  </si>
  <si>
    <t>Kolia</t>
  </si>
  <si>
    <t>IHS_WRD_038M</t>
  </si>
  <si>
    <t>CI00792</t>
  </si>
  <si>
    <t>Marandhala</t>
  </si>
  <si>
    <t>IHS_DNG_020M</t>
  </si>
  <si>
    <t>CI00797</t>
  </si>
  <si>
    <t>Seguelon</t>
  </si>
  <si>
    <t>IHS_DHM_042M</t>
  </si>
  <si>
    <t>CI00810</t>
  </si>
  <si>
    <t>RanchSipilou</t>
  </si>
  <si>
    <t>IHS_DNG_034M</t>
  </si>
  <si>
    <t>CI00811</t>
  </si>
  <si>
    <t>Kotoula</t>
  </si>
  <si>
    <t>IHS_DNG_018M</t>
  </si>
  <si>
    <t>CI00812</t>
  </si>
  <si>
    <t>Feredougou</t>
  </si>
  <si>
    <t>IHS_VDB_041M</t>
  </si>
  <si>
    <t>CI00817</t>
  </si>
  <si>
    <t>Allakro</t>
  </si>
  <si>
    <t>IHS_SVN_013M</t>
  </si>
  <si>
    <t>CI00818</t>
  </si>
  <si>
    <t>Lataha</t>
  </si>
  <si>
    <t>IHS_LGN_184M</t>
  </si>
  <si>
    <t>CI00821</t>
  </si>
  <si>
    <t>YopNBureau</t>
  </si>
  <si>
    <t>IHS_LGN_330M</t>
  </si>
  <si>
    <t>CI00824</t>
  </si>
  <si>
    <t>YopBanco2</t>
  </si>
  <si>
    <t>IHS_LGN_401M</t>
  </si>
  <si>
    <t>CI00826</t>
  </si>
  <si>
    <t>CocoService</t>
  </si>
  <si>
    <t>IHS_LGN_542M</t>
  </si>
  <si>
    <t>CI00828</t>
  </si>
  <si>
    <t>KoumCamp2</t>
  </si>
  <si>
    <t>IHS_AGN_041M</t>
  </si>
  <si>
    <t>CI00831</t>
  </si>
  <si>
    <t>Akoupe</t>
  </si>
  <si>
    <t>IHS_NCE_004M</t>
  </si>
  <si>
    <t>CI00838</t>
  </si>
  <si>
    <t>Dimbokro3</t>
  </si>
  <si>
    <t>IHS_MCY_004M</t>
  </si>
  <si>
    <t>CI00844</t>
  </si>
  <si>
    <t>GUIGLO3</t>
  </si>
  <si>
    <t>IHS_HSD_057M</t>
  </si>
  <si>
    <t>CI00848</t>
  </si>
  <si>
    <t>KIPREGOGOA</t>
  </si>
  <si>
    <t>IHS_SBD_049M</t>
  </si>
  <si>
    <t>CI00849</t>
  </si>
  <si>
    <t>Lakota3</t>
  </si>
  <si>
    <t>IHS_BSD_081M</t>
  </si>
  <si>
    <t>CI00850</t>
  </si>
  <si>
    <t>MeadjiFO</t>
  </si>
  <si>
    <t>IHS_WRD_001M</t>
  </si>
  <si>
    <t>CI00853</t>
  </si>
  <si>
    <t>Seguela2</t>
  </si>
  <si>
    <t>IHS_HSD_079M</t>
  </si>
  <si>
    <t>CI00856</t>
  </si>
  <si>
    <t>VAVOUA2</t>
  </si>
  <si>
    <t>IHS_SBD_012M</t>
  </si>
  <si>
    <t>CI00858</t>
  </si>
  <si>
    <t>DivoFH</t>
  </si>
  <si>
    <t>IHS_VDB_081M</t>
  </si>
  <si>
    <t>CI00860</t>
  </si>
  <si>
    <t>Tahogora</t>
  </si>
  <si>
    <t>IHS_LAC_048M</t>
  </si>
  <si>
    <t>CI00868</t>
  </si>
  <si>
    <t>CollineKetekre</t>
  </si>
  <si>
    <t>IHS_MCE_026M</t>
  </si>
  <si>
    <t>CI00875</t>
  </si>
  <si>
    <t>Satikran</t>
  </si>
  <si>
    <t>IHS_LAC_061M</t>
  </si>
  <si>
    <t>CI00876</t>
  </si>
  <si>
    <t>ToumodiFO</t>
  </si>
  <si>
    <t>IHS_VDB_088M</t>
  </si>
  <si>
    <t>CI00878</t>
  </si>
  <si>
    <t>Niangbo</t>
  </si>
  <si>
    <t>IHS_BSD_087M</t>
  </si>
  <si>
    <t>CI00880</t>
  </si>
  <si>
    <t>TabouDouopo</t>
  </si>
  <si>
    <t>IHS_MCY_009M</t>
  </si>
  <si>
    <t>CI00881</t>
  </si>
  <si>
    <t>PonanGuiglo</t>
  </si>
  <si>
    <t>IHS_DHM_038M</t>
  </si>
  <si>
    <t>CI00883</t>
  </si>
  <si>
    <t>PinhouKoulouan</t>
  </si>
  <si>
    <t>IHS_DHM_015M</t>
  </si>
  <si>
    <t>CI00886</t>
  </si>
  <si>
    <t>Kontrou</t>
  </si>
  <si>
    <t>IHS_SVN_014M</t>
  </si>
  <si>
    <t>CI00890</t>
  </si>
  <si>
    <t>Djih</t>
  </si>
  <si>
    <t>IHS_LGN_340M</t>
  </si>
  <si>
    <t>CI00892</t>
  </si>
  <si>
    <t>Monda</t>
  </si>
  <si>
    <t>IHS_DNG_004M</t>
  </si>
  <si>
    <t>CI00893</t>
  </si>
  <si>
    <t>Odienne2</t>
  </si>
  <si>
    <t>IHS_VDB_022M</t>
  </si>
  <si>
    <t>CI00900</t>
  </si>
  <si>
    <t>Daressalam3</t>
  </si>
  <si>
    <t>IHS_LGN_063M</t>
  </si>
  <si>
    <t>CI00901</t>
  </si>
  <si>
    <t>Attecoube</t>
  </si>
  <si>
    <t>IHS_SBD_008M</t>
  </si>
  <si>
    <t>CI00903</t>
  </si>
  <si>
    <t>DivoBondoukou</t>
  </si>
  <si>
    <t>IHS_FMG_009M</t>
  </si>
  <si>
    <t>CI00904</t>
  </si>
  <si>
    <t>GagnoaBario</t>
  </si>
  <si>
    <t>IHS_SCE_075M</t>
  </si>
  <si>
    <t>CI00905</t>
  </si>
  <si>
    <t>BassamPhare</t>
  </si>
  <si>
    <t>IHS_LGN_192M</t>
  </si>
  <si>
    <t>CI00907</t>
  </si>
  <si>
    <t>Macaci</t>
  </si>
  <si>
    <t>IHS_DHM_043M</t>
  </si>
  <si>
    <t>CI00908</t>
  </si>
  <si>
    <t>Danane</t>
  </si>
  <si>
    <t>IHS_LGN_106M</t>
  </si>
  <si>
    <t>CI00912</t>
  </si>
  <si>
    <t>LokodjoroFO</t>
  </si>
  <si>
    <t>IHS_LGN_654M</t>
  </si>
  <si>
    <t>CI00916</t>
  </si>
  <si>
    <t>AdjouffouNew</t>
  </si>
  <si>
    <t>IHS_LGN_597M</t>
  </si>
  <si>
    <t>CI00919</t>
  </si>
  <si>
    <t>AvocatierNew</t>
  </si>
  <si>
    <t>IHS_LGN_306M</t>
  </si>
  <si>
    <t>CI00926</t>
  </si>
  <si>
    <t>ITESNew</t>
  </si>
  <si>
    <t>IHS_VDB_020M</t>
  </si>
  <si>
    <t>CI00927</t>
  </si>
  <si>
    <t>BouakeComNew</t>
  </si>
  <si>
    <t>IHS_FMG_002M</t>
  </si>
  <si>
    <t>CI00930</t>
  </si>
  <si>
    <t>Gagnoadaresalam2</t>
  </si>
  <si>
    <t>IHS_LGN_687M</t>
  </si>
  <si>
    <t>CI00931</t>
  </si>
  <si>
    <t>CNRA</t>
  </si>
  <si>
    <t>IHS_MRH_005M</t>
  </si>
  <si>
    <t>CI00932</t>
  </si>
  <si>
    <t>Bouafleklobata</t>
  </si>
  <si>
    <t>IHS_SCE_061M</t>
  </si>
  <si>
    <t>CI00933</t>
  </si>
  <si>
    <t>BonouaChateau</t>
  </si>
  <si>
    <t>IHS_LGN_108M</t>
  </si>
  <si>
    <t>CI00936</t>
  </si>
  <si>
    <t>PatientNew</t>
  </si>
  <si>
    <t>IHS_LGN_134M</t>
  </si>
  <si>
    <t>CI00937</t>
  </si>
  <si>
    <t>CinemeEgalite</t>
  </si>
  <si>
    <t>IHS_SCE_001M</t>
  </si>
  <si>
    <t>CI00938</t>
  </si>
  <si>
    <t>AboissoSokoura</t>
  </si>
  <si>
    <t>IHS_AGN_003M</t>
  </si>
  <si>
    <t>CI00939</t>
  </si>
  <si>
    <t>AdzopeHabitat</t>
  </si>
  <si>
    <t>IHS_AGN_053M</t>
  </si>
  <si>
    <t>CI00940</t>
  </si>
  <si>
    <t>AgbovilleSokoura</t>
  </si>
  <si>
    <t>IHS_LGN_699M</t>
  </si>
  <si>
    <t>CI00941</t>
  </si>
  <si>
    <t>BassamMoqueville</t>
  </si>
  <si>
    <t>IHS_VDB_028M</t>
  </si>
  <si>
    <t>CI00944</t>
  </si>
  <si>
    <t>BouakeKotcha</t>
  </si>
  <si>
    <t>IHS_HSD_008M</t>
  </si>
  <si>
    <t>CI00945</t>
  </si>
  <si>
    <t>DaloaMillionnaire</t>
  </si>
  <si>
    <t>IHS_DHM_045M</t>
  </si>
  <si>
    <t>CI00946</t>
  </si>
  <si>
    <t>Danane2</t>
  </si>
  <si>
    <t>IHS_FMG_013M</t>
  </si>
  <si>
    <t>CI00947</t>
  </si>
  <si>
    <t>GagnoaExt2</t>
  </si>
  <si>
    <t>IHS_LGN_769M</t>
  </si>
  <si>
    <t>CI00950</t>
  </si>
  <si>
    <t>GrandLahou2</t>
  </si>
  <si>
    <t>IHS_MCY_007M</t>
  </si>
  <si>
    <t>CI00951</t>
  </si>
  <si>
    <t>GuigloSea</t>
  </si>
  <si>
    <t>IHS_SVN_011M</t>
  </si>
  <si>
    <t>CI00952</t>
  </si>
  <si>
    <t>Ouraniene</t>
  </si>
  <si>
    <t>IHS_SVN_010M</t>
  </si>
  <si>
    <t>CI00953</t>
  </si>
  <si>
    <t>KorhogoNatchio</t>
  </si>
  <si>
    <t>IHS_DNG_003M</t>
  </si>
  <si>
    <t>CI00957</t>
  </si>
  <si>
    <t>OdienneResidentiel</t>
  </si>
  <si>
    <t>IHS_LGN_747M</t>
  </si>
  <si>
    <t>CI00958</t>
  </si>
  <si>
    <t>Sikensi2</t>
  </si>
  <si>
    <t>IHS_BSD_129M</t>
  </si>
  <si>
    <t>CI00959</t>
  </si>
  <si>
    <t>SoubreBaleyo</t>
  </si>
  <si>
    <t>IHS_BSD_093M</t>
  </si>
  <si>
    <t>CI00961</t>
  </si>
  <si>
    <t>Tabou2</t>
  </si>
  <si>
    <t>IHS_NCE_023M</t>
  </si>
  <si>
    <t>CI00962</t>
  </si>
  <si>
    <t>MbattoResidentiel</t>
  </si>
  <si>
    <t>IHS_LGN_652M</t>
  </si>
  <si>
    <t>CI00965</t>
  </si>
  <si>
    <t>AeroportDHL</t>
  </si>
  <si>
    <t>IHS_LGN_668M</t>
  </si>
  <si>
    <t>CI00967</t>
  </si>
  <si>
    <t>Anyama2</t>
  </si>
  <si>
    <t>IHS_LGN_316M</t>
  </si>
  <si>
    <t>CI00968</t>
  </si>
  <si>
    <t>Azito2</t>
  </si>
  <si>
    <t>IHS_LGN_673M</t>
  </si>
  <si>
    <t>CI00969</t>
  </si>
  <si>
    <t>Bingerville2</t>
  </si>
  <si>
    <t>IHS_LGN_480M</t>
  </si>
  <si>
    <t>CI00972</t>
  </si>
  <si>
    <t>Terminus13</t>
  </si>
  <si>
    <t>IHS_LGN_412M</t>
  </si>
  <si>
    <t>CI00973</t>
  </si>
  <si>
    <t>Marrais2</t>
  </si>
  <si>
    <t>IHS_LGN_510M</t>
  </si>
  <si>
    <t>CI00976</t>
  </si>
  <si>
    <t>RivieraBessikoi</t>
  </si>
  <si>
    <t>IHS_LGN_413M</t>
  </si>
  <si>
    <t>CI00978</t>
  </si>
  <si>
    <t>PortBouet2Bis</t>
  </si>
  <si>
    <t>IHS_LGN_241M</t>
  </si>
  <si>
    <t>YopAndokoi2</t>
  </si>
  <si>
    <t>IHS_LGN_450M</t>
  </si>
  <si>
    <t>CI00982</t>
  </si>
  <si>
    <t>YopMaroc</t>
  </si>
  <si>
    <t>IHS_LGN_518M</t>
  </si>
  <si>
    <t>CI00983</t>
  </si>
  <si>
    <t>GescoFouriere</t>
  </si>
  <si>
    <t>IHS_LGN_362M</t>
  </si>
  <si>
    <t>CI00990</t>
  </si>
  <si>
    <t>RemblaisNew</t>
  </si>
  <si>
    <t>IHS_LGN_481M</t>
  </si>
  <si>
    <t>CI00991</t>
  </si>
  <si>
    <t>Samake</t>
  </si>
  <si>
    <t>IHS_SVN_012M</t>
  </si>
  <si>
    <t>CI00995</t>
  </si>
  <si>
    <t>Nangounkaha</t>
  </si>
  <si>
    <t>IHS_SVN_091M</t>
  </si>
  <si>
    <t>CI00998</t>
  </si>
  <si>
    <t>Bilimono</t>
  </si>
  <si>
    <t>IHS_WRD_032M</t>
  </si>
  <si>
    <t>CI00999</t>
  </si>
  <si>
    <t>Sononzo</t>
  </si>
  <si>
    <t>IHS_DNG_006M</t>
  </si>
  <si>
    <t>CI01001</t>
  </si>
  <si>
    <t>KimbrilaSud</t>
  </si>
  <si>
    <t>IHS_ZNZ_038M</t>
  </si>
  <si>
    <t>CI01008</t>
  </si>
  <si>
    <t>Namassi</t>
  </si>
  <si>
    <t>IHS_ZNZ_040M</t>
  </si>
  <si>
    <t>CI01009</t>
  </si>
  <si>
    <t>Kotouba</t>
  </si>
  <si>
    <t>IHS_ZNZ_028M</t>
  </si>
  <si>
    <t>CI01010</t>
  </si>
  <si>
    <t>Bandakany</t>
  </si>
  <si>
    <t>IHS_LGN_756M</t>
  </si>
  <si>
    <t>CI01012</t>
  </si>
  <si>
    <t>Ahouanou</t>
  </si>
  <si>
    <t>IHS_DNG_039M</t>
  </si>
  <si>
    <t>CI01019</t>
  </si>
  <si>
    <t>Niamana</t>
  </si>
  <si>
    <t>IHS_DNG_009M</t>
  </si>
  <si>
    <t>CI01020</t>
  </si>
  <si>
    <t>KAHANSO</t>
  </si>
  <si>
    <t>IHS_SVN_089M</t>
  </si>
  <si>
    <t>CI01022</t>
  </si>
  <si>
    <t>ToroKinkene</t>
  </si>
  <si>
    <t>IHS_VDB_079M</t>
  </si>
  <si>
    <t>CI01023</t>
  </si>
  <si>
    <t>YaoSedougou</t>
  </si>
  <si>
    <t>IHS_VDB_087M</t>
  </si>
  <si>
    <t>CI01024</t>
  </si>
  <si>
    <t>TendeneBombarasso</t>
  </si>
  <si>
    <t>IHS_ZNZ_045M</t>
  </si>
  <si>
    <t>CI01025</t>
  </si>
  <si>
    <t>Sandegue</t>
  </si>
  <si>
    <t>IHS_ZNZ_057M</t>
  </si>
  <si>
    <t>CI01027</t>
  </si>
  <si>
    <t>Yorobodi</t>
  </si>
  <si>
    <t>IHS_SVN_019M</t>
  </si>
  <si>
    <t>CI01028</t>
  </si>
  <si>
    <t>Guiembe</t>
  </si>
  <si>
    <t>IHS_FMG_053M</t>
  </si>
  <si>
    <t>CI01029</t>
  </si>
  <si>
    <t>Djoukouyo</t>
  </si>
  <si>
    <t>IHS_VDB_094M</t>
  </si>
  <si>
    <t>CI01032</t>
  </si>
  <si>
    <t>Badikaha</t>
  </si>
  <si>
    <t>IHS_WRD_026M</t>
  </si>
  <si>
    <t>CI01034</t>
  </si>
  <si>
    <t>BielouCarrefour</t>
  </si>
  <si>
    <t>IHS_WRD_036M</t>
  </si>
  <si>
    <t>CI01035</t>
  </si>
  <si>
    <t>Diarakro</t>
  </si>
  <si>
    <t>IHS_BAF_008M</t>
  </si>
  <si>
    <t>CI01037</t>
  </si>
  <si>
    <t>KOONAN</t>
  </si>
  <si>
    <t>IHS_DNG_015M</t>
  </si>
  <si>
    <t>CI01040</t>
  </si>
  <si>
    <t>Banankoro</t>
  </si>
  <si>
    <t>IHS_VDB_073M</t>
  </si>
  <si>
    <t>CI01041</t>
  </si>
  <si>
    <t>Petionara</t>
  </si>
  <si>
    <t>IHS_BSD_144M</t>
  </si>
  <si>
    <t>CI01043</t>
  </si>
  <si>
    <t>IHS_LGN_174M</t>
  </si>
  <si>
    <t>CI01044</t>
  </si>
  <si>
    <t>TreichEPPHabitat</t>
  </si>
  <si>
    <t>IHS_WRD_005M</t>
  </si>
  <si>
    <t>CI01048</t>
  </si>
  <si>
    <t>SIANA</t>
  </si>
  <si>
    <t>IHS_LGN_760M</t>
  </si>
  <si>
    <t>CI01051</t>
  </si>
  <si>
    <t>Attiguehi</t>
  </si>
  <si>
    <t>IHS_MCE_017M</t>
  </si>
  <si>
    <t>CI01052</t>
  </si>
  <si>
    <t>Abronamoue</t>
  </si>
  <si>
    <t>IHS_WRD_012M</t>
  </si>
  <si>
    <t>CI01054</t>
  </si>
  <si>
    <t>Tala</t>
  </si>
  <si>
    <t>IHS_SVN_062M</t>
  </si>
  <si>
    <t>CI01056</t>
  </si>
  <si>
    <t>Boron</t>
  </si>
  <si>
    <t>IHS_SVN_049M</t>
  </si>
  <si>
    <t>CI01057</t>
  </si>
  <si>
    <t>Kanoroba</t>
  </si>
  <si>
    <t>IHS_DNG_021M</t>
  </si>
  <si>
    <t>CI01058</t>
  </si>
  <si>
    <t>Siensoba</t>
  </si>
  <si>
    <t>IHS_NCE_062M</t>
  </si>
  <si>
    <t>CI01060</t>
  </si>
  <si>
    <t>Ngattakro</t>
  </si>
  <si>
    <t>IHS_SBD_017M</t>
  </si>
  <si>
    <t>CI01063</t>
  </si>
  <si>
    <t>Idefor</t>
  </si>
  <si>
    <t>IHS_BSD_104M</t>
  </si>
  <si>
    <t>CI01065</t>
  </si>
  <si>
    <t>Oualebo</t>
  </si>
  <si>
    <t>IHS_BSD_180M</t>
  </si>
  <si>
    <t>CI01066</t>
  </si>
  <si>
    <t>Gnaboya</t>
  </si>
  <si>
    <t>IHS_BSD_187M</t>
  </si>
  <si>
    <t>CI01067</t>
  </si>
  <si>
    <t>BuyoNew</t>
  </si>
  <si>
    <t>IHS_SVN_015M</t>
  </si>
  <si>
    <t>CI01071</t>
  </si>
  <si>
    <t>Koni</t>
  </si>
  <si>
    <t>IHS_HSD_023M</t>
  </si>
  <si>
    <t>CI01073</t>
  </si>
  <si>
    <t>Tahiraguhé</t>
  </si>
  <si>
    <t>IHS_SVN_045M</t>
  </si>
  <si>
    <t>CI01074</t>
  </si>
  <si>
    <t>Lafokpokaha</t>
  </si>
  <si>
    <t>IHS_NCE_055M</t>
  </si>
  <si>
    <t>CI01075</t>
  </si>
  <si>
    <t>Sondo</t>
  </si>
  <si>
    <t>IHS_AGN_044M</t>
  </si>
  <si>
    <t>CI01077</t>
  </si>
  <si>
    <t>Abongoua</t>
  </si>
  <si>
    <t>IHS_ZNZ_039M</t>
  </si>
  <si>
    <t>CI01078</t>
  </si>
  <si>
    <t>Ndanou</t>
  </si>
  <si>
    <t>IHS_BAF_009M</t>
  </si>
  <si>
    <t>CI01088</t>
  </si>
  <si>
    <t>FOUNGBESSO</t>
  </si>
  <si>
    <t>IHS_SVN_088M</t>
  </si>
  <si>
    <t>CI01093</t>
  </si>
  <si>
    <t>Bougou</t>
  </si>
  <si>
    <t>IHS_ZNZ_056M</t>
  </si>
  <si>
    <t>CI01094</t>
  </si>
  <si>
    <t>Kamele</t>
  </si>
  <si>
    <t>IHS_FMG_074M</t>
  </si>
  <si>
    <t>CI01095</t>
  </si>
  <si>
    <t>Equigold</t>
  </si>
  <si>
    <t>IHS_LGN_708M</t>
  </si>
  <si>
    <t>CI01149</t>
  </si>
  <si>
    <t>Mbonoua</t>
  </si>
  <si>
    <t>IHS_WRD_025M</t>
  </si>
  <si>
    <t>CI01152</t>
  </si>
  <si>
    <t>Fadyadougou</t>
  </si>
  <si>
    <t>IHS_HSD_100M</t>
  </si>
  <si>
    <t>CI01160</t>
  </si>
  <si>
    <t>Noukpoudou</t>
  </si>
  <si>
    <t>IHS_MCY_014M</t>
  </si>
  <si>
    <t>CI01163</t>
  </si>
  <si>
    <t>Guinkin</t>
  </si>
  <si>
    <t>IHS_LAC_070M</t>
  </si>
  <si>
    <t>CI01179</t>
  </si>
  <si>
    <t>Bonikro</t>
  </si>
  <si>
    <t>IHS_ZNZ_009M</t>
  </si>
  <si>
    <t>CI01185</t>
  </si>
  <si>
    <t>Taurean (Kouassi Ndawa)</t>
  </si>
  <si>
    <t>IHS_AGN_068M</t>
  </si>
  <si>
    <t>CI01188</t>
  </si>
  <si>
    <t>Banacomoe</t>
  </si>
  <si>
    <t>IHS_LGN_670M</t>
  </si>
  <si>
    <t>CI01191</t>
  </si>
  <si>
    <t>Allokoi</t>
  </si>
  <si>
    <t>IHS_AGN_051M</t>
  </si>
  <si>
    <t>CI01193</t>
  </si>
  <si>
    <t>Cotivo</t>
  </si>
  <si>
    <t>IHS_HSD_019M</t>
  </si>
  <si>
    <t>CI01195</t>
  </si>
  <si>
    <t>DaloaRteBouafle</t>
  </si>
  <si>
    <t>IHS_SBD_005M</t>
  </si>
  <si>
    <t>CI01202</t>
  </si>
  <si>
    <t>DivoDialogue</t>
  </si>
  <si>
    <t>IHS_LGN_455M</t>
  </si>
  <si>
    <t>CI01204</t>
  </si>
  <si>
    <t>Akomiembla2</t>
  </si>
  <si>
    <t>IHS_LGN_128M</t>
  </si>
  <si>
    <t>CI01206</t>
  </si>
  <si>
    <t>Abobodoume</t>
  </si>
  <si>
    <t>IHS_LGN_216M</t>
  </si>
  <si>
    <t>CI01208</t>
  </si>
  <si>
    <t>YopCampMilitaire</t>
  </si>
  <si>
    <t>IHS_LGN_339M</t>
  </si>
  <si>
    <t>CI01209</t>
  </si>
  <si>
    <t>Yop3emePont</t>
  </si>
  <si>
    <t>IHS_LGN_464M</t>
  </si>
  <si>
    <t>CI01210</t>
  </si>
  <si>
    <t>NiangonCie</t>
  </si>
  <si>
    <t>IHS_SCE_024M</t>
  </si>
  <si>
    <t>CI01249</t>
  </si>
  <si>
    <t>Etueboue</t>
  </si>
  <si>
    <t>IHS_ZNZ_060M</t>
  </si>
  <si>
    <t>CI01270</t>
  </si>
  <si>
    <t>Bania</t>
  </si>
  <si>
    <t>IHS_ZNZ_058M</t>
  </si>
  <si>
    <t>CI01277</t>
  </si>
  <si>
    <t>Sominansse</t>
  </si>
  <si>
    <t>IHS_VDB_091M</t>
  </si>
  <si>
    <t>CI01281</t>
  </si>
  <si>
    <t>Wendene</t>
  </si>
  <si>
    <t>IHS_FMG_031M</t>
  </si>
  <si>
    <t>CI01288</t>
  </si>
  <si>
    <t>MAMA</t>
  </si>
  <si>
    <t>IHS_SVN_001M</t>
  </si>
  <si>
    <t>CI01289</t>
  </si>
  <si>
    <t>KorhogoNEW</t>
  </si>
  <si>
    <t>IHS_LGN_337M</t>
  </si>
  <si>
    <t>CI01291</t>
  </si>
  <si>
    <t>Yop1</t>
  </si>
  <si>
    <t>IHS_LGN_135M</t>
  </si>
  <si>
    <t>CI01294</t>
  </si>
  <si>
    <t>Toit-rouge2 (Yop5)</t>
  </si>
  <si>
    <t>IHS_LGN_211M</t>
  </si>
  <si>
    <t>CI01295</t>
  </si>
  <si>
    <t>Yop4</t>
  </si>
  <si>
    <t>IHS_LGN_283M</t>
  </si>
  <si>
    <t>CI01296</t>
  </si>
  <si>
    <t>Yop6</t>
  </si>
  <si>
    <t>IHS_LGN_052M</t>
  </si>
  <si>
    <t>CI01297</t>
  </si>
  <si>
    <t>Adjame1</t>
  </si>
  <si>
    <t>IHS_SCE_074M</t>
  </si>
  <si>
    <t>CI01305</t>
  </si>
  <si>
    <t>BassamPlage</t>
  </si>
  <si>
    <t>IHS_SCE_054M</t>
  </si>
  <si>
    <t>CI01306</t>
  </si>
  <si>
    <t>AssiniePlage</t>
  </si>
  <si>
    <t>IHS_LGN_054M</t>
  </si>
  <si>
    <t>CI01320</t>
  </si>
  <si>
    <t>LyceeTechArobase</t>
  </si>
  <si>
    <t>IHS_LGN_254M</t>
  </si>
  <si>
    <t>CI01325</t>
  </si>
  <si>
    <t>Riviera II@</t>
  </si>
  <si>
    <t>IHS_SCE_067M</t>
  </si>
  <si>
    <t>CI01360</t>
  </si>
  <si>
    <t>BonouaFO</t>
  </si>
  <si>
    <t>IHS_LGN_720M</t>
  </si>
  <si>
    <t>CI01383</t>
  </si>
  <si>
    <t>Debrimou</t>
  </si>
  <si>
    <t>IHS_BAF_014M</t>
  </si>
  <si>
    <t>CI01393</t>
  </si>
  <si>
    <t>Kountiguisso</t>
  </si>
  <si>
    <t>IHS_SCE_039M</t>
  </si>
  <si>
    <t>CI01411</t>
  </si>
  <si>
    <t>UsinePalmci V3</t>
  </si>
  <si>
    <t>IHS_SVN_064M</t>
  </si>
  <si>
    <t>CI01415</t>
  </si>
  <si>
    <t>Boundiali3</t>
  </si>
  <si>
    <t>IHS_HSD_086M</t>
  </si>
  <si>
    <t>CI01427</t>
  </si>
  <si>
    <t>VAVOUACENTRE</t>
  </si>
  <si>
    <t>IHS_LGN_191M</t>
  </si>
  <si>
    <t>CI01454</t>
  </si>
  <si>
    <t>AgbanNew</t>
  </si>
  <si>
    <t>IHS_LGN_611M</t>
  </si>
  <si>
    <t>CI01456</t>
  </si>
  <si>
    <t>Abatta</t>
  </si>
  <si>
    <t>IHS_LGN_371M</t>
  </si>
  <si>
    <t>CI01459</t>
  </si>
  <si>
    <t>PalmeraieNew</t>
  </si>
  <si>
    <t>IHS_ZNZ_064M</t>
  </si>
  <si>
    <t>CI01465</t>
  </si>
  <si>
    <t>Bouko</t>
  </si>
  <si>
    <t>IHS_ZNZ_068M</t>
  </si>
  <si>
    <t>CI01466</t>
  </si>
  <si>
    <t>Varalé</t>
  </si>
  <si>
    <t>IHS_FMG_006M</t>
  </si>
  <si>
    <t>CI01474</t>
  </si>
  <si>
    <t>GagnoaNQnew</t>
  </si>
  <si>
    <t>IHS_BSD_020M</t>
  </si>
  <si>
    <t>CI01475</t>
  </si>
  <si>
    <t>SanPedroNitro</t>
  </si>
  <si>
    <t>IHS_AGN_065M</t>
  </si>
  <si>
    <t>CI01535</t>
  </si>
  <si>
    <t>Azaguie</t>
  </si>
  <si>
    <t>IHS_LGN_515M</t>
  </si>
  <si>
    <t>CI01539</t>
  </si>
  <si>
    <t>AboboGareNewDCS</t>
  </si>
  <si>
    <t>IHS_LGN_399M</t>
  </si>
  <si>
    <t>CI01548</t>
  </si>
  <si>
    <t>Riv-LabogemNew</t>
  </si>
  <si>
    <t>IHS_LGN_276M</t>
  </si>
  <si>
    <t>CI01568</t>
  </si>
  <si>
    <t>BietrySTA</t>
  </si>
  <si>
    <t>IHS_HSD_111M</t>
  </si>
  <si>
    <t>CI01569</t>
  </si>
  <si>
    <t>Vrouho_NEW</t>
  </si>
  <si>
    <t>IHS_LGN_744M</t>
  </si>
  <si>
    <t>CI01573</t>
  </si>
  <si>
    <t>Kossandji_NEW</t>
  </si>
  <si>
    <t>IHS_LGN_148M</t>
  </si>
  <si>
    <t>CI01584</t>
  </si>
  <si>
    <t>AdjameCasse</t>
  </si>
  <si>
    <t>IHS_LGN_567M</t>
  </si>
  <si>
    <t>CI01587</t>
  </si>
  <si>
    <t>Abobobocabo</t>
  </si>
  <si>
    <t>IHS_LGN_674M</t>
  </si>
  <si>
    <t>CI01588</t>
  </si>
  <si>
    <t>AnyamaNew</t>
  </si>
  <si>
    <t>IHS_LGN_576M</t>
  </si>
  <si>
    <t>CI01590</t>
  </si>
  <si>
    <t>OkahotelBis</t>
  </si>
  <si>
    <t>IHS_LGN_280M</t>
  </si>
  <si>
    <t>CI01592</t>
  </si>
  <si>
    <t>Yopm.Gouro</t>
  </si>
  <si>
    <t>IHS_DHM_005M</t>
  </si>
  <si>
    <t>CI01594</t>
  </si>
  <si>
    <t>MANSEA</t>
  </si>
  <si>
    <t>IHS_AGN_056M</t>
  </si>
  <si>
    <t>CI01601</t>
  </si>
  <si>
    <t>PetitYapo</t>
  </si>
  <si>
    <t>IHS_BSD_013M</t>
  </si>
  <si>
    <t>CI01629</t>
  </si>
  <si>
    <t>SPChateau</t>
  </si>
  <si>
    <t>IHS_VDB_001M</t>
  </si>
  <si>
    <t>CI01630</t>
  </si>
  <si>
    <t>CITT Bouake</t>
  </si>
  <si>
    <t>IHS_NCE_051M</t>
  </si>
  <si>
    <t>CI01647</t>
  </si>
  <si>
    <t>Daoukro2New</t>
  </si>
  <si>
    <t>IHS_WRD_055O</t>
  </si>
  <si>
    <t>CENTRE_URBAIN</t>
  </si>
  <si>
    <t>IHS_LGN_616O</t>
  </si>
  <si>
    <t>ABATA</t>
  </si>
  <si>
    <t>IHS_LGN_653O</t>
  </si>
  <si>
    <t>ABEBROUKOI</t>
  </si>
  <si>
    <t>IHS_NCE_014O</t>
  </si>
  <si>
    <t>AGNIAN</t>
  </si>
  <si>
    <t>IHS_LGN_718O</t>
  </si>
  <si>
    <t>AKROU</t>
  </si>
  <si>
    <t>IHS_LAC_004O</t>
  </si>
  <si>
    <t>CACTUS</t>
  </si>
  <si>
    <t>IHS_LGN_706O</t>
  </si>
  <si>
    <t>CRO_LAYO</t>
  </si>
  <si>
    <t>IHS_HSD_021O</t>
  </si>
  <si>
    <t>KIBOUO</t>
  </si>
  <si>
    <t>IHS_AGN_055O</t>
  </si>
  <si>
    <t>GD_YAPO</t>
  </si>
  <si>
    <t>IHS_AGN_075O</t>
  </si>
  <si>
    <t>GOMON</t>
  </si>
  <si>
    <t>IHS_BSD_168O</t>
  </si>
  <si>
    <t>OUREYO</t>
  </si>
  <si>
    <t>IHS_LGN_714O</t>
  </si>
  <si>
    <t>RWOD</t>
  </si>
  <si>
    <t>IHS_MCE_055O</t>
  </si>
  <si>
    <t>SAPH_SAIBE</t>
  </si>
  <si>
    <t>IHS_VDB_023O</t>
  </si>
  <si>
    <t>SEGUENON</t>
  </si>
  <si>
    <t>IHS_NCE_005O</t>
  </si>
  <si>
    <t>SOKORA</t>
  </si>
  <si>
    <t>IHS_VDB_006O</t>
  </si>
  <si>
    <t>TSF</t>
  </si>
  <si>
    <t>IHS_BSD_164O</t>
  </si>
  <si>
    <t>YACOLIDABOUO</t>
  </si>
  <si>
    <t>IHS_FMG_037O</t>
  </si>
  <si>
    <t>ZEBIZEKOU</t>
  </si>
  <si>
    <t>IHS_DHM_054M</t>
  </si>
  <si>
    <t>CI00866</t>
  </si>
  <si>
    <t>Itty</t>
  </si>
  <si>
    <t>MLL</t>
  </si>
  <si>
    <t>IHS_AGN_073O</t>
  </si>
  <si>
    <t>IHS_LGN_158O</t>
  </si>
  <si>
    <t>IHS_SVN_083O</t>
  </si>
  <si>
    <t>IHS_WRD_037O</t>
  </si>
  <si>
    <t>IHS_WRD_042O</t>
  </si>
  <si>
    <t>ORESS-KROBOU</t>
  </si>
  <si>
    <t>CCT</t>
  </si>
  <si>
    <t>KANAKONO</t>
  </si>
  <si>
    <t>DJIBROSSO</t>
  </si>
  <si>
    <t>MORONDO</t>
  </si>
  <si>
    <t>IHS_BSD_211O</t>
  </si>
  <si>
    <t>IHS_DHM_006O</t>
  </si>
  <si>
    <t>IHS_DHM_066O</t>
  </si>
  <si>
    <t>IHS_FMG_042O</t>
  </si>
  <si>
    <t>IHS_FMG_067O</t>
  </si>
  <si>
    <t>IHS_HSD_011O</t>
  </si>
  <si>
    <t>IHS_HSD_012O</t>
  </si>
  <si>
    <t>IHS_HSD_063O</t>
  </si>
  <si>
    <t>IHS_HSD_088O</t>
  </si>
  <si>
    <t>IHS_MCY_018O</t>
  </si>
  <si>
    <t>IHS_MCY_068O</t>
  </si>
  <si>
    <t>IHS_MRH_067O</t>
  </si>
  <si>
    <t>IHS_SBD_046O</t>
  </si>
  <si>
    <t>SOUBRE_RIVER</t>
  </si>
  <si>
    <t>LIBREVILLE</t>
  </si>
  <si>
    <t>ESCADRON</t>
  </si>
  <si>
    <t>ORLY</t>
  </si>
  <si>
    <t>HOUIN</t>
  </si>
  <si>
    <t>KOUDOULILIE</t>
  </si>
  <si>
    <t>GBOMBELO</t>
  </si>
  <si>
    <t>GUEZEM</t>
  </si>
  <si>
    <t>LEBRE</t>
  </si>
  <si>
    <t>NAKIAHIO</t>
  </si>
  <si>
    <t>DIBOBLI</t>
  </si>
  <si>
    <t>NV BONON</t>
  </si>
  <si>
    <t>IHS_AGN_002O</t>
  </si>
  <si>
    <t>IHS_AGN_007O</t>
  </si>
  <si>
    <t>IHS_AGN_009O</t>
  </si>
  <si>
    <t>IHS_AGN_012O</t>
  </si>
  <si>
    <t>IHS_AGN_019O</t>
  </si>
  <si>
    <t>IHS_AGN_020O</t>
  </si>
  <si>
    <t>IHS_AGN_023O</t>
  </si>
  <si>
    <t>IHS_AGN_027O</t>
  </si>
  <si>
    <t>IHS_AGN_034O</t>
  </si>
  <si>
    <t>IHS_AGN_040O</t>
  </si>
  <si>
    <t>IHS_AGN_048O</t>
  </si>
  <si>
    <t>IHS_AGN_054O</t>
  </si>
  <si>
    <t>IHS_AGN_060O</t>
  </si>
  <si>
    <t>IHS_AGN_067O</t>
  </si>
  <si>
    <t>IHS_AGN_071O</t>
  </si>
  <si>
    <t>IHS_BAF_001O</t>
  </si>
  <si>
    <t>IHS_BAF_005O</t>
  </si>
  <si>
    <t>IHS_BAF_007O</t>
  </si>
  <si>
    <t>IHS_BAF_010O</t>
  </si>
  <si>
    <t>IHS_BAF_015O</t>
  </si>
  <si>
    <t>IHS_BAF_018O</t>
  </si>
  <si>
    <t>IHS_BAF_020O</t>
  </si>
  <si>
    <t>IHS_BAF_021O</t>
  </si>
  <si>
    <t>IHS_BSD_001O</t>
  </si>
  <si>
    <t>IHS_BSD_005O</t>
  </si>
  <si>
    <t>IHS_BSD_018O</t>
  </si>
  <si>
    <t>IHS_BSD_024O</t>
  </si>
  <si>
    <t>IHS_BSD_031O</t>
  </si>
  <si>
    <t>IHS_BSD_034O</t>
  </si>
  <si>
    <t>IHS_BSD_038O</t>
  </si>
  <si>
    <t>IHS_BSD_039O</t>
  </si>
  <si>
    <t>IHS_BSD_040O</t>
  </si>
  <si>
    <t>IHS_BSD_042O</t>
  </si>
  <si>
    <t>IHS_BSD_047O</t>
  </si>
  <si>
    <t>IHS_BSD_050O</t>
  </si>
  <si>
    <t>IHS_BSD_051O</t>
  </si>
  <si>
    <t>IHS_BSD_052O</t>
  </si>
  <si>
    <t>IHS_BSD_055O</t>
  </si>
  <si>
    <t>IHS_BSD_066O</t>
  </si>
  <si>
    <t>IHS_BSD_069O</t>
  </si>
  <si>
    <t>IHS_BSD_072O</t>
  </si>
  <si>
    <t>IHS_BSD_075O</t>
  </si>
  <si>
    <t>IHS_BSD_078O</t>
  </si>
  <si>
    <t>IHS_BSD_089O</t>
  </si>
  <si>
    <t>IHS_BSD_092O</t>
  </si>
  <si>
    <t>IHS_BSD_095O</t>
  </si>
  <si>
    <t>IHS_BSD_098O</t>
  </si>
  <si>
    <t>IHS_BSD_103O</t>
  </si>
  <si>
    <t>IHS_BSD_112O</t>
  </si>
  <si>
    <t>IHS_BSD_114O</t>
  </si>
  <si>
    <t>IHS_BSD_116O</t>
  </si>
  <si>
    <t>IHS_BSD_120O</t>
  </si>
  <si>
    <t>IHS_BSD_124O</t>
  </si>
  <si>
    <t>IHS_BSD_125O</t>
  </si>
  <si>
    <t>IHS_BSD_132O</t>
  </si>
  <si>
    <t>IHS_BSD_135O</t>
  </si>
  <si>
    <t>IHS_BSD_140O</t>
  </si>
  <si>
    <t>IHS_BSD_141O</t>
  </si>
  <si>
    <t>IHS_BSD_142O</t>
  </si>
  <si>
    <t>IHS_BSD_150O</t>
  </si>
  <si>
    <t>IHS_BSD_151O</t>
  </si>
  <si>
    <t>IHS_BSD_162O</t>
  </si>
  <si>
    <t>IHS_BSD_166O</t>
  </si>
  <si>
    <t>IHS_BSD_170O</t>
  </si>
  <si>
    <t>IHS_BSD_174O</t>
  </si>
  <si>
    <t>IHS_BSD_189O</t>
  </si>
  <si>
    <t>IHS_DHM_002O</t>
  </si>
  <si>
    <t>IHS_DHM_009O</t>
  </si>
  <si>
    <t>IHS_DHM_019O</t>
  </si>
  <si>
    <t>IHS_DHM_023O</t>
  </si>
  <si>
    <t>IHS_DHM_025O</t>
  </si>
  <si>
    <t>IHS_DHM_027O</t>
  </si>
  <si>
    <t>IHS_DHM_044O</t>
  </si>
  <si>
    <t>IHS_DHM_056O</t>
  </si>
  <si>
    <t>IHS_DHM_059O</t>
  </si>
  <si>
    <t>IHS_DNG_005O</t>
  </si>
  <si>
    <t>IHS_DNG_011O</t>
  </si>
  <si>
    <t>IHS_DNG_017O</t>
  </si>
  <si>
    <t>IHS_DNG_029O</t>
  </si>
  <si>
    <t>IHS_DNG_032O</t>
  </si>
  <si>
    <t>IHS_DNG_036O</t>
  </si>
  <si>
    <t>IHS_FMG_004O</t>
  </si>
  <si>
    <t>IHS_FMG_008O</t>
  </si>
  <si>
    <t>IHS_FMG_010O</t>
  </si>
  <si>
    <t>IHS_FMG_011O</t>
  </si>
  <si>
    <t>IHS_FMG_015O</t>
  </si>
  <si>
    <t>IHS_FMG_019O</t>
  </si>
  <si>
    <t>IHS_FMG_026O</t>
  </si>
  <si>
    <t>IHS_FMG_030O</t>
  </si>
  <si>
    <t>IHS_FMG_033O</t>
  </si>
  <si>
    <t>IHS_FMG_038O</t>
  </si>
  <si>
    <t>IHS_FMG_040O</t>
  </si>
  <si>
    <t>IHS_FMG_041O</t>
  </si>
  <si>
    <t>IHS_FMG_049O</t>
  </si>
  <si>
    <t>IHS_FMG_060O</t>
  </si>
  <si>
    <t>IHS_FMG_063O</t>
  </si>
  <si>
    <t>IHS_FMG_068O</t>
  </si>
  <si>
    <t>IHS_FMG_071O</t>
  </si>
  <si>
    <t>IHS_FMG_077O</t>
  </si>
  <si>
    <t>IHS_FMG_078O</t>
  </si>
  <si>
    <t>IHS_HSD_002O</t>
  </si>
  <si>
    <t>IHS_HSD_005O</t>
  </si>
  <si>
    <t>IHS_HSD_016O</t>
  </si>
  <si>
    <t>IHS_HSD_026O</t>
  </si>
  <si>
    <t>IHS_HSD_029O</t>
  </si>
  <si>
    <t>IHS_HSD_032O</t>
  </si>
  <si>
    <t>IHS_HSD_039O</t>
  </si>
  <si>
    <t>IHS_HSD_042O</t>
  </si>
  <si>
    <t>IHS_HSD_050O</t>
  </si>
  <si>
    <t>IHS_HSD_051O</t>
  </si>
  <si>
    <t>IHS_HSD_052O</t>
  </si>
  <si>
    <t>IHS_HSD_055O</t>
  </si>
  <si>
    <t>IHS_HSD_059O</t>
  </si>
  <si>
    <t>IHS_HSD_065O</t>
  </si>
  <si>
    <t>IHS_HSD_066O</t>
  </si>
  <si>
    <t>IHS_HSD_073O</t>
  </si>
  <si>
    <t>IHS_HSD_077O</t>
  </si>
  <si>
    <t>IHS_HSD_081O</t>
  </si>
  <si>
    <t>IHS_HSD_082O</t>
  </si>
  <si>
    <t>IHS_HSD_084O</t>
  </si>
  <si>
    <t>IHS_HSD_091O</t>
  </si>
  <si>
    <t>IHS_HSD_101O</t>
  </si>
  <si>
    <t>IHS_HSD_105O</t>
  </si>
  <si>
    <t>IHS_HSD_106O</t>
  </si>
  <si>
    <t>IHS_LAC_006O</t>
  </si>
  <si>
    <t>IHS_LAC_007O</t>
  </si>
  <si>
    <t>IHS_LAC_018O</t>
  </si>
  <si>
    <t>IHS_LAC_020O</t>
  </si>
  <si>
    <t>IHS_LAC_025O</t>
  </si>
  <si>
    <t>IHS_LAC_026O</t>
  </si>
  <si>
    <t>IHS_LAC_027O</t>
  </si>
  <si>
    <t>IHS_LAC_043O</t>
  </si>
  <si>
    <t>IHS_LAC_055O</t>
  </si>
  <si>
    <t>IHS_LAC_056O</t>
  </si>
  <si>
    <t>IHS_LAC_058O</t>
  </si>
  <si>
    <t>IHS_LAC_059O</t>
  </si>
  <si>
    <t>IHS_LAC_063O</t>
  </si>
  <si>
    <t>IHS_LAC_072O</t>
  </si>
  <si>
    <t>IHS_LAC_079O</t>
  </si>
  <si>
    <t>IHS_LAC_090O</t>
  </si>
  <si>
    <t>IHS_LAC_092O</t>
  </si>
  <si>
    <t>IHS_LGN_002O</t>
  </si>
  <si>
    <t>IHS_LGN_004O</t>
  </si>
  <si>
    <t>IHS_LGN_006O</t>
  </si>
  <si>
    <t>IHS_LGN_008O</t>
  </si>
  <si>
    <t>IHS_LGN_015O</t>
  </si>
  <si>
    <t>IHS_LGN_023O</t>
  </si>
  <si>
    <t>IHS_LGN_029O</t>
  </si>
  <si>
    <t>IHS_LGN_032O</t>
  </si>
  <si>
    <t>IHS_LGN_038O</t>
  </si>
  <si>
    <t>IHS_LGN_041O</t>
  </si>
  <si>
    <t>IHS_LGN_044O</t>
  </si>
  <si>
    <t>IHS_LGN_045O</t>
  </si>
  <si>
    <t>IHS_LGN_048O</t>
  </si>
  <si>
    <t>IHS_LGN_059O</t>
  </si>
  <si>
    <t>IHS_LGN_062O</t>
  </si>
  <si>
    <t>IHS_LGN_067O</t>
  </si>
  <si>
    <t>IHS_LGN_068O</t>
  </si>
  <si>
    <t>IHS_LGN_077O</t>
  </si>
  <si>
    <t>IHS_LGN_078O</t>
  </si>
  <si>
    <t>IHS_LGN_083O</t>
  </si>
  <si>
    <t>IHS_LGN_084O</t>
  </si>
  <si>
    <t>IHS_LGN_088O</t>
  </si>
  <si>
    <t>IHS_LGN_089O</t>
  </si>
  <si>
    <t>IHS_LGN_090O</t>
  </si>
  <si>
    <t>IHS_LGN_093O</t>
  </si>
  <si>
    <t>IHS_LGN_100O</t>
  </si>
  <si>
    <t>IHS_LGN_103O</t>
  </si>
  <si>
    <t>IHS_LGN_105O</t>
  </si>
  <si>
    <t>IHS_LGN_109O</t>
  </si>
  <si>
    <t>IHS_LGN_110O</t>
  </si>
  <si>
    <t>IHS_LGN_111O</t>
  </si>
  <si>
    <t>IHS_LGN_115O</t>
  </si>
  <si>
    <t>IHS_LGN_121O</t>
  </si>
  <si>
    <t>IHS_LGN_124O</t>
  </si>
  <si>
    <t>IHS_LGN_125O</t>
  </si>
  <si>
    <t>IHS_LGN_127O</t>
  </si>
  <si>
    <t>IHS_LGN_129O</t>
  </si>
  <si>
    <t>IHS_LGN_131O</t>
  </si>
  <si>
    <t>IHS_LGN_133O</t>
  </si>
  <si>
    <t>IHS_LGN_141O</t>
  </si>
  <si>
    <t>IHS_LGN_142O</t>
  </si>
  <si>
    <t>IHS_LGN_144O</t>
  </si>
  <si>
    <t>IHS_LGN_149O</t>
  </si>
  <si>
    <t>IHS_LGN_150O</t>
  </si>
  <si>
    <t>IHS_LGN_155O</t>
  </si>
  <si>
    <t>IHS_LGN_157O</t>
  </si>
  <si>
    <t>IHS_LGN_160O</t>
  </si>
  <si>
    <t>IHS_LGN_165O</t>
  </si>
  <si>
    <t>IHS_LGN_169O</t>
  </si>
  <si>
    <t>IHS_LGN_170O</t>
  </si>
  <si>
    <t>IHS_LGN_172O</t>
  </si>
  <si>
    <t>IHS_LGN_180O</t>
  </si>
  <si>
    <t>IHS_LGN_181O</t>
  </si>
  <si>
    <t>IHS_LGN_183O</t>
  </si>
  <si>
    <t>IHS_LGN_185O</t>
  </si>
  <si>
    <t>IHS_LGN_188O</t>
  </si>
  <si>
    <t>IHS_LGN_190O</t>
  </si>
  <si>
    <t>IHS_LGN_197O</t>
  </si>
  <si>
    <t>IHS_LGN_200O</t>
  </si>
  <si>
    <t>IHS_LGN_201O</t>
  </si>
  <si>
    <t>IHS_LGN_202O</t>
  </si>
  <si>
    <t>IHS_LGN_203O</t>
  </si>
  <si>
    <t>IHS_LGN_205O</t>
  </si>
  <si>
    <t>IHS_LGN_209O</t>
  </si>
  <si>
    <t>IHS_LGN_212O</t>
  </si>
  <si>
    <t>IHS_LGN_213O</t>
  </si>
  <si>
    <t>IHS_LGN_224O</t>
  </si>
  <si>
    <t>IHS_LGN_225O</t>
  </si>
  <si>
    <t>IHS_LGN_226O</t>
  </si>
  <si>
    <t>IHS_LGN_231O</t>
  </si>
  <si>
    <t>IHS_LGN_232O</t>
  </si>
  <si>
    <t>IHS_LGN_237O</t>
  </si>
  <si>
    <t>IHS_LGN_238O</t>
  </si>
  <si>
    <t>IHS_LGN_242O</t>
  </si>
  <si>
    <t>IHS_LGN_246O</t>
  </si>
  <si>
    <t>IHS_LGN_249O</t>
  </si>
  <si>
    <t>IHS_LGN_251O</t>
  </si>
  <si>
    <t>IHS_LGN_252O</t>
  </si>
  <si>
    <t>IHS_LGN_257O</t>
  </si>
  <si>
    <t>IHS_LGN_265O</t>
  </si>
  <si>
    <t>IHS_LGN_266O</t>
  </si>
  <si>
    <t>IHS_LGN_269O</t>
  </si>
  <si>
    <t>IHS_LGN_272O</t>
  </si>
  <si>
    <t>IHS_LGN_273O</t>
  </si>
  <si>
    <t>IHS_LGN_277O</t>
  </si>
  <si>
    <t>IHS_LGN_278O</t>
  </si>
  <si>
    <t>IHS_LGN_281O</t>
  </si>
  <si>
    <t>IHS_LGN_285O</t>
  </si>
  <si>
    <t>IHS_LGN_287O</t>
  </si>
  <si>
    <t>IHS_LGN_292O</t>
  </si>
  <si>
    <t>IHS_LGN_299O</t>
  </si>
  <si>
    <t>IHS_LGN_300O</t>
  </si>
  <si>
    <t>IHS_LGN_301O</t>
  </si>
  <si>
    <t>IHS_LGN_302O</t>
  </si>
  <si>
    <t>IHS_LGN_303O</t>
  </si>
  <si>
    <t>IHS_LGN_305O</t>
  </si>
  <si>
    <t>IHS_LGN_307O</t>
  </si>
  <si>
    <t>IHS_LGN_311O</t>
  </si>
  <si>
    <t>IHS_LGN_312O</t>
  </si>
  <si>
    <t>IHS_LGN_313O</t>
  </si>
  <si>
    <t>IHS_LGN_315O</t>
  </si>
  <si>
    <t>IHS_LGN_321O</t>
  </si>
  <si>
    <t>IHS_LGN_341O</t>
  </si>
  <si>
    <t>IHS_LGN_343O</t>
  </si>
  <si>
    <t>IHS_LGN_344O</t>
  </si>
  <si>
    <t>IHS_LGN_346O</t>
  </si>
  <si>
    <t>IHS_LGN_348O</t>
  </si>
  <si>
    <t>IHS_LGN_350O</t>
  </si>
  <si>
    <t>IHS_LGN_354O</t>
  </si>
  <si>
    <t>IHS_LGN_361O</t>
  </si>
  <si>
    <t>IHS_LGN_366O</t>
  </si>
  <si>
    <t>IHS_LGN_367O</t>
  </si>
  <si>
    <t>IHS_LGN_379O</t>
  </si>
  <si>
    <t>IHS_LGN_382O</t>
  </si>
  <si>
    <t>IHS_LGN_384O</t>
  </si>
  <si>
    <t>IHS_LGN_389O</t>
  </si>
  <si>
    <t>IHS_LGN_403O</t>
  </si>
  <si>
    <t>IHS_LGN_408O</t>
  </si>
  <si>
    <t>IHS_LGN_410O</t>
  </si>
  <si>
    <t>IHS_LGN_414O</t>
  </si>
  <si>
    <t>IHS_LGN_415O</t>
  </si>
  <si>
    <t>IHS_LGN_422O</t>
  </si>
  <si>
    <t>IHS_LGN_423O</t>
  </si>
  <si>
    <t>IHS_LGN_425O</t>
  </si>
  <si>
    <t>IHS_LGN_429O</t>
  </si>
  <si>
    <t>IHS_LGN_439O</t>
  </si>
  <si>
    <t>IHS_LGN_441O</t>
  </si>
  <si>
    <t>IHS_LGN_444O</t>
  </si>
  <si>
    <t>IHS_LGN_448O</t>
  </si>
  <si>
    <t>IHS_LGN_457O</t>
  </si>
  <si>
    <t>IHS_LGN_461O</t>
  </si>
  <si>
    <t>IHS_LGN_465O</t>
  </si>
  <si>
    <t>IHS_LGN_468O</t>
  </si>
  <si>
    <t>IHS_LGN_478O</t>
  </si>
  <si>
    <t>IHS_LGN_479O</t>
  </si>
  <si>
    <t>IHS_LGN_482O</t>
  </si>
  <si>
    <t>IHS_LGN_486O</t>
  </si>
  <si>
    <t>IHS_LGN_490O</t>
  </si>
  <si>
    <t>IHS_LGN_491O</t>
  </si>
  <si>
    <t>IHS_LGN_494O</t>
  </si>
  <si>
    <t>IHS_LGN_499O</t>
  </si>
  <si>
    <t>IHS_LGN_502O</t>
  </si>
  <si>
    <t>IHS_LGN_503O</t>
  </si>
  <si>
    <t>IHS_LGN_507O</t>
  </si>
  <si>
    <t>IHS_LGN_512O</t>
  </si>
  <si>
    <t>IHS_LGN_521O</t>
  </si>
  <si>
    <t>IHS_LGN_523O</t>
  </si>
  <si>
    <t>IHS_LGN_527O</t>
  </si>
  <si>
    <t>IHS_LGN_528O</t>
  </si>
  <si>
    <t>IHS_LGN_533O</t>
  </si>
  <si>
    <t>IHS_LGN_534O</t>
  </si>
  <si>
    <t>IHS_LGN_535O</t>
  </si>
  <si>
    <t>IHS_LGN_538O</t>
  </si>
  <si>
    <t>IHS_LGN_539O</t>
  </si>
  <si>
    <t>IHS_LGN_540O</t>
  </si>
  <si>
    <t>IHS_LGN_541O</t>
  </si>
  <si>
    <t>IHS_LGN_543O</t>
  </si>
  <si>
    <t>IHS_LGN_544O</t>
  </si>
  <si>
    <t>IHS_LGN_549O</t>
  </si>
  <si>
    <t>IHS_LGN_550O</t>
  </si>
  <si>
    <t>IHS_LGN_558O</t>
  </si>
  <si>
    <t>IHS_LGN_560O</t>
  </si>
  <si>
    <t>IHS_LGN_561O</t>
  </si>
  <si>
    <t>IHS_LGN_566O</t>
  </si>
  <si>
    <t>IHS_LGN_573O</t>
  </si>
  <si>
    <t>IHS_LGN_578O</t>
  </si>
  <si>
    <t>IHS_LGN_585O</t>
  </si>
  <si>
    <t>IHS_LGN_587O</t>
  </si>
  <si>
    <t>IHS_LGN_588O</t>
  </si>
  <si>
    <t>IHS_LGN_593O</t>
  </si>
  <si>
    <t>IHS_LGN_598O</t>
  </si>
  <si>
    <t>IHS_LGN_599O</t>
  </si>
  <si>
    <t>IHS_LGN_600O</t>
  </si>
  <si>
    <t>IHS_LGN_602O</t>
  </si>
  <si>
    <t>IHS_LGN_608O</t>
  </si>
  <si>
    <t>IHS_LGN_610O</t>
  </si>
  <si>
    <t>IHS_LGN_615O</t>
  </si>
  <si>
    <t>IHS_LGN_619O</t>
  </si>
  <si>
    <t>IHS_LGN_623O</t>
  </si>
  <si>
    <t>IHS_LGN_626O</t>
  </si>
  <si>
    <t>IHS_LGN_627O</t>
  </si>
  <si>
    <t>IHS_LGN_630O</t>
  </si>
  <si>
    <t>IHS_LGN_632O</t>
  </si>
  <si>
    <t>IHS_LGN_639O</t>
  </si>
  <si>
    <t>IHS_LGN_645O</t>
  </si>
  <si>
    <t>IHS_LGN_646O</t>
  </si>
  <si>
    <t>IHS_LGN_656O</t>
  </si>
  <si>
    <t>IHS_LGN_660O</t>
  </si>
  <si>
    <t>IHS_LGN_661O</t>
  </si>
  <si>
    <t>IHS_LGN_667O</t>
  </si>
  <si>
    <t>IHS_LGN_676O</t>
  </si>
  <si>
    <t>IHS_LGN_682O</t>
  </si>
  <si>
    <t>IHS_LGN_690O</t>
  </si>
  <si>
    <t>IHS_LGN_705O</t>
  </si>
  <si>
    <t>IHS_LGN_713O</t>
  </si>
  <si>
    <t>IHS_LGN_728O</t>
  </si>
  <si>
    <t>IHS_LGN_739O</t>
  </si>
  <si>
    <t>IHS_LGN_742O</t>
  </si>
  <si>
    <t>IHS_LGN_748O</t>
  </si>
  <si>
    <t>IHS_LGN_759O</t>
  </si>
  <si>
    <t>IHS_LGN_768O</t>
  </si>
  <si>
    <t>IHS_LGN_772O</t>
  </si>
  <si>
    <t>IHS_LGN_776O</t>
  </si>
  <si>
    <t>IHS_LGN_783O</t>
  </si>
  <si>
    <t>IHS_LGN_789O</t>
  </si>
  <si>
    <t>IHS_LGN_793O</t>
  </si>
  <si>
    <t>IHS_LGN_957O</t>
  </si>
  <si>
    <t>IHS_LGN_961O</t>
  </si>
  <si>
    <t>IHS_LGN_978O</t>
  </si>
  <si>
    <t>IHS_MCE_001O</t>
  </si>
  <si>
    <t>IHS_MCE_002O</t>
  </si>
  <si>
    <t>IHS_MCE_004O</t>
  </si>
  <si>
    <t>IHS_MCE_007O</t>
  </si>
  <si>
    <t>IHS_MCE_009O</t>
  </si>
  <si>
    <t>IHS_MCE_015O</t>
  </si>
  <si>
    <t>IHS_MCE_020O</t>
  </si>
  <si>
    <t>IHS_MCE_024O</t>
  </si>
  <si>
    <t>IHS_MCE_029O</t>
  </si>
  <si>
    <t>IHS_MCE_030O</t>
  </si>
  <si>
    <t>IHS_MCE_033O</t>
  </si>
  <si>
    <t>IHS_MCE_035O</t>
  </si>
  <si>
    <t>IHS_MCE_036O</t>
  </si>
  <si>
    <t>IHS_MCE_041O</t>
  </si>
  <si>
    <t>IHS_MCE_045O</t>
  </si>
  <si>
    <t>IHS_MCE_048O</t>
  </si>
  <si>
    <t>IHS_MCE_050O</t>
  </si>
  <si>
    <t>IHS_MCE_052O</t>
  </si>
  <si>
    <t>IHS_MCE_056O</t>
  </si>
  <si>
    <t>IHS_MCY_002O</t>
  </si>
  <si>
    <t>IHS_MCY_010O</t>
  </si>
  <si>
    <t>IHS_MCY_012O</t>
  </si>
  <si>
    <t>IHS_MCY_017O</t>
  </si>
  <si>
    <t>IHS_MCY_022O</t>
  </si>
  <si>
    <t>IHS_MCY_028O</t>
  </si>
  <si>
    <t>IHS_MCY_030O</t>
  </si>
  <si>
    <t>IHS_MCY_031O</t>
  </si>
  <si>
    <t>IHS_MCY_032O</t>
  </si>
  <si>
    <t>IHS_MCY_040O</t>
  </si>
  <si>
    <t>IHS_MCY_043O</t>
  </si>
  <si>
    <t>IHS_MCY_047O</t>
  </si>
  <si>
    <t>IHS_MCY_052O</t>
  </si>
  <si>
    <t>IHS_MCY_055O</t>
  </si>
  <si>
    <t>IHS_MCY_057O</t>
  </si>
  <si>
    <t>IHS_MRH_002O</t>
  </si>
  <si>
    <t>IHS_MRH_007O</t>
  </si>
  <si>
    <t>IHS_MRH_011O</t>
  </si>
  <si>
    <t>IHS_MRH_016O</t>
  </si>
  <si>
    <t>IHS_MRH_024O</t>
  </si>
  <si>
    <t>IHS_MRH_025O</t>
  </si>
  <si>
    <t>IHS_MRH_028O</t>
  </si>
  <si>
    <t>IHS_MRH_030O</t>
  </si>
  <si>
    <t>IHS_MRH_037O</t>
  </si>
  <si>
    <t>IHS_MRH_040O</t>
  </si>
  <si>
    <t>IHS_MRH_041O</t>
  </si>
  <si>
    <t>IHS_MRH_042O</t>
  </si>
  <si>
    <t>IHS_MRH_044O</t>
  </si>
  <si>
    <t>IHS_MRH_047O</t>
  </si>
  <si>
    <t>IHS_MRH_049O</t>
  </si>
  <si>
    <t>IHS_MRH_053O</t>
  </si>
  <si>
    <t>IHS_MRH_058O</t>
  </si>
  <si>
    <t>IHS_NCE_001O</t>
  </si>
  <si>
    <t>IHS_NCE_020O</t>
  </si>
  <si>
    <t>IHS_NCE_022O</t>
  </si>
  <si>
    <t>IHS_NCE_028O</t>
  </si>
  <si>
    <t>IHS_NCE_034O</t>
  </si>
  <si>
    <t>IHS_NCE_042O</t>
  </si>
  <si>
    <t>IHS_NCE_045O</t>
  </si>
  <si>
    <t>IHS_NCE_046O</t>
  </si>
  <si>
    <t>IHS_NCE_053O</t>
  </si>
  <si>
    <t>IHS_NCE_056O</t>
  </si>
  <si>
    <t>IHS_NCE_059O</t>
  </si>
  <si>
    <t>IHS_NCE_060O</t>
  </si>
  <si>
    <t>IHS_NCE_065O</t>
  </si>
  <si>
    <t>IHS_NCE_068O</t>
  </si>
  <si>
    <t>IHS_NCE_069O</t>
  </si>
  <si>
    <t>IHS_NCE_072O</t>
  </si>
  <si>
    <t>IHS_SBD_002O</t>
  </si>
  <si>
    <t>IHS_SBD_003O</t>
  </si>
  <si>
    <t>IHS_SBD_022O</t>
  </si>
  <si>
    <t>IHS_SBD_029O</t>
  </si>
  <si>
    <t>IHS_SBD_030O</t>
  </si>
  <si>
    <t>IHS_SBD_038O</t>
  </si>
  <si>
    <t>IHS_SBD_045O</t>
  </si>
  <si>
    <t>IHS_SBD_059O</t>
  </si>
  <si>
    <t>IHS_SBD_060O</t>
  </si>
  <si>
    <t>IHS_SBD_067O</t>
  </si>
  <si>
    <t>IHS_SBD_077O</t>
  </si>
  <si>
    <t>IHS_SBD_083O</t>
  </si>
  <si>
    <t>IHS_SCE_009O</t>
  </si>
  <si>
    <t>IHS_SCE_016O</t>
  </si>
  <si>
    <t>IHS_SCE_021O</t>
  </si>
  <si>
    <t>IHS_SCE_023O</t>
  </si>
  <si>
    <t>IHS_SCE_028O</t>
  </si>
  <si>
    <t>IHS_SCE_030O</t>
  </si>
  <si>
    <t>IHS_SCE_035O</t>
  </si>
  <si>
    <t>IHS_SCE_036O</t>
  </si>
  <si>
    <t>IHS_SCE_043O</t>
  </si>
  <si>
    <t>IHS_SCE_044O</t>
  </si>
  <si>
    <t>IHS_SCE_051O</t>
  </si>
  <si>
    <t>IHS_SCE_052O</t>
  </si>
  <si>
    <t>IHS_SCE_062O</t>
  </si>
  <si>
    <t>IHS_SCE_069O</t>
  </si>
  <si>
    <t>IHS_SCE_072O</t>
  </si>
  <si>
    <t>IHS_SCE_077O</t>
  </si>
  <si>
    <t>IHS_SCE_079O</t>
  </si>
  <si>
    <t>IHS_SCE_080O</t>
  </si>
  <si>
    <t>IHS_SVN_009O</t>
  </si>
  <si>
    <t>IHS_SVN_021O</t>
  </si>
  <si>
    <t>IHS_SVN_022O</t>
  </si>
  <si>
    <t>IHS_SVN_029O</t>
  </si>
  <si>
    <t>IHS_SVN_031O</t>
  </si>
  <si>
    <t>IHS_SVN_035O</t>
  </si>
  <si>
    <t>IHS_SVN_036O</t>
  </si>
  <si>
    <t>IHS_SVN_038O</t>
  </si>
  <si>
    <t>IHS_SVN_043O</t>
  </si>
  <si>
    <t>IHS_SVN_047O</t>
  </si>
  <si>
    <t>IHS_SVN_051O</t>
  </si>
  <si>
    <t>IHS_SVN_055O</t>
  </si>
  <si>
    <t>IHS_SVN_056O</t>
  </si>
  <si>
    <t>IHS_SVN_066O</t>
  </si>
  <si>
    <t>IHS_SVN_072O</t>
  </si>
  <si>
    <t>IHS_SVN_077O</t>
  </si>
  <si>
    <t>IHS_SVN_078O</t>
  </si>
  <si>
    <t>IHS_SVN_087O</t>
  </si>
  <si>
    <t>IHS_SVN_111O</t>
  </si>
  <si>
    <t>IHS_SVN_145O</t>
  </si>
  <si>
    <t>IHS_VDB_003O</t>
  </si>
  <si>
    <t>IHS_VDB_005O</t>
  </si>
  <si>
    <t>IHS_VDB_010O</t>
  </si>
  <si>
    <t>IHS_VDB_011O</t>
  </si>
  <si>
    <t>IHS_VDB_013O</t>
  </si>
  <si>
    <t>IHS_VDB_015O</t>
  </si>
  <si>
    <t>IHS_VDB_024O</t>
  </si>
  <si>
    <t>IHS_VDB_027O</t>
  </si>
  <si>
    <t>IHS_VDB_035O</t>
  </si>
  <si>
    <t>IHS_VDB_038O</t>
  </si>
  <si>
    <t>IHS_VDB_045O</t>
  </si>
  <si>
    <t>IHS_VDB_047O</t>
  </si>
  <si>
    <t>IHS_VDB_052O</t>
  </si>
  <si>
    <t>IHS_VDB_053O</t>
  </si>
  <si>
    <t>IHS_VDB_057O</t>
  </si>
  <si>
    <t>IHS_VDB_061O</t>
  </si>
  <si>
    <t>IHS_VDB_064O</t>
  </si>
  <si>
    <t>IHS_VDB_065O</t>
  </si>
  <si>
    <t>IHS_VDB_067O</t>
  </si>
  <si>
    <t>IHS_VDB_069O</t>
  </si>
  <si>
    <t>IHS_VDB_071O</t>
  </si>
  <si>
    <t>IHS_VDB_074O</t>
  </si>
  <si>
    <t>IHS_VDB_085O</t>
  </si>
  <si>
    <t>IHS_VDB_090O</t>
  </si>
  <si>
    <t>IHS_VDB_093O</t>
  </si>
  <si>
    <t>IHS_VDB_134O</t>
  </si>
  <si>
    <t>IHS_WRD_008O</t>
  </si>
  <si>
    <t>IHS_WRD_011O</t>
  </si>
  <si>
    <t>IHS_WRD_015O</t>
  </si>
  <si>
    <t>IHS_WRD_016O</t>
  </si>
  <si>
    <t>IHS_WRD_022O</t>
  </si>
  <si>
    <t>IHS_WRD_034O</t>
  </si>
  <si>
    <t>IHS_WRD_045O</t>
  </si>
  <si>
    <t>IHS_ZNZ_001O</t>
  </si>
  <si>
    <t>IHS_ZNZ_005O</t>
  </si>
  <si>
    <t>IHS_ZNZ_013O</t>
  </si>
  <si>
    <t>IHS_ZNZ_019O</t>
  </si>
  <si>
    <t>IHS_ZNZ_022O</t>
  </si>
  <si>
    <t>IHS_ZNZ_031O</t>
  </si>
  <si>
    <t>IHS_ZNZ_032O</t>
  </si>
  <si>
    <t>IHS_ZNZ_048O</t>
  </si>
  <si>
    <t>IHS_ZNZ_049O</t>
  </si>
  <si>
    <t>IHS_ZNZ_067O</t>
  </si>
  <si>
    <t>IHS_ZNZ_070O</t>
  </si>
  <si>
    <t>IHS_ZNZ_072O</t>
  </si>
  <si>
    <t>IHS_ZNZ_073O</t>
  </si>
  <si>
    <t>ADZOPE</t>
  </si>
  <si>
    <t>BIASSO</t>
  </si>
  <si>
    <t>IRF</t>
  </si>
  <si>
    <t>MOAPE</t>
  </si>
  <si>
    <t>ASSIKOI</t>
  </si>
  <si>
    <t>AGOU</t>
  </si>
  <si>
    <t>ANANGUIE_ADZOPE</t>
  </si>
  <si>
    <t>BOUAPE</t>
  </si>
  <si>
    <t>ANNEPE</t>
  </si>
  <si>
    <t>ABIE_CIT</t>
  </si>
  <si>
    <t>AKOUPE</t>
  </si>
  <si>
    <t>EYEMON</t>
  </si>
  <si>
    <t>AGNEBY</t>
  </si>
  <si>
    <t>BONAHOUIN</t>
  </si>
  <si>
    <t>BILEKRO</t>
  </si>
  <si>
    <t>CECHI</t>
  </si>
  <si>
    <t>TOUBA</t>
  </si>
  <si>
    <t>SIPILOU</t>
  </si>
  <si>
    <t>BOROTOU KORO</t>
  </si>
  <si>
    <t>RELAIS COMPLEXE</t>
  </si>
  <si>
    <t>Relais Sinkoro</t>
  </si>
  <si>
    <t>DJE</t>
  </si>
  <si>
    <t>SEWEKE</t>
  </si>
  <si>
    <t>SAN_PEDRO</t>
  </si>
  <si>
    <t>DEGNY</t>
  </si>
  <si>
    <t>WATE</t>
  </si>
  <si>
    <t>NERO BROUSSE</t>
  </si>
  <si>
    <t>GD_BEREBY</t>
  </si>
  <si>
    <t>HANNIE CARREFOUR</t>
  </si>
  <si>
    <t>MOUSSADOUGOU</t>
  </si>
  <si>
    <t>RAPID GRAS</t>
  </si>
  <si>
    <t>DAGADJI</t>
  </si>
  <si>
    <t>GLIGBEUADJI</t>
  </si>
  <si>
    <t>COLATIER</t>
  </si>
  <si>
    <t>DEKO</t>
  </si>
  <si>
    <t>DJAPADJI</t>
  </si>
  <si>
    <t>KLOTOU</t>
  </si>
  <si>
    <t>SASSANDRA</t>
  </si>
  <si>
    <t>KOBITI</t>
  </si>
  <si>
    <t>NOGBOLO</t>
  </si>
  <si>
    <t>DAKPADOU</t>
  </si>
  <si>
    <t>IBOKE</t>
  </si>
  <si>
    <t>OUPOYO</t>
  </si>
  <si>
    <t>SIPEFCI</t>
  </si>
  <si>
    <t>NEKA</t>
  </si>
  <si>
    <t>SAGO</t>
  </si>
  <si>
    <t>BALEKO</t>
  </si>
  <si>
    <t>GNIPY</t>
  </si>
  <si>
    <t>MABEHIRI</t>
  </si>
  <si>
    <t>BOGREKO</t>
  </si>
  <si>
    <t>BAKAYO</t>
  </si>
  <si>
    <t>SOUBOUO</t>
  </si>
  <si>
    <t>NABOUI</t>
  </si>
  <si>
    <t>GNIZAKO</t>
  </si>
  <si>
    <t>SARAKAGUI</t>
  </si>
  <si>
    <t>ADEBEM</t>
  </si>
  <si>
    <t>YABAYO</t>
  </si>
  <si>
    <t>GBAKAYO</t>
  </si>
  <si>
    <t>KONEDOUGOU</t>
  </si>
  <si>
    <t>MAYO</t>
  </si>
  <si>
    <t>PGI</t>
  </si>
  <si>
    <t>PODIAGOUINE</t>
  </si>
  <si>
    <t>BIANKOUMA</t>
  </si>
  <si>
    <t>KABAKOUMA</t>
  </si>
  <si>
    <t>DANANE</t>
  </si>
  <si>
    <t>ZOUANHOUNIEN</t>
  </si>
  <si>
    <t>BINHOUYE</t>
  </si>
  <si>
    <t>ODIENNE</t>
  </si>
  <si>
    <t>SAMATIGUILA</t>
  </si>
  <si>
    <t>SEYDOUGOU</t>
  </si>
  <si>
    <t>MADINANI</t>
  </si>
  <si>
    <t>TIENKO</t>
  </si>
  <si>
    <t>CHATEAU</t>
  </si>
  <si>
    <t>BABRE</t>
  </si>
  <si>
    <t>GNOUSSO</t>
  </si>
  <si>
    <t>ANADER</t>
  </si>
  <si>
    <t>DEIGNA</t>
  </si>
  <si>
    <t>KOKOUEZO</t>
  </si>
  <si>
    <t>AHIZABRE</t>
  </si>
  <si>
    <t>OURAGAHIO</t>
  </si>
  <si>
    <t>GNAGBODOUGNOA</t>
  </si>
  <si>
    <t>LAHOUDA</t>
  </si>
  <si>
    <t>TEHIRI</t>
  </si>
  <si>
    <t>YOPOHUE</t>
  </si>
  <si>
    <t>GALEBOUO</t>
  </si>
  <si>
    <t>TONLA</t>
  </si>
  <si>
    <t>SAKAHOUO</t>
  </si>
  <si>
    <t>DOUKOUYA</t>
  </si>
  <si>
    <t>OUME</t>
  </si>
  <si>
    <t>OUME 2</t>
  </si>
  <si>
    <t>CISSOKO</t>
  </si>
  <si>
    <t>HUBERSON</t>
  </si>
  <si>
    <t>STBO</t>
  </si>
  <si>
    <t>LOBOGUIGUIA</t>
  </si>
  <si>
    <t>SEFLA</t>
  </si>
  <si>
    <t>GNOUMA</t>
  </si>
  <si>
    <t>DAHIRA</t>
  </si>
  <si>
    <t>BAHOULIFLA</t>
  </si>
  <si>
    <t>KETRO-BASSAM</t>
  </si>
  <si>
    <t>ISSIA_QUATRE</t>
  </si>
  <si>
    <t>ISSIA</t>
  </si>
  <si>
    <t>MIRA</t>
  </si>
  <si>
    <t>DANIA</t>
  </si>
  <si>
    <t>GABIA</t>
  </si>
  <si>
    <t>IBOGUHE</t>
  </si>
  <si>
    <t>COVALMA</t>
  </si>
  <si>
    <t>PELEZI</t>
  </si>
  <si>
    <t>LUEHOUAN</t>
  </si>
  <si>
    <t>BROUDOUKOU_PENDA</t>
  </si>
  <si>
    <t>BROUAFLA NATTIS</t>
  </si>
  <si>
    <t>THERESE</t>
  </si>
  <si>
    <t>ZAHER</t>
  </si>
  <si>
    <t>SOPIM</t>
  </si>
  <si>
    <t>MARLY</t>
  </si>
  <si>
    <t>KOKRENOU</t>
  </si>
  <si>
    <t>MOROFE</t>
  </si>
  <si>
    <t>RESIDENCE227</t>
  </si>
  <si>
    <t>ZATTA</t>
  </si>
  <si>
    <t>KOSSOU</t>
  </si>
  <si>
    <t>ANGONDA</t>
  </si>
  <si>
    <t>TIEBISSOU</t>
  </si>
  <si>
    <t>TIEBISSOU 2</t>
  </si>
  <si>
    <t>BINAVA</t>
  </si>
  <si>
    <t>ASSOUNVOUE</t>
  </si>
  <si>
    <t>NGATADOLIKRO</t>
  </si>
  <si>
    <t>TIENDIEKRO</t>
  </si>
  <si>
    <t xml:space="preserve">SINDENOU  </t>
  </si>
  <si>
    <t>INDENIE</t>
  </si>
  <si>
    <t>RESERVE</t>
  </si>
  <si>
    <t>CARENA</t>
  </si>
  <si>
    <t>SOGEFIHA</t>
  </si>
  <si>
    <t>SEBROKO</t>
  </si>
  <si>
    <t>BIA_NORD</t>
  </si>
  <si>
    <t>FORUM</t>
  </si>
  <si>
    <t>ATLANTIC</t>
  </si>
  <si>
    <t>CHARDY</t>
  </si>
  <si>
    <t>MARCHE GOURO</t>
  </si>
  <si>
    <t>BIDJANTE</t>
  </si>
  <si>
    <t>PYRAMIDE</t>
  </si>
  <si>
    <t>CNTIG</t>
  </si>
  <si>
    <t>BAD</t>
  </si>
  <si>
    <t>GARE</t>
  </si>
  <si>
    <t>OITH</t>
  </si>
  <si>
    <t>ROXY</t>
  </si>
  <si>
    <t>GRATRY</t>
  </si>
  <si>
    <t>BORIJA</t>
  </si>
  <si>
    <t>STIFF</t>
  </si>
  <si>
    <t>MISTRAL</t>
  </si>
  <si>
    <t>ST_JOSEPH</t>
  </si>
  <si>
    <t>MIRADOR</t>
  </si>
  <si>
    <t>BETANI</t>
  </si>
  <si>
    <t>ST_JEAN</t>
  </si>
  <si>
    <t>CARINE</t>
  </si>
  <si>
    <t>CITE FAIRMONT</t>
  </si>
  <si>
    <t>BABEL</t>
  </si>
  <si>
    <t>LATIN</t>
  </si>
  <si>
    <t>STE_MARIE</t>
  </si>
  <si>
    <t>SDV</t>
  </si>
  <si>
    <t>CULTURE</t>
  </si>
  <si>
    <t>BLOKOSSO</t>
  </si>
  <si>
    <t>SODEFOR</t>
  </si>
  <si>
    <t>PALM_CLUB</t>
  </si>
  <si>
    <t>MERMOZ</t>
  </si>
  <si>
    <t>INSAAC</t>
  </si>
  <si>
    <t>SIFCA</t>
  </si>
  <si>
    <t>RUE_12</t>
  </si>
  <si>
    <t>BOISSY</t>
  </si>
  <si>
    <t>VIRUS</t>
  </si>
  <si>
    <t>DEPAUL</t>
  </si>
  <si>
    <t>BAE</t>
  </si>
  <si>
    <t>MISA</t>
  </si>
  <si>
    <t>TREICHOTEL</t>
  </si>
  <si>
    <t>NGOH</t>
  </si>
  <si>
    <t>ASSOMPTION</t>
  </si>
  <si>
    <t>TOIT_ROUGE</t>
  </si>
  <si>
    <t>ENA</t>
  </si>
  <si>
    <t>MILLIONNAIRE</t>
  </si>
  <si>
    <t>FAKRY</t>
  </si>
  <si>
    <t>OLYMPE</t>
  </si>
  <si>
    <t>PRICHOC</t>
  </si>
  <si>
    <t>STE_RUTH</t>
  </si>
  <si>
    <t>LAGUNE</t>
  </si>
  <si>
    <t>PHCIE BELAIR</t>
  </si>
  <si>
    <t>ARRAS</t>
  </si>
  <si>
    <t>MOTORAGRI</t>
  </si>
  <si>
    <t>MEECI</t>
  </si>
  <si>
    <t>SARAKA</t>
  </si>
  <si>
    <t>OHIENNE</t>
  </si>
  <si>
    <t>PAILLET</t>
  </si>
  <si>
    <t>BELLEVILLE</t>
  </si>
  <si>
    <t>SOCOCE</t>
  </si>
  <si>
    <t>SEAMENS</t>
  </si>
  <si>
    <t>RITCH</t>
  </si>
  <si>
    <t>CLUB</t>
  </si>
  <si>
    <t>SOLIBRA</t>
  </si>
  <si>
    <t>WASSAKARA</t>
  </si>
  <si>
    <t>RIVIERA</t>
  </si>
  <si>
    <t>PRINCESSE</t>
  </si>
  <si>
    <t>KOUTE</t>
  </si>
  <si>
    <t>SEPI</t>
  </si>
  <si>
    <t>MAGIC</t>
  </si>
  <si>
    <t>WAKOUBOUE</t>
  </si>
  <si>
    <t>ST_ANDRE</t>
  </si>
  <si>
    <t>SAGUIDIBA</t>
  </si>
  <si>
    <t>TERMINUS40</t>
  </si>
  <si>
    <t>FIGAYO</t>
  </si>
  <si>
    <t>GOLF</t>
  </si>
  <si>
    <t>GOLF_HOTEL</t>
  </si>
  <si>
    <t>BABIA</t>
  </si>
  <si>
    <t>ANONO</t>
  </si>
  <si>
    <t>SABLE</t>
  </si>
  <si>
    <t>ANDOKOI</t>
  </si>
  <si>
    <t>ST_ELYSEE</t>
  </si>
  <si>
    <t>ATTOBAN</t>
  </si>
  <si>
    <t>ANOMA</t>
  </si>
  <si>
    <t>PMI</t>
  </si>
  <si>
    <t>SACHE</t>
  </si>
  <si>
    <t>MANHATTAN</t>
  </si>
  <si>
    <t>JEAN_LEFEBVRE</t>
  </si>
  <si>
    <t>PERGOLA</t>
  </si>
  <si>
    <t>AMITIE</t>
  </si>
  <si>
    <t>FROEBEL</t>
  </si>
  <si>
    <t>TAUMAN</t>
  </si>
  <si>
    <t>SIDECI</t>
  </si>
  <si>
    <t>SIPOREX</t>
  </si>
  <si>
    <t>PERLES</t>
  </si>
  <si>
    <t>MILLE MAQUIS</t>
  </si>
  <si>
    <t>STE_FAMILLE</t>
  </si>
  <si>
    <t>ORCHIDEE</t>
  </si>
  <si>
    <t>ANADOR</t>
  </si>
  <si>
    <t>REMBLAIS</t>
  </si>
  <si>
    <t>OSCAR</t>
  </si>
  <si>
    <t>YALE</t>
  </si>
  <si>
    <t>ALLABRA</t>
  </si>
  <si>
    <t>MERCEDES</t>
  </si>
  <si>
    <t>ST_HERMAN</t>
  </si>
  <si>
    <t>FOUGEROLE</t>
  </si>
  <si>
    <t>ZUBLIN</t>
  </si>
  <si>
    <t>LIBELLULE</t>
  </si>
  <si>
    <t>CISSE</t>
  </si>
  <si>
    <t>AZITO</t>
  </si>
  <si>
    <t>KOUDOUSS</t>
  </si>
  <si>
    <t>IBIS</t>
  </si>
  <si>
    <t>COLOMBE</t>
  </si>
  <si>
    <t>DJOMI</t>
  </si>
  <si>
    <t>ALLIODAN</t>
  </si>
  <si>
    <t>CEMA</t>
  </si>
  <si>
    <t>FLORALIE</t>
  </si>
  <si>
    <t>SOLEIL</t>
  </si>
  <si>
    <t>BINATE</t>
  </si>
  <si>
    <t>JANE</t>
  </si>
  <si>
    <t>CLIMBIE</t>
  </si>
  <si>
    <t>STE_MONIQUE</t>
  </si>
  <si>
    <t>OUEZIN</t>
  </si>
  <si>
    <t>ROSIERS</t>
  </si>
  <si>
    <t>BONHEUR</t>
  </si>
  <si>
    <t>SACRE_COEUR</t>
  </si>
  <si>
    <t>ANANERAIE</t>
  </si>
  <si>
    <t>LOKOUA</t>
  </si>
  <si>
    <t>STAR</t>
  </si>
  <si>
    <t>STOKI</t>
  </si>
  <si>
    <t>MARAIS</t>
  </si>
  <si>
    <t>OASIS</t>
  </si>
  <si>
    <t>TERRAFRIC</t>
  </si>
  <si>
    <t>KOUMASSI</t>
  </si>
  <si>
    <t>AJAVON</t>
  </si>
  <si>
    <t>ANGRE_TERMINAL</t>
  </si>
  <si>
    <t>SABOB</t>
  </si>
  <si>
    <t>GSP</t>
  </si>
  <si>
    <t>SAGECIM</t>
  </si>
  <si>
    <t>FANNY</t>
  </si>
  <si>
    <t>DJIBI-CIT</t>
  </si>
  <si>
    <t>SAMAKE</t>
  </si>
  <si>
    <t>MESANO</t>
  </si>
  <si>
    <t>ST_LAURENT</t>
  </si>
  <si>
    <t>MANOUA</t>
  </si>
  <si>
    <t>PETROCI</t>
  </si>
  <si>
    <t>AKOUEDO</t>
  </si>
  <si>
    <t>YEMI</t>
  </si>
  <si>
    <t>CITE_VERTE</t>
  </si>
  <si>
    <t>MAITE</t>
  </si>
  <si>
    <t>INTERBAT</t>
  </si>
  <si>
    <t>ABOBO</t>
  </si>
  <si>
    <t>ABOBO_UTB</t>
  </si>
  <si>
    <t>METHODISTE</t>
  </si>
  <si>
    <t>ORLEANS</t>
  </si>
  <si>
    <t>GANDOUR</t>
  </si>
  <si>
    <t>SONACO</t>
  </si>
  <si>
    <t>ACADEMIE</t>
  </si>
  <si>
    <t>NOUFOUN</t>
  </si>
  <si>
    <t>AKWABA</t>
  </si>
  <si>
    <t>CAMPEMENT</t>
  </si>
  <si>
    <t>ANGAMAN</t>
  </si>
  <si>
    <t>CITE_ATCI</t>
  </si>
  <si>
    <t>GENIE_2000</t>
  </si>
  <si>
    <t>VESOS</t>
  </si>
  <si>
    <t>PORT BOUET CIT</t>
  </si>
  <si>
    <t>KIYALA</t>
  </si>
  <si>
    <t>BRETON</t>
  </si>
  <si>
    <t>KANIGUI</t>
  </si>
  <si>
    <t>KANATE</t>
  </si>
  <si>
    <t>OCEAN</t>
  </si>
  <si>
    <t>ST_MATHIEU</t>
  </si>
  <si>
    <t>EMMANUEL</t>
  </si>
  <si>
    <t>NANOU</t>
  </si>
  <si>
    <t>GBOABLE</t>
  </si>
  <si>
    <t>SOUSSABA</t>
  </si>
  <si>
    <t>EPHRATA</t>
  </si>
  <si>
    <t>CITE_SIR</t>
  </si>
  <si>
    <t>ABOBO_NORD</t>
  </si>
  <si>
    <t>DICK</t>
  </si>
  <si>
    <t>SIRENE</t>
  </si>
  <si>
    <t>KABIBI</t>
  </si>
  <si>
    <t>NDOTRE</t>
  </si>
  <si>
    <t>BINGERVILLE</t>
  </si>
  <si>
    <t>SHIGUE</t>
  </si>
  <si>
    <t>ST_EXUPERY</t>
  </si>
  <si>
    <t>FALIKOU</t>
  </si>
  <si>
    <t>JEAN_FOLLY</t>
  </si>
  <si>
    <t>ANYAMA</t>
  </si>
  <si>
    <t>ATTINGUIE</t>
  </si>
  <si>
    <t>OGHLWAPO</t>
  </si>
  <si>
    <t>PC_DABOU</t>
  </si>
  <si>
    <t>JACQUEVILLE</t>
  </si>
  <si>
    <t>ELIBOU</t>
  </si>
  <si>
    <t>BAKANOU</t>
  </si>
  <si>
    <t>ADDAH</t>
  </si>
  <si>
    <t>TOUKOUZOU</t>
  </si>
  <si>
    <t>BACANDA</t>
  </si>
  <si>
    <t>GD_LAHOU</t>
  </si>
  <si>
    <t>MOROKRO</t>
  </si>
  <si>
    <t>KOYEKRO</t>
  </si>
  <si>
    <t>ZOZOKOI</t>
  </si>
  <si>
    <t>BONIKRO</t>
  </si>
  <si>
    <t>ST_MARC</t>
  </si>
  <si>
    <t>DIAKITE</t>
  </si>
  <si>
    <t>ALERIA</t>
  </si>
  <si>
    <t>CELESTE</t>
  </si>
  <si>
    <t>ABENGOUROU</t>
  </si>
  <si>
    <t>DIOCESE</t>
  </si>
  <si>
    <t>ROYAL</t>
  </si>
  <si>
    <t>ORYX</t>
  </si>
  <si>
    <t>NZASSA</t>
  </si>
  <si>
    <t>SANKADIOKRO</t>
  </si>
  <si>
    <t>ANIASSUE</t>
  </si>
  <si>
    <t>NIABLE</t>
  </si>
  <si>
    <t>ZARANOU</t>
  </si>
  <si>
    <t>AKOBOISSUE</t>
  </si>
  <si>
    <t>DUFFREBO</t>
  </si>
  <si>
    <t>EBILASSOKRO</t>
  </si>
  <si>
    <t>NIANDA</t>
  </si>
  <si>
    <t>TANGUELAN</t>
  </si>
  <si>
    <t>DAME</t>
  </si>
  <si>
    <t>AGNIBILEKRO</t>
  </si>
  <si>
    <t>CHOUMAN</t>
  </si>
  <si>
    <t>DIAMARAKRO</t>
  </si>
  <si>
    <t>BETTIE</t>
  </si>
  <si>
    <t>GUIGLO</t>
  </si>
  <si>
    <t>PONA</t>
  </si>
  <si>
    <t>DUEKOUE</t>
  </si>
  <si>
    <t>HONDE</t>
  </si>
  <si>
    <t>GLAZAÏ</t>
  </si>
  <si>
    <t>GUEHIEBLY</t>
  </si>
  <si>
    <t>AKEKRO</t>
  </si>
  <si>
    <t>BAGOHOUO</t>
  </si>
  <si>
    <t>DOKE</t>
  </si>
  <si>
    <t>PAULEOULA</t>
  </si>
  <si>
    <t>PEHE</t>
  </si>
  <si>
    <t>BAKOUBLI</t>
  </si>
  <si>
    <t>TIOBLY</t>
  </si>
  <si>
    <t>BOUAFLE</t>
  </si>
  <si>
    <t>GARANGO</t>
  </si>
  <si>
    <t>PAKOUABO</t>
  </si>
  <si>
    <t>BOZI</t>
  </si>
  <si>
    <t>DIANOUFLA</t>
  </si>
  <si>
    <t>SANEGOURIFLA</t>
  </si>
  <si>
    <t>BOUNAFLA</t>
  </si>
  <si>
    <t>KONEFLA</t>
  </si>
  <si>
    <t>SOLOTE</t>
  </si>
  <si>
    <t>ZEMENEFLAB</t>
  </si>
  <si>
    <t>IRIEGBAFLA</t>
  </si>
  <si>
    <t>MANFLA</t>
  </si>
  <si>
    <t>KOUETINFLA</t>
  </si>
  <si>
    <t>GOHITAFLA</t>
  </si>
  <si>
    <t>ZAMBLA</t>
  </si>
  <si>
    <t>KANZRA</t>
  </si>
  <si>
    <t>SUCRIVOIRE</t>
  </si>
  <si>
    <t>DIMBOKRO</t>
  </si>
  <si>
    <t>BOUADIKRO</t>
  </si>
  <si>
    <t>ANOUMAMBA</t>
  </si>
  <si>
    <t>ASSIE_KOUMASSI</t>
  </si>
  <si>
    <t>BONGOUANOU_CTRL</t>
  </si>
  <si>
    <t>KOUASSIKRO</t>
  </si>
  <si>
    <t>BROU_AKPAHOUSSOU</t>
  </si>
  <si>
    <t>ARRAH</t>
  </si>
  <si>
    <t>ZENITH</t>
  </si>
  <si>
    <t>MBAHIAKRO</t>
  </si>
  <si>
    <t>OUELLE</t>
  </si>
  <si>
    <t>KONGOTI</t>
  </si>
  <si>
    <t>BONGUERA</t>
  </si>
  <si>
    <t>ETTROKRO</t>
  </si>
  <si>
    <t>PRIKRO</t>
  </si>
  <si>
    <t>YAOKRO</t>
  </si>
  <si>
    <t>DIALOGUE</t>
  </si>
  <si>
    <t>DIVO</t>
  </si>
  <si>
    <t>DIDOKO</t>
  </si>
  <si>
    <t>KOTCHERIE</t>
  </si>
  <si>
    <t>IROPORIA</t>
  </si>
  <si>
    <t>ZAROKO</t>
  </si>
  <si>
    <t>CHIEPO</t>
  </si>
  <si>
    <t>ZIKISSO</t>
  </si>
  <si>
    <t>GBAGBAM</t>
  </si>
  <si>
    <t>DAHIRI</t>
  </si>
  <si>
    <t>DASSIOKO</t>
  </si>
  <si>
    <t>NIAMBEZARIA</t>
  </si>
  <si>
    <t>AYAME</t>
  </si>
  <si>
    <t>NZIKRO</t>
  </si>
  <si>
    <t>EBIKRO_NDAKRO</t>
  </si>
  <si>
    <t>AFFIENOU</t>
  </si>
  <si>
    <t>DIBY</t>
  </si>
  <si>
    <t>ABOISSO_COMOE</t>
  </si>
  <si>
    <t>ABOISSO</t>
  </si>
  <si>
    <t>KOUAKRO</t>
  </si>
  <si>
    <t>MAFIA_CIT</t>
  </si>
  <si>
    <t>ATTIA</t>
  </si>
  <si>
    <t>MARINE</t>
  </si>
  <si>
    <t>DINGUI</t>
  </si>
  <si>
    <t>BIANOUAN</t>
  </si>
  <si>
    <t>MONDOUKOU</t>
  </si>
  <si>
    <t>LITTORAL</t>
  </si>
  <si>
    <t>IMPERIAL</t>
  </si>
  <si>
    <t>BASSAM</t>
  </si>
  <si>
    <t>KORHOGO_LYCEE</t>
  </si>
  <si>
    <t>KOMBORODOUGOU</t>
  </si>
  <si>
    <t>SINEMATIALI</t>
  </si>
  <si>
    <t>LANVIARA</t>
  </si>
  <si>
    <t>FERKE</t>
  </si>
  <si>
    <t>NIOFOIN</t>
  </si>
  <si>
    <t>TONGON VILLAGE</t>
  </si>
  <si>
    <t>SIRASSO</t>
  </si>
  <si>
    <t>SIEMPURGO</t>
  </si>
  <si>
    <t>MBENGUE</t>
  </si>
  <si>
    <t>DIAWALA</t>
  </si>
  <si>
    <t>OUANGOLO</t>
  </si>
  <si>
    <t>KOUTO</t>
  </si>
  <si>
    <t>POGO</t>
  </si>
  <si>
    <t>TOUNVRE</t>
  </si>
  <si>
    <t>TINGRELA</t>
  </si>
  <si>
    <t>SUCAF FERKE CIT</t>
  </si>
  <si>
    <t>BANAFORO</t>
  </si>
  <si>
    <t>AGENCE_BOUAKE</t>
  </si>
  <si>
    <t>SOKOURA_CIT_2</t>
  </si>
  <si>
    <t>MOHA</t>
  </si>
  <si>
    <t>AIRFRANCE</t>
  </si>
  <si>
    <t>AHOUGNANSOU</t>
  </si>
  <si>
    <t>DARESALAM</t>
  </si>
  <si>
    <t>FETEKRO</t>
  </si>
  <si>
    <t>GONFREVILLE</t>
  </si>
  <si>
    <t>DIABO</t>
  </si>
  <si>
    <t>BROBO</t>
  </si>
  <si>
    <t>BOTRO</t>
  </si>
  <si>
    <t>SAKASSOU</t>
  </si>
  <si>
    <t>KATIOLA_CIT</t>
  </si>
  <si>
    <t>BODOKRO</t>
  </si>
  <si>
    <t>TIMBE</t>
  </si>
  <si>
    <t>BEOUMI</t>
  </si>
  <si>
    <t>FRONAN</t>
  </si>
  <si>
    <t>VALY</t>
  </si>
  <si>
    <t>MARABADJASSA</t>
  </si>
  <si>
    <t>OUNANDIEKAHA</t>
  </si>
  <si>
    <t>SATAMA-SOKOURA</t>
  </si>
  <si>
    <t>BONIEREDOUGOU</t>
  </si>
  <si>
    <t>NIAKARA</t>
  </si>
  <si>
    <t>TORTIYA</t>
  </si>
  <si>
    <t>TAFIRE</t>
  </si>
  <si>
    <t>CIDT</t>
  </si>
  <si>
    <t>DUALLA</t>
  </si>
  <si>
    <t>MASSALA</t>
  </si>
  <si>
    <t>SIFIE</t>
  </si>
  <si>
    <t>TONHOULE</t>
  </si>
  <si>
    <t>MANKONO</t>
  </si>
  <si>
    <t>KONGASSO</t>
  </si>
  <si>
    <t>KOUNAHIRI</t>
  </si>
  <si>
    <t>BOUANDOUGOU</t>
  </si>
  <si>
    <t>BONDOUKOU</t>
  </si>
  <si>
    <t>ZANZAN</t>
  </si>
  <si>
    <t>SAPLI</t>
  </si>
  <si>
    <t>LAOUDIBA</t>
  </si>
  <si>
    <t>ASSUEFRY</t>
  </si>
  <si>
    <t>FLATCHEDOUGOU</t>
  </si>
  <si>
    <t>TRANSUA</t>
  </si>
  <si>
    <t>TANKESSE</t>
  </si>
  <si>
    <t>TANKESSE_2</t>
  </si>
  <si>
    <t>VARALE</t>
  </si>
  <si>
    <t>TEHINI</t>
  </si>
  <si>
    <t>DOROPO</t>
  </si>
  <si>
    <t>KANGUELE</t>
  </si>
  <si>
    <t>MOIS</t>
  </si>
  <si>
    <t>TRIMESTRE HT</t>
  </si>
  <si>
    <t>TVA</t>
  </si>
  <si>
    <t>PU</t>
  </si>
  <si>
    <t>MONTHLY</t>
  </si>
  <si>
    <t>MLL BPCI</t>
  </si>
  <si>
    <t>IHS_BSD_130O</t>
  </si>
  <si>
    <t>DJESSI</t>
  </si>
  <si>
    <t>IHS_DHM_004O</t>
  </si>
  <si>
    <t>DOMORAUD</t>
  </si>
  <si>
    <t>IHS_SCE_012O</t>
  </si>
  <si>
    <t>REUSSITE</t>
  </si>
  <si>
    <t>COLOCATION</t>
  </si>
  <si>
    <t>CI00158</t>
  </si>
  <si>
    <t>ATHENA 1</t>
  </si>
  <si>
    <t>CI05850</t>
  </si>
  <si>
    <t>CI09000</t>
  </si>
  <si>
    <t>CI09002</t>
  </si>
  <si>
    <t>CI09003</t>
  </si>
  <si>
    <t>CI09004</t>
  </si>
  <si>
    <t>CI09005</t>
  </si>
  <si>
    <t>CI09007</t>
  </si>
  <si>
    <t>CI09008</t>
  </si>
  <si>
    <t>CI09010</t>
  </si>
  <si>
    <t>CI09011</t>
  </si>
  <si>
    <t>CI09013</t>
  </si>
  <si>
    <t>CI09014</t>
  </si>
  <si>
    <t>CI09015</t>
  </si>
  <si>
    <t>CI09018</t>
  </si>
  <si>
    <t>CI09019</t>
  </si>
  <si>
    <t>CI09020</t>
  </si>
  <si>
    <t>CI09023</t>
  </si>
  <si>
    <t>CI09026</t>
  </si>
  <si>
    <t>CI09027</t>
  </si>
  <si>
    <t>CI09028</t>
  </si>
  <si>
    <t>CI09029</t>
  </si>
  <si>
    <t>CI09030</t>
  </si>
  <si>
    <t>CI09031</t>
  </si>
  <si>
    <t>CI09034</t>
  </si>
  <si>
    <t>CI09035</t>
  </si>
  <si>
    <t>CI09037</t>
  </si>
  <si>
    <t>CI09038</t>
  </si>
  <si>
    <t>CI09043</t>
  </si>
  <si>
    <t>CI09044</t>
  </si>
  <si>
    <t>CI09046</t>
  </si>
  <si>
    <t>CI09047</t>
  </si>
  <si>
    <t>IHS_LGN_033O</t>
  </si>
  <si>
    <t>IHS_LGN_678O</t>
  </si>
  <si>
    <t>WOUKOLO</t>
  </si>
  <si>
    <t>AHEREMOU_ADJEKRO</t>
  </si>
  <si>
    <t>AKOVIEBO</t>
  </si>
  <si>
    <t>AMICA</t>
  </si>
  <si>
    <t>BASILIQUE</t>
  </si>
  <si>
    <t>BEGNERI</t>
  </si>
  <si>
    <t>CANAAN</t>
  </si>
  <si>
    <t>CENTRALE_AZ</t>
  </si>
  <si>
    <t>ENI</t>
  </si>
  <si>
    <t>ENSTP</t>
  </si>
  <si>
    <t>FISHANDMEAT</t>
  </si>
  <si>
    <t>FONDATION</t>
  </si>
  <si>
    <t>KAVIESSOU</t>
  </si>
  <si>
    <t>KENDIA</t>
  </si>
  <si>
    <t>KOTIAKOFFIKRO</t>
  </si>
  <si>
    <t>LAPAIX</t>
  </si>
  <si>
    <t>MORONOU</t>
  </si>
  <si>
    <t>NAFANAN</t>
  </si>
  <si>
    <t>NAMBINGUE</t>
  </si>
  <si>
    <t>NDA</t>
  </si>
  <si>
    <t>NGUESSANKRO_BKE</t>
  </si>
  <si>
    <t>OFFOUMOU_YAPO</t>
  </si>
  <si>
    <t>SEMAN</t>
  </si>
  <si>
    <t>SITARAIL</t>
  </si>
  <si>
    <t>SOROBANGO</t>
  </si>
  <si>
    <t>TCHELEKRO</t>
  </si>
  <si>
    <t>UNICAFE</t>
  </si>
  <si>
    <t>YAOU_BIANOUAN</t>
  </si>
  <si>
    <t>ZEBRA</t>
  </si>
  <si>
    <t>ZIZIESSOU</t>
  </si>
  <si>
    <t>BANFORA</t>
  </si>
  <si>
    <t>SONGON MAIRIE</t>
  </si>
  <si>
    <t xml:space="preserve">NET A PAYER </t>
  </si>
  <si>
    <t>33 SITES TIERS</t>
  </si>
  <si>
    <t>IHS_DHM_076O</t>
  </si>
  <si>
    <t>IHS_LAC_102O</t>
  </si>
  <si>
    <t>IHS_LGN_822O</t>
  </si>
  <si>
    <t>IHS_LGN_827O</t>
  </si>
  <si>
    <t>IHS_LGN_834O</t>
  </si>
  <si>
    <t>IHS_LGN_848O</t>
  </si>
  <si>
    <t>IHS_LGN_850O</t>
  </si>
  <si>
    <t>IHS_LGN_853O</t>
  </si>
  <si>
    <t>IHS_LGN_854O</t>
  </si>
  <si>
    <t>IHS_LGN_856O</t>
  </si>
  <si>
    <t>IHS_LGN_859O</t>
  </si>
  <si>
    <t>IHS_LGN_866O</t>
  </si>
  <si>
    <t>IHS_LGN_870O</t>
  </si>
  <si>
    <t>IHS_MCE_061O</t>
  </si>
  <si>
    <t>IHS_MRH_069O</t>
  </si>
  <si>
    <t>IHS_NCE_085O</t>
  </si>
  <si>
    <t>IHS_SCE_095O</t>
  </si>
  <si>
    <t>IHS_VDB_108O</t>
  </si>
  <si>
    <t>IHS_ZNZ_081O</t>
  </si>
  <si>
    <t>NV ZOUAN_HOUIN</t>
  </si>
  <si>
    <t>AGEROUTE (Imprimerie Mracro)</t>
  </si>
  <si>
    <t>LANGEVIN</t>
  </si>
  <si>
    <t>NV NDOTRE</t>
  </si>
  <si>
    <t>PECHEUR NEW</t>
  </si>
  <si>
    <t>MAZEH (BIETRY 2)</t>
  </si>
  <si>
    <t>NV ADJAME 1</t>
  </si>
  <si>
    <t>GALIENI</t>
  </si>
  <si>
    <t>NV SDV</t>
  </si>
  <si>
    <t>GSPM</t>
  </si>
  <si>
    <t>NV NZASSA</t>
  </si>
  <si>
    <t>STE_ANNE</t>
  </si>
  <si>
    <t>POTON</t>
  </si>
  <si>
    <t>NV CIDT</t>
  </si>
  <si>
    <t>CI02919</t>
  </si>
  <si>
    <t>CI03138</t>
  </si>
  <si>
    <t>CI03137</t>
  </si>
  <si>
    <t>CI03136</t>
  </si>
  <si>
    <t>CI03167</t>
  </si>
  <si>
    <t>CI03168</t>
  </si>
  <si>
    <t>CI03154</t>
  </si>
  <si>
    <t>CI03155</t>
  </si>
  <si>
    <t>CI03158</t>
  </si>
  <si>
    <t>CI03133</t>
  </si>
  <si>
    <t>CI03134</t>
  </si>
  <si>
    <t>CI03135</t>
  </si>
  <si>
    <t>CI03144</t>
  </si>
  <si>
    <t>CI02529</t>
  </si>
  <si>
    <t>CI03107</t>
  </si>
  <si>
    <t>CI03105</t>
  </si>
  <si>
    <t>CI03106</t>
  </si>
  <si>
    <t>CI03108</t>
  </si>
  <si>
    <t>CI03084</t>
  </si>
  <si>
    <t>CI03177</t>
  </si>
  <si>
    <t>CI03181</t>
  </si>
  <si>
    <t>CI02811</t>
  </si>
  <si>
    <t>CI03067</t>
  </si>
  <si>
    <t>CI03110</t>
  </si>
  <si>
    <t>CI03182</t>
  </si>
  <si>
    <t>AKOUPE_ZEUDJI</t>
  </si>
  <si>
    <t>CocodyLemania</t>
  </si>
  <si>
    <t>YOPSanteExt</t>
  </si>
  <si>
    <t>ABOBOBELLEVILLE2</t>
  </si>
  <si>
    <t>CI00415</t>
  </si>
  <si>
    <t>CI00351</t>
  </si>
  <si>
    <t>CI00433</t>
  </si>
  <si>
    <t>CI01457</t>
  </si>
  <si>
    <t>CI01793</t>
  </si>
  <si>
    <t>CI02185</t>
  </si>
  <si>
    <t>CI02543</t>
  </si>
  <si>
    <t>CI02820</t>
  </si>
  <si>
    <t>CI02859</t>
  </si>
  <si>
    <t>CI03205</t>
  </si>
  <si>
    <t>CI02902</t>
  </si>
  <si>
    <t>CI03102</t>
  </si>
  <si>
    <t>CI03075</t>
  </si>
  <si>
    <t>CI03073</t>
  </si>
  <si>
    <t>CI02892</t>
  </si>
  <si>
    <t>CI03150</t>
  </si>
  <si>
    <t>CI02903</t>
  </si>
  <si>
    <t>CI02793</t>
  </si>
  <si>
    <t>CI03151</t>
  </si>
  <si>
    <t>CI02815</t>
  </si>
  <si>
    <t>CI03068</t>
  </si>
  <si>
    <t>CI03096</t>
  </si>
  <si>
    <t>CI03097</t>
  </si>
  <si>
    <t>CI03094</t>
  </si>
  <si>
    <t>CI03095</t>
  </si>
  <si>
    <t>CI03199</t>
  </si>
  <si>
    <t>CI03086</t>
  </si>
  <si>
    <t>CI03091</t>
  </si>
  <si>
    <t>CI03092</t>
  </si>
  <si>
    <t>CI03093</t>
  </si>
  <si>
    <t>CI03087</t>
  </si>
  <si>
    <t>CI03088</t>
  </si>
  <si>
    <t>CI03090</t>
  </si>
  <si>
    <t>CI03089</t>
  </si>
  <si>
    <t>CI03125</t>
  </si>
  <si>
    <t>CI03126</t>
  </si>
  <si>
    <t>CI03124</t>
  </si>
  <si>
    <t>CI02823</t>
  </si>
  <si>
    <t>CI03078</t>
  </si>
  <si>
    <t>CI03200</t>
  </si>
  <si>
    <t>CI03082</t>
  </si>
  <si>
    <t>CI03083</t>
  </si>
  <si>
    <t>CI03099</t>
  </si>
  <si>
    <t>CI02824</t>
  </si>
  <si>
    <t>CI03100</t>
  </si>
  <si>
    <t>CI03035</t>
  </si>
  <si>
    <t>CI03118</t>
  </si>
  <si>
    <t>CI03121</t>
  </si>
  <si>
    <t>CI03119</t>
  </si>
  <si>
    <t>CI03120</t>
  </si>
  <si>
    <t>CI02901</t>
  </si>
  <si>
    <t>CI03079</t>
  </si>
  <si>
    <t>CI03080</t>
  </si>
  <si>
    <t>CI03081</t>
  </si>
  <si>
    <t>CI03197</t>
  </si>
  <si>
    <t>CI03115</t>
  </si>
  <si>
    <t>CI03116</t>
  </si>
  <si>
    <t>CI01276</t>
  </si>
  <si>
    <t>CI03077</t>
  </si>
  <si>
    <t>IHS_AGN_090M</t>
  </si>
  <si>
    <t>IHS_AGN_092M</t>
  </si>
  <si>
    <t>IHS_BSD_231M</t>
  </si>
  <si>
    <t>IHS_BSD_232M</t>
  </si>
  <si>
    <t>IHS_BSD_233M</t>
  </si>
  <si>
    <t>IHS_BSD_234M</t>
  </si>
  <si>
    <t>IHS_BSD_243M</t>
  </si>
  <si>
    <t>IHS_BSD_246M</t>
  </si>
  <si>
    <t>IHS_BSD_247M</t>
  </si>
  <si>
    <t>IHS_DHM_105M</t>
  </si>
  <si>
    <t>IHS_DHM_107M</t>
  </si>
  <si>
    <t>IHS_DHM_108M</t>
  </si>
  <si>
    <t>IHS_DNG_053M</t>
  </si>
  <si>
    <t>IHS_DNG_054M</t>
  </si>
  <si>
    <t>IHS_FMG_106M</t>
  </si>
  <si>
    <t>IHS_FMG_107M</t>
  </si>
  <si>
    <t>IHS_FMG_108M</t>
  </si>
  <si>
    <t>IHS_FMG_109M</t>
  </si>
  <si>
    <t>IHS_HSD_143M</t>
  </si>
  <si>
    <t>IHS_LAC_119M</t>
  </si>
  <si>
    <t>IHS_LAC_121M</t>
  </si>
  <si>
    <t>IHS_LGN_1000M</t>
  </si>
  <si>
    <t>IHS_LGN_1003M</t>
  </si>
  <si>
    <t>IHS_LGN_1006M</t>
  </si>
  <si>
    <t>IHS_LGN_1009M</t>
  </si>
  <si>
    <t>IHS_LGN_1020O</t>
  </si>
  <si>
    <t>IHS_LGN_1034M</t>
  </si>
  <si>
    <t>IHS_LGN_1037M</t>
  </si>
  <si>
    <t>IHS_LGN_1040M</t>
  </si>
  <si>
    <t>IHS_LGN_397M</t>
  </si>
  <si>
    <t>IHS_LGN_586M</t>
  </si>
  <si>
    <t>IHS_LGN_621M</t>
  </si>
  <si>
    <t>IHS_LGN_622M</t>
  </si>
  <si>
    <t>IHS_LGN_811M</t>
  </si>
  <si>
    <t>IHS_LGN_886M</t>
  </si>
  <si>
    <t>IHS_LGN_927M</t>
  </si>
  <si>
    <t>IHS_LGN_966M</t>
  </si>
  <si>
    <t>IHS_LGN_971M</t>
  </si>
  <si>
    <t>IHS_LGN_983M</t>
  </si>
  <si>
    <t>IHS_LGN_984M</t>
  </si>
  <si>
    <t>IHS_LGN_986M</t>
  </si>
  <si>
    <t>IHS_LGN_988M</t>
  </si>
  <si>
    <t>IHS_LGN_992M</t>
  </si>
  <si>
    <t>IHS_LGN_993M</t>
  </si>
  <si>
    <t>IHS_LGN_996M</t>
  </si>
  <si>
    <t>IHS_LGN_998M</t>
  </si>
  <si>
    <t>IHS_LGN_999M</t>
  </si>
  <si>
    <t>IHS_MCE_070M</t>
  </si>
  <si>
    <t>IHS_MCE_073M</t>
  </si>
  <si>
    <t>IHS_MCE_075M</t>
  </si>
  <si>
    <t>IHS_MCY_078M</t>
  </si>
  <si>
    <t>IHS_MCY_079M</t>
  </si>
  <si>
    <t>IHS_MCY_080M</t>
  </si>
  <si>
    <t>IHS_MCY_081M</t>
  </si>
  <si>
    <t>IHS_MRH_078M</t>
  </si>
  <si>
    <t>IHS_NCE_096M</t>
  </si>
  <si>
    <t>IHS_SBD_101M</t>
  </si>
  <si>
    <t>IHS_SBD_102M</t>
  </si>
  <si>
    <t>IHS_SBD_103M</t>
  </si>
  <si>
    <t>IHS_SBD_104M</t>
  </si>
  <si>
    <t>IHS_SBD_105M</t>
  </si>
  <si>
    <t>IHS_SBD_106M</t>
  </si>
  <si>
    <t>IHS_SBD_107M</t>
  </si>
  <si>
    <t>IHS_SBD_109M</t>
  </si>
  <si>
    <t>IHS_SBD_110M</t>
  </si>
  <si>
    <t>IHS_SBD_111M</t>
  </si>
  <si>
    <t>IHS_SCE_107M</t>
  </si>
  <si>
    <t>IHS_SCE_109M</t>
  </si>
  <si>
    <t>IHS_SVN_151M</t>
  </si>
  <si>
    <t>IHS_SVN_152M</t>
  </si>
  <si>
    <t>IHS_SVN_153M</t>
  </si>
  <si>
    <t>IHS_SVN_156M</t>
  </si>
  <si>
    <t>IHS_SVN_157M</t>
  </si>
  <si>
    <t>IHS_SVN_158M</t>
  </si>
  <si>
    <t>IHS_SVN_159M</t>
  </si>
  <si>
    <t>IHS_SVN_161M</t>
  </si>
  <si>
    <t>IHS_SVN_162M</t>
  </si>
  <si>
    <t>IHS_SVN_163M</t>
  </si>
  <si>
    <t>IHS_SVN_164M</t>
  </si>
  <si>
    <t>IHS_VDB_138M</t>
  </si>
  <si>
    <t>IHS_VDB_139M</t>
  </si>
  <si>
    <t>IHS_VDB_140M</t>
  </si>
  <si>
    <t>IHS_VDB_142M</t>
  </si>
  <si>
    <t>IHS_VDB_143M</t>
  </si>
  <si>
    <t>IHS_VDB_145M</t>
  </si>
  <si>
    <t>IHS_VDB_146M</t>
  </si>
  <si>
    <t>IHS_WRD_014M</t>
  </si>
  <si>
    <t>IHS_ZNZ_097M</t>
  </si>
  <si>
    <t>Adzope2018</t>
  </si>
  <si>
    <t>AdzopeRoad</t>
  </si>
  <si>
    <t>MeaguiNorth</t>
  </si>
  <si>
    <t>MeaguiSouth</t>
  </si>
  <si>
    <t>SoubreGabonExt</t>
  </si>
  <si>
    <t>SoubreGabonExt1</t>
  </si>
  <si>
    <t>SAN-PEDRO_New2</t>
  </si>
  <si>
    <t>SanPedroPoro</t>
  </si>
  <si>
    <t>SanPedroRteBereby</t>
  </si>
  <si>
    <t>MAN_New2</t>
  </si>
  <si>
    <t>ManOuest</t>
  </si>
  <si>
    <t>ManRenfo</t>
  </si>
  <si>
    <t>OdienneLyceeModerne</t>
  </si>
  <si>
    <t>OdienneRteAeroport</t>
  </si>
  <si>
    <t>GAGNOA_New1</t>
  </si>
  <si>
    <t>GAGNOA_New2</t>
  </si>
  <si>
    <t>GAGNOA_New3</t>
  </si>
  <si>
    <t>GagnoaRteLakota</t>
  </si>
  <si>
    <t>DaloaMarché</t>
  </si>
  <si>
    <t>YAMOUSSOUKRO2</t>
  </si>
  <si>
    <t>YopKoweitExt</t>
  </si>
  <si>
    <t>M'BATO BOUAKE PERIPHERIE DE BINGERVILLE</t>
  </si>
  <si>
    <t>PBAbouabou</t>
  </si>
  <si>
    <t>YopIrca</t>
  </si>
  <si>
    <t>AnoumaboDjebidje</t>
  </si>
  <si>
    <t>Anokoua3</t>
  </si>
  <si>
    <t>PK18Assonmin</t>
  </si>
  <si>
    <t>CiteSir</t>
  </si>
  <si>
    <t>LMKOUMASSI</t>
  </si>
  <si>
    <t>AngreFingoudron2</t>
  </si>
  <si>
    <t>YopNiangonRteDabou</t>
  </si>
  <si>
    <t>CocodyExt1</t>
  </si>
  <si>
    <t>YopBonikroNord</t>
  </si>
  <si>
    <t>ANYAMA_NEW2</t>
  </si>
  <si>
    <t>AbattaVillage</t>
  </si>
  <si>
    <t>ABOBO_New5</t>
  </si>
  <si>
    <t>AGBAN AKOUAI PERIPHERIE DE BINGERVILLE</t>
  </si>
  <si>
    <t>BingervilleAnader</t>
  </si>
  <si>
    <t>BingervilleDagba</t>
  </si>
  <si>
    <t>CocodyLaurierNew</t>
  </si>
  <si>
    <t>DabouRteAbj</t>
  </si>
  <si>
    <t>KOFAKOI PERIPHERIE DE BINGERVILLE</t>
  </si>
  <si>
    <t>ABENGOUROUCORRIDORSUD</t>
  </si>
  <si>
    <t>AgnibilekroLycee</t>
  </si>
  <si>
    <t>AGNIBILEKRORESIDENTIEL</t>
  </si>
  <si>
    <t>DUEKOUE_New1</t>
  </si>
  <si>
    <t>Duekoue2New</t>
  </si>
  <si>
    <t>DuekoueNewQuarter</t>
  </si>
  <si>
    <t>DuekoueRenfo3</t>
  </si>
  <si>
    <t>BOUAFLE2</t>
  </si>
  <si>
    <t>DimbokroNord</t>
  </si>
  <si>
    <t>DIVO_New1</t>
  </si>
  <si>
    <t>DIVO_New3</t>
  </si>
  <si>
    <t>DIVO_New4</t>
  </si>
  <si>
    <t>DIVO_New5</t>
  </si>
  <si>
    <t>DivoGnehiri</t>
  </si>
  <si>
    <t>DivoMillionnaire</t>
  </si>
  <si>
    <t>DivoRteGuitry</t>
  </si>
  <si>
    <t>LAKOTA1</t>
  </si>
  <si>
    <t>LAKOTA4</t>
  </si>
  <si>
    <t>LakotaNQ</t>
  </si>
  <si>
    <t>AHOUE</t>
  </si>
  <si>
    <t>Boundiali Ivoire Coton</t>
  </si>
  <si>
    <t>Boundiali Rte Kgo</t>
  </si>
  <si>
    <t>Ferke marché</t>
  </si>
  <si>
    <t>FERKE-2(SUCAFVILLAGE)</t>
  </si>
  <si>
    <t>FERKESSEDOUGOU1</t>
  </si>
  <si>
    <t>KAOUARA</t>
  </si>
  <si>
    <t>Korhogo Zone</t>
  </si>
  <si>
    <t>KORHOGO_New1</t>
  </si>
  <si>
    <t>KORHOGO_New3</t>
  </si>
  <si>
    <t>KORHOGO3</t>
  </si>
  <si>
    <t>BKE_KONANKANKRO</t>
  </si>
  <si>
    <t>BOUAKE_New2</t>
  </si>
  <si>
    <t>BOUAKE_New4</t>
  </si>
  <si>
    <t>BOUAKE_New8</t>
  </si>
  <si>
    <t>BOUAKE2</t>
  </si>
  <si>
    <t>KatiolaNord</t>
  </si>
  <si>
    <t>KatiolaSud</t>
  </si>
  <si>
    <t>Gbeteguela</t>
  </si>
  <si>
    <t>BondoukouCorridorSud</t>
  </si>
  <si>
    <t>ATHENA 2</t>
  </si>
  <si>
    <t>IHS_WRD_059M</t>
  </si>
  <si>
    <t>IHS_LGN_920M</t>
  </si>
  <si>
    <t>IHS_LGN_1002M</t>
  </si>
  <si>
    <t>IHS_LGN_1043M</t>
  </si>
  <si>
    <t>IHS_LGN_987M</t>
  </si>
  <si>
    <t>IHS_LGN_813M</t>
  </si>
  <si>
    <t>IHS_LGN_1041M</t>
  </si>
  <si>
    <t>IHS_LGN_1001M</t>
  </si>
  <si>
    <t>IHS_LGN_1038M</t>
  </si>
  <si>
    <t>IHS_SVN_155M</t>
  </si>
  <si>
    <t>IHS_ZNZ_098M</t>
  </si>
  <si>
    <t>IHS_VDB_135M</t>
  </si>
  <si>
    <t>IHS_VDB_151M</t>
  </si>
  <si>
    <t>IHS_MCE_074M</t>
  </si>
  <si>
    <t>IHS_VDB_152M</t>
  </si>
  <si>
    <t>IHS_AGN_091M</t>
  </si>
  <si>
    <t>IHS_NCE_095M</t>
  </si>
  <si>
    <t>IHS_MCY_082M</t>
  </si>
  <si>
    <t>IHS_DNG_052M</t>
  </si>
  <si>
    <t>IHS_LGN_1042M</t>
  </si>
  <si>
    <t>IHS_LGN_810M</t>
  </si>
  <si>
    <t>IHS_LGN_881M</t>
  </si>
  <si>
    <t>IHS_LGN_907M</t>
  </si>
  <si>
    <t>IHS_BSD_245M</t>
  </si>
  <si>
    <t>IHS_BSD_228M</t>
  </si>
  <si>
    <t>IHS_HSD_009M</t>
  </si>
  <si>
    <t>IHS_HSD_004M</t>
  </si>
  <si>
    <t>IHS_HSD_145M</t>
  </si>
  <si>
    <t>IHS_SCE_003M</t>
  </si>
  <si>
    <t>IHS_LAC_028M</t>
  </si>
  <si>
    <t>IHS_VDB_097M</t>
  </si>
  <si>
    <t>IHS_SVN_176M</t>
  </si>
  <si>
    <t>IHS_SVN_168M</t>
  </si>
  <si>
    <t>IHS_ZNZ_021M</t>
  </si>
  <si>
    <t>IHS_BSD_016M</t>
  </si>
  <si>
    <t>IHS_LGN_815M</t>
  </si>
  <si>
    <t>SEGUELAEXT</t>
  </si>
  <si>
    <t>HotelAeroport</t>
  </si>
  <si>
    <t>KOUMASSIMARCHÉPOULET</t>
  </si>
  <si>
    <t>AboboEPPSAGBE</t>
  </si>
  <si>
    <t>ADJIN VILLAGE PERIPHERIE DE BINGERVILLE</t>
  </si>
  <si>
    <t>ABOBO KOLATIERNEW</t>
  </si>
  <si>
    <t>CobakroRteAkoue</t>
  </si>
  <si>
    <t>GONZAQVILLELYCEE</t>
  </si>
  <si>
    <t>CocodyRteAkandje</t>
  </si>
  <si>
    <t>FERKE LANVIARA</t>
  </si>
  <si>
    <t>BONDOUKOUSTADE</t>
  </si>
  <si>
    <t>BkeRenfo1</t>
  </si>
  <si>
    <t>BouakeBelleville4</t>
  </si>
  <si>
    <t>AGNIBILEKRONQ</t>
  </si>
  <si>
    <t>Tiebissou2</t>
  </si>
  <si>
    <t>ADZOPEMARCHE</t>
  </si>
  <si>
    <t>DIMBOKROCENTRE</t>
  </si>
  <si>
    <t>GUIGLORTEBLOLEQUIN</t>
  </si>
  <si>
    <t>ODIENNE1</t>
  </si>
  <si>
    <t>OUME 3</t>
  </si>
  <si>
    <t>MARCORY3NEW</t>
  </si>
  <si>
    <t>Hôpital Angré</t>
  </si>
  <si>
    <t>BingJardinBotanique</t>
  </si>
  <si>
    <t>SAN-PEDRO_NEW4</t>
  </si>
  <si>
    <t>SANPEDRONITORO2</t>
  </si>
  <si>
    <t>Daloa Abattoir_New</t>
  </si>
  <si>
    <t>DaloaFadiga</t>
  </si>
  <si>
    <t>GREGBEU</t>
  </si>
  <si>
    <t>AboissoFO</t>
  </si>
  <si>
    <t>SINZIBO</t>
  </si>
  <si>
    <t>KENNEDY</t>
  </si>
  <si>
    <t>Sinematiali new</t>
  </si>
  <si>
    <t>MOUGNINI</t>
  </si>
  <si>
    <t>ASSUEFRY_BIS</t>
  </si>
  <si>
    <t>ROUTE_BEREBY</t>
  </si>
  <si>
    <t>QUARTIER_ROUGE</t>
  </si>
  <si>
    <t>ORANGE</t>
  </si>
  <si>
    <t>gestion existant</t>
  </si>
  <si>
    <t>Athena 2</t>
  </si>
  <si>
    <t>De 20m à 32m</t>
  </si>
  <si>
    <t>De 33m à 49m</t>
  </si>
  <si>
    <t>De 50m à 75m</t>
  </si>
  <si>
    <t>De 76m à 90m</t>
  </si>
  <si>
    <t>De 91m à 105m</t>
  </si>
  <si>
    <t>De 91m et 105m</t>
  </si>
  <si>
    <t>Moins de 20 m</t>
  </si>
  <si>
    <t>De moins de 20m</t>
  </si>
  <si>
    <t>De  50m à 75m</t>
  </si>
  <si>
    <t>De 91m à 105m +</t>
  </si>
  <si>
    <t>De 91m et 105m +</t>
  </si>
  <si>
    <t>IHS_LGN_960M</t>
  </si>
  <si>
    <t>IHS_WRD_057M</t>
  </si>
  <si>
    <t>KATO</t>
  </si>
  <si>
    <t>IHS_LGN_887O</t>
  </si>
  <si>
    <t>Monthly</t>
  </si>
  <si>
    <t>Prix indexés  FCFA</t>
  </si>
  <si>
    <t>Colloc</t>
  </si>
  <si>
    <t>Athena 1</t>
  </si>
  <si>
    <t>RTT 10% &amp; rest 21%</t>
  </si>
  <si>
    <t>nvo site terrace</t>
  </si>
  <si>
    <t>nvo site : 20m et 32m</t>
  </si>
  <si>
    <t>nvo site : 33m et 49m</t>
  </si>
  <si>
    <t>nvo site : 50m et 75m</t>
  </si>
  <si>
    <t>nvo site : 76m et 90m</t>
  </si>
  <si>
    <t>nvo site : 91m et 105m</t>
  </si>
  <si>
    <t>ADZOPE_CORRIDOR</t>
  </si>
  <si>
    <t>GAROUBRE</t>
  </si>
  <si>
    <t>SP_BELLEVILLE</t>
  </si>
  <si>
    <t>PETIT_BOUAKE</t>
  </si>
  <si>
    <t>SP_PORT</t>
  </si>
  <si>
    <t>DALOA_IRIS</t>
  </si>
  <si>
    <t>DALOA_ABATTOIR</t>
  </si>
  <si>
    <t>DALOA_MARCHE</t>
  </si>
  <si>
    <t>ISSIA_NDD</t>
  </si>
  <si>
    <t>YAKRO_BACAMBEL</t>
  </si>
  <si>
    <t>STE_AGATHE</t>
  </si>
  <si>
    <t>PORTUAIRE</t>
  </si>
  <si>
    <t>FLEMING</t>
  </si>
  <si>
    <t>YOP_MONIA</t>
  </si>
  <si>
    <t>PHCIE_ESTHER</t>
  </si>
  <si>
    <t>MBADON</t>
  </si>
  <si>
    <t>MERVEILLE</t>
  </si>
  <si>
    <t>RTE_ANYAMA</t>
  </si>
  <si>
    <t>BINGERVIL_EXT</t>
  </si>
  <si>
    <t>ROUTE_ABATA</t>
  </si>
  <si>
    <t>CITE_DELTA</t>
  </si>
  <si>
    <t>APRES_CAMP</t>
  </si>
  <si>
    <t>HIRONDELLE</t>
  </si>
  <si>
    <t>DUEKOUE_SUD</t>
  </si>
  <si>
    <t>GANZRA</t>
  </si>
  <si>
    <t>BOUAFLE_BLAMA</t>
  </si>
  <si>
    <t>IFFOU</t>
  </si>
  <si>
    <t>BASSAM_LYCEE</t>
  </si>
  <si>
    <t>FERKE_DOUANE</t>
  </si>
  <si>
    <t>SANHALA</t>
  </si>
  <si>
    <t>HOUPHOUEVIL</t>
  </si>
  <si>
    <t>BKE_BROUKRO</t>
  </si>
  <si>
    <t>TOLLAKOUADIO</t>
  </si>
  <si>
    <t>FETEVIL</t>
  </si>
  <si>
    <t>BOUAKE_KOKO</t>
  </si>
  <si>
    <t>TANDA_CHATO</t>
  </si>
  <si>
    <t>YOPZINEW2</t>
  </si>
  <si>
    <t>NET A PAYER</t>
  </si>
  <si>
    <t>TRIMESTRE 1 - HT</t>
  </si>
  <si>
    <t>IHS_LGN_323M</t>
  </si>
  <si>
    <t>Filtisac</t>
  </si>
  <si>
    <t>N°</t>
  </si>
  <si>
    <t>CODE SITE CLIENT</t>
  </si>
  <si>
    <t>DESCRIPTION</t>
  </si>
  <si>
    <t>PRIX UNITAIRE (Fcfa)</t>
  </si>
  <si>
    <t>QUANTITE (mois)</t>
  </si>
  <si>
    <t>MONTANT</t>
  </si>
  <si>
    <t>TOTAL HT</t>
  </si>
  <si>
    <t>TOTAL TTC</t>
  </si>
  <si>
    <t>CODE SITE         IHS</t>
  </si>
  <si>
    <t>TOTAL     (Fcfa)</t>
  </si>
  <si>
    <t>BLAHOU</t>
  </si>
  <si>
    <t>KPOUEBO</t>
  </si>
  <si>
    <t>ANDOKREKRENOU</t>
  </si>
  <si>
    <t>ZIANSIEUPLEU</t>
  </si>
  <si>
    <t>BENGASSOU</t>
  </si>
  <si>
    <t>NZECREZESSOU</t>
  </si>
  <si>
    <t>DINGUIRA</t>
  </si>
  <si>
    <t>NAMASSI</t>
  </si>
  <si>
    <t>TAHIRAGUHE</t>
  </si>
  <si>
    <t>ABONGOUA_ATTOBROU</t>
  </si>
  <si>
    <t>NIDROU</t>
  </si>
  <si>
    <t>TOUMODI_SAKASSOU</t>
  </si>
  <si>
    <t>ALLAKRO_BKE</t>
  </si>
  <si>
    <t>YOROBODI</t>
  </si>
  <si>
    <t>BADIKAHA</t>
  </si>
  <si>
    <t>DIALAKORO</t>
  </si>
  <si>
    <t>KAMELE</t>
  </si>
  <si>
    <t>FADIADOUGOU</t>
  </si>
  <si>
    <t xml:space="preserve">TVA  </t>
  </si>
  <si>
    <t>IHS_AGN_015M</t>
  </si>
  <si>
    <t>IHS_LGN_754M</t>
  </si>
  <si>
    <t>Echeance : 30 jrs</t>
  </si>
  <si>
    <t xml:space="preserve">IHS_LGN_039M </t>
  </si>
  <si>
    <t>IHS_BSD_023O</t>
  </si>
  <si>
    <t>CAPITAINERIE</t>
  </si>
  <si>
    <t>IHS_NCE_048O</t>
  </si>
  <si>
    <t>ANANDA</t>
  </si>
  <si>
    <t>AdjaméRoksy</t>
  </si>
  <si>
    <t>S/N</t>
  </si>
  <si>
    <t>CODE IHS</t>
  </si>
  <si>
    <t>NOM DU SITE</t>
  </si>
  <si>
    <t>DATE DE DEBUT</t>
  </si>
  <si>
    <t>DATE DE FIN</t>
  </si>
  <si>
    <t>MOIS (Two decimals)</t>
  </si>
  <si>
    <t>HAUTEUR</t>
  </si>
  <si>
    <t xml:space="preserve"> TOTAL</t>
  </si>
  <si>
    <t xml:space="preserve">15% Discount </t>
  </si>
  <si>
    <t>PROV ORANGE-COLOC NAWA - Site TIEZANKRO 3 - AVR 22</t>
  </si>
  <si>
    <t>IHS_LAC_124O</t>
  </si>
  <si>
    <t>TIEZANKRO 3</t>
  </si>
  <si>
    <t>PROV ORANGE-COLOC NAWA - Site Blolequin New - AVR 22</t>
  </si>
  <si>
    <t>IHS_WRD_004M</t>
  </si>
  <si>
    <t>Blolequin New</t>
  </si>
  <si>
    <t>PROV ORANGE-COLOC NAWA - Site ZAGUIETA - AVR 22</t>
  </si>
  <si>
    <t>IHS_MRH_081M</t>
  </si>
  <si>
    <t>ZAGUIETA</t>
  </si>
  <si>
    <t>PROV ORANGE-COLOC NAWA - BROUSSOUPALEGNOA - AVR 22</t>
  </si>
  <si>
    <t>IHS_SBD_099M</t>
  </si>
  <si>
    <t>BROUSSOUPALEGNOA</t>
  </si>
  <si>
    <t>PROV ORANGE-COLOC NAWA - M'bahiakro2 - AVR 22</t>
  </si>
  <si>
    <t>IHS_NCE_057M</t>
  </si>
  <si>
    <t>M'bahiakro2</t>
  </si>
  <si>
    <t>PROV ORANGE-COLOC NAWA - AYENOUAN - AVR 22</t>
  </si>
  <si>
    <t>IHS_SCE_108M</t>
  </si>
  <si>
    <t>AYENOUAN</t>
  </si>
  <si>
    <t>PROV ORANGE-COLOC NAWA - GuitryMTN - AVR 22</t>
  </si>
  <si>
    <t>IHS_SBD_050M</t>
  </si>
  <si>
    <t>GuitryMTN</t>
  </si>
  <si>
    <t xml:space="preserve">DESCRIPTION </t>
  </si>
  <si>
    <t>Colocation -15% Discount</t>
  </si>
  <si>
    <t>PERIODE</t>
  </si>
  <si>
    <t>PROV ORANGE-COLOC NAWA - Site TIEZANKRO 3 - MAI 22</t>
  </si>
  <si>
    <t>PROV ORANGE-COLOC NAWA - Site Blolequin New - MAI 22</t>
  </si>
  <si>
    <t>PROV ORANGE-COLOC NAWA - Site ZAGUIETA - MAI 22</t>
  </si>
  <si>
    <t>PROV ORANGE-COLOC NAWA - BROUSSOUPALEGNOA - MAI 22</t>
  </si>
  <si>
    <t>PROV ORANGE-COLOC NAWA - M'bahiakro2 - MAI 22</t>
  </si>
  <si>
    <t>PROV ORANGE-COLOC NAWA - AYENOUAN - MAI 22</t>
  </si>
  <si>
    <t>PROV ORANGE-COLOC NAWA - GuitryMTN - MAI 22</t>
  </si>
  <si>
    <t>PROV OCI COLOC_Nawa site TOBLY-BANGOLO MAI 22</t>
  </si>
  <si>
    <t>IHS_MCY_090M</t>
  </si>
  <si>
    <t>TOBLY-BANGOLO</t>
  </si>
  <si>
    <t>PROV OCI COLOC_Nawa site BANGOLONEW MAI 22</t>
  </si>
  <si>
    <t>IHS_DHM_031M</t>
  </si>
  <si>
    <t>BANGOLONEW</t>
  </si>
  <si>
    <t>PROV OCI COLOC_Nawa site YabayoFO MAI 22</t>
  </si>
  <si>
    <t>IHS_BSD_163M</t>
  </si>
  <si>
    <t>YabayoFO</t>
  </si>
  <si>
    <t>PROV OCI COLOC_Nawa site ABOBOCASSE MAI 22</t>
  </si>
  <si>
    <t>IHS_LGN_817M</t>
  </si>
  <si>
    <t>ABOBOCASSE</t>
  </si>
  <si>
    <t>PROV OCI COLOC_Nawa site SIBABLY MAI 22</t>
  </si>
  <si>
    <t>IHS_MCY_088M</t>
  </si>
  <si>
    <t>SIBABLY</t>
  </si>
  <si>
    <t>PROV OCI COLOC_Nawa site AboboSud MAI 22</t>
  </si>
  <si>
    <t>IHS_LGN_562M</t>
  </si>
  <si>
    <t>AboboSud</t>
  </si>
  <si>
    <t>PROV OCI COLOC_Nawa site DerRail MAI 22</t>
  </si>
  <si>
    <t>IHS_LGN_532M</t>
  </si>
  <si>
    <t>DerRail</t>
  </si>
  <si>
    <t>PROV OCI COLOC_Nawa site YAO DANKRO MAI 22</t>
  </si>
  <si>
    <t>IHS_BSD_235M</t>
  </si>
  <si>
    <t>YAO DANKRO</t>
  </si>
  <si>
    <t>PROV OCI COLOC_Nawa site AboboSteFoi MAI 22</t>
  </si>
  <si>
    <t>IHS_LGN_618M</t>
  </si>
  <si>
    <t>AboboSteFoi</t>
  </si>
  <si>
    <t>PROV OCI COLOC_Nawa site SOKROUGBAN MAI 22</t>
  </si>
  <si>
    <t>IHS_WRD_061M</t>
  </si>
  <si>
    <t>SOKROUGBAN</t>
  </si>
  <si>
    <t>31/06/2022</t>
  </si>
  <si>
    <t>PROV ORANGE-COLOC NAWA - Site TIEZANKRO 3 - JUIN 22</t>
  </si>
  <si>
    <t>PROV ORANGE-COLOC NAWA - Site Blolequin New - JUIN 22</t>
  </si>
  <si>
    <t>PROV ORANGE-COLOC NAWA - Site ZAGUIETA - JUIN 22</t>
  </si>
  <si>
    <t>PROV ORANGE-COLOC NAWA - BROUSSOUPALEGNOA - JUIN 22</t>
  </si>
  <si>
    <t>PROV ORANGE-COLOC NAWA - M'bahiakro2 - JUIN 22</t>
  </si>
  <si>
    <t>PROV ORANGE-COLOC NAWA - AYENOUAN - JUIN 22</t>
  </si>
  <si>
    <t>PROV ORANGE-COLOC NAWA - GuitryMTN - JUIN 22</t>
  </si>
  <si>
    <t>PROV OCI COLOC_Nawa site TOBLY-BANGOLO JUIN 22</t>
  </si>
  <si>
    <t>PROV OCI COLOC_Nawa site BANGOLONEW JUIN 22</t>
  </si>
  <si>
    <t>PROV OCI COLOC_Nawa site YabayoFO JUIN 22</t>
  </si>
  <si>
    <t>PROV OCI COLOC_Nawa site ABOBOCASSE JUIN 22</t>
  </si>
  <si>
    <t>PROV OCI COLOC_Nawa site SIBABLY JUIN 22</t>
  </si>
  <si>
    <t>PROV OCI COLOC_Nawa site AboboSud JUIN 22</t>
  </si>
  <si>
    <t>PROV OCI COLOC_Nawa site DerRail JUIN 22</t>
  </si>
  <si>
    <t>PROV OCI COLOC_Nawa site YAO DANKRO JUIN 22</t>
  </si>
  <si>
    <t>PROV OCI COLOC_Nawa site AboboSteFoi JUIN 22</t>
  </si>
  <si>
    <t>PROV OCI COLOC_Nawa site SOKROUGBAN JUIN 22</t>
  </si>
  <si>
    <t>PROV ORANGE-COLOC NAWA - Site TIEZANKRO 3 - JUILLET 22</t>
  </si>
  <si>
    <t>PROV ORANGE-COLOC NAWA - Site Blolequin New - JUILLET 22</t>
  </si>
  <si>
    <t>PROV ORANGE-COLOC NAWA - Site ZAGUIETA - JUILLET 22</t>
  </si>
  <si>
    <t>PROV ORANGE-COLOC NAWA - BROUSSOUPALEGNOA - JUILLET 22</t>
  </si>
  <si>
    <t>PROV ORANGE-COLOC NAWA - M'bahiakro2 - JUILLET 22</t>
  </si>
  <si>
    <t>PROV ORANGE-COLOC NAWA - AYENOUAN - JUILLET 22</t>
  </si>
  <si>
    <t>PROV ORANGE-COLOC NAWA - GuitryMTN - JUILLET 22</t>
  </si>
  <si>
    <t>PROV OCI COLOC_Nawa site TOBLY-BANGOLO JUILLET 22</t>
  </si>
  <si>
    <t>PROV OCI COLOC_Nawa site BANGOLONEW JUILLET 22</t>
  </si>
  <si>
    <t>PROV OCI COLOC_Nawa site YabayoFO JUILLET 22</t>
  </si>
  <si>
    <t>PROV OCI COLOC_Nawa site ABOBOCASSE JUILLET 22</t>
  </si>
  <si>
    <t>PROV OCI COLOC_Nawa site SIBABLY JUILLET 22</t>
  </si>
  <si>
    <t>PROV OCI COLOC_Nawa site AboboSud JUILLET 22</t>
  </si>
  <si>
    <t>PROV OCI COLOC_Nawa site DerRail JUILLET 22</t>
  </si>
  <si>
    <t>PROV OCI COLOC_Nawa site YAO DANKRO JUILLET 22</t>
  </si>
  <si>
    <t>PROV OCI COLOC_Nawa site AboboSteFoi JUILLET 22</t>
  </si>
  <si>
    <t>PROV OCI COLOC_Nawa site SOKROUGBAN JUILLET 22</t>
  </si>
  <si>
    <t>PROV ORANGE-COLOC NAWA - Site TIEZANKRO 3 - AOUT 22</t>
  </si>
  <si>
    <t>PROV ORANGE-COLOC NAWA - Site Blolequin New - AOUT 22</t>
  </si>
  <si>
    <t>PROV ORANGE-COLOC NAWA - Site ZAGUIETA - AOUT 22</t>
  </si>
  <si>
    <t>PROV ORANGE-COLOC NAWA - BROUSSOUPALEGNOA - AOUT 22</t>
  </si>
  <si>
    <t>PROV ORANGE-COLOC NAWA - M'bahiakro2 - AOUT 22</t>
  </si>
  <si>
    <t>PROV ORANGE-COLOC NAWA - AYENOUAN - AOUT 22</t>
  </si>
  <si>
    <t>PROV ORANGE-COLOC NAWA - GuitryMTN - AOUT 22</t>
  </si>
  <si>
    <t>PROV OCI COLOC_Nawa site TOBLY-BANGOLO AOUT 22</t>
  </si>
  <si>
    <t>PROV OCI COLOC_Nawa site BANGOLONEW AOUT 22</t>
  </si>
  <si>
    <t>PROV OCI COLOC_Nawa site YabayoFO AOUT 22</t>
  </si>
  <si>
    <t>PROV OCI COLOC_Nawa site ABOBOCASSE AOUT 22</t>
  </si>
  <si>
    <t>PROV OCI COLOC_Nawa site SIBABLY AOUT 22</t>
  </si>
  <si>
    <t>PROV OCI COLOC_Nawa site AboboSud AOUT 22</t>
  </si>
  <si>
    <t>PROV OCI COLOC_Nawa site DerRail AOUT 22</t>
  </si>
  <si>
    <t>PROV OCI COLOC_Nawa site YAO DANKRO AOUT 22</t>
  </si>
  <si>
    <t>PROV OCI COLOC_Nawa site AboboSteFoi AOUT 22</t>
  </si>
  <si>
    <t>PROV OCI COLOC_Nawa site SOKROUGBAN AOUT 22</t>
  </si>
  <si>
    <t>PROV ORANGE-COLOC NAWA - Site TIEZANKRO 3 - SEPTEMBRE 22</t>
  </si>
  <si>
    <t>PROV ORANGE-COLOC NAWA - Site Blolequin New - SEPTEMBRE 22</t>
  </si>
  <si>
    <t>PROV ORANGE-COLOC NAWA - Site ZAGUIETA - SEPTEMBRE 22</t>
  </si>
  <si>
    <t>PROV ORANGE-COLOC NAWA - BROUSSOUPALEGNOA - SEPTEMBRE 22</t>
  </si>
  <si>
    <t>PROV ORANGE-COLOC NAWA - M'bahiakro2 - SEPTEMBRE 22</t>
  </si>
  <si>
    <t>PROV ORANGE-COLOC NAWA - AYENOUAN - SEPTEMBRE 22</t>
  </si>
  <si>
    <t>PROV ORANGE-COLOC NAWA - GuitryMTN - SEPTEMBRE 22</t>
  </si>
  <si>
    <t>PROV OCI COLOC_Nawa site TOBLY-BANGOLO SEPTEMBRE 22</t>
  </si>
  <si>
    <t>PROV OCI COLOC_Nawa site BANGOLONEW SEPTEMBRE 22</t>
  </si>
  <si>
    <t>PROV OCI COLOC_Nawa site YabayoFO SEPTEMBRE 22</t>
  </si>
  <si>
    <t>PROV OCI COLOC_Nawa site ABOBOCASSE SEPTEMBRE 22</t>
  </si>
  <si>
    <t>PROV OCI COLOC_Nawa site SIBABLY SEPTEMBRE 22</t>
  </si>
  <si>
    <t>PROV OCI COLOC_Nawa site AboboSud SEPTEMBRE 22</t>
  </si>
  <si>
    <t>PROV OCI COLOC_Nawa site DerRail SEPTEMBRE 22</t>
  </si>
  <si>
    <t>PROV OCI COLOC_Nawa site YAO DANKRO SEPTEMBRE 22</t>
  </si>
  <si>
    <t>PROV OCI COLOC_Nawa site AboboSteFoi SEPTEMBRE 22</t>
  </si>
  <si>
    <t>PROV OCI COLOC_Nawa site SOKROUGBAN SEPTEMBRE 22</t>
  </si>
  <si>
    <t>31/09/2022</t>
  </si>
  <si>
    <t xml:space="preserve">Colocation_Nawa </t>
  </si>
  <si>
    <t xml:space="preserve">Provisions </t>
  </si>
  <si>
    <t>Régularisation Avoir sur Loyers réduits 18 sites existants - ex Barter / Q4 - 22</t>
  </si>
  <si>
    <t>Régulier/ par Trimestre</t>
  </si>
  <si>
    <t>PROV ORANGE-COLOC NAWA - Site Blolequin New - DECEMBRE 22</t>
  </si>
  <si>
    <t>PROV ORANGE-COLOC NAWA - Site ZAGUIETA - DECEMBRE 22</t>
  </si>
  <si>
    <t>PROV ORANGE-COLOC NAWA - BROUSSOUPALEGNOA - DECEMBRE 22</t>
  </si>
  <si>
    <t>PROV ORANGE-COLOC NAWA - M'bahiakro2 - DECEMBRE 22</t>
  </si>
  <si>
    <t>PROV ORANGE-COLOC NAWA - AYENOUAN - DECEMBRE 22</t>
  </si>
  <si>
    <t>PROV ORANGE-COLOC NAWA - GuitryMTN - DECEMBRE 22</t>
  </si>
  <si>
    <t>PROV OCI COLOC_Nawa site TOBLY-BANGOLO DECEMBRE 22</t>
  </si>
  <si>
    <t>PROV OCI COLOC_Nawa site BANGOLONEW DECEMBRE 22</t>
  </si>
  <si>
    <t>PROV OCI COLOC_Nawa site YabayoFO DECEMBRE 22</t>
  </si>
  <si>
    <t>PROV OCI COLOC_Nawa site ABOBOCASSE DECEMBRE 22</t>
  </si>
  <si>
    <t>PROV OCI COLOC_Nawa site SIBABLY DECEMBRE 22</t>
  </si>
  <si>
    <t>PROV OCI COLOC_Nawa site AboboSud DECEMBRE 22</t>
  </si>
  <si>
    <t>PROV OCI COLOC_Nawa site DerRail DECEMBRE 22</t>
  </si>
  <si>
    <t>PROV OCI COLOC_Nawa site YAO DANKRO DECEMBRE 22</t>
  </si>
  <si>
    <t>PROV OCI COLOC_Nawa site AboboSteFoi DECEMBRE 22</t>
  </si>
  <si>
    <t>PROV OCI COLOC_Nawa site SOKROUGBAN DECEMBRE 22</t>
  </si>
  <si>
    <t>PROV ORANGE-COLOC NAWA - Site TIEZANKRO 3 - NOVEMBRE 22</t>
  </si>
  <si>
    <t>PROV ORANGE-COLOC NAWA - Site Blolequin New - NOVEMBRE 22</t>
  </si>
  <si>
    <t>PROV ORANGE-COLOC NAWA - Site ZAGUIETA - NOVEMBRE 22</t>
  </si>
  <si>
    <t>PROV ORANGE-COLOC NAWA - BROUSSOUPALEGNOA - NOVEMBRE 22</t>
  </si>
  <si>
    <t>PROV ORANGE-COLOC NAWA - M'bahiakro2 - NOVEMBRE 22</t>
  </si>
  <si>
    <t>PROV ORANGE-COLOC NAWA - AYENOUAN - NOVEMBRE 22</t>
  </si>
  <si>
    <t>PROV ORANGE-COLOC NAWA - GuitryMTN - NOVEMBRE 22</t>
  </si>
  <si>
    <t>PROV OCI COLOC_Nawa site TOBLY-BANGOLO NOVEMBRE 22</t>
  </si>
  <si>
    <t>PROV OCI COLOC_Nawa site BANGOLONEW NOVEMBRE 22</t>
  </si>
  <si>
    <t>PROV OCI COLOC_Nawa site YabayoFO NOVEMBRE 22</t>
  </si>
  <si>
    <t>PROV OCI COLOC_Nawa site ABOBOCASSE NOVEMBRE 22</t>
  </si>
  <si>
    <t>PROV OCI COLOC_Nawa site SIBABLY NOVEMBRE 22</t>
  </si>
  <si>
    <t>PROV OCI COLOC_Nawa site AboboSud NOVEMBRE 22</t>
  </si>
  <si>
    <t>PROV OCI COLOC_Nawa site DerRail NOVEMBRE 22</t>
  </si>
  <si>
    <t>PROV OCI COLOC_Nawa site YAO DANKRO NOVEMBRE 22</t>
  </si>
  <si>
    <t>PROV OCI COLOC_Nawa site AboboSteFoi NOVEMBRE 22</t>
  </si>
  <si>
    <t>PROV OCI COLOC_Nawa site SOKROUGBAN NOVEMBRE 22</t>
  </si>
  <si>
    <t>PROV ORANGE-COLOC NAWA - Site TIEZANKRO 3 - OCTOBRE 22</t>
  </si>
  <si>
    <t>PROV ORANGE-COLOC NAWA - Site Blolequin New - OCTOBRE 22</t>
  </si>
  <si>
    <t>PROV ORANGE-COLOC NAWA - Site ZAGUIETA - OCTOBRE 22</t>
  </si>
  <si>
    <t>PROV ORANGE-COLOC NAWA - BROUSSOUPALEGNOA - OCTOBRE 22</t>
  </si>
  <si>
    <t>PROV ORANGE-COLOC NAWA - M'bahiakro2 - OCTOBRE 22</t>
  </si>
  <si>
    <t>PROV ORANGE-COLOC NAWA - AYENOUAN - OCTOBRE 22</t>
  </si>
  <si>
    <t>PROV ORANGE-COLOC NAWA - GuitryMTN - OCTOBRE 22</t>
  </si>
  <si>
    <t>PROV OCI COLOC_Nawa site TOBLY-BANGOLO OCTOBRE 22</t>
  </si>
  <si>
    <t>PROV OCI COLOC_Nawa site BANGOLONEW OCTOBRE 22</t>
  </si>
  <si>
    <t>PROV OCI COLOC_Nawa site YabayoFO OCTOBRE 22</t>
  </si>
  <si>
    <t>PROV OCI COLOC_Nawa site ABOBOCASSE OCTOBRE 22</t>
  </si>
  <si>
    <t>PROV OCI COLOC_Nawa site SIBABLY OCTOBRE 22</t>
  </si>
  <si>
    <t>PROV OCI COLOC_Nawa site AboboSud OCTOBRE 22</t>
  </si>
  <si>
    <t>PROV OCI COLOC_Nawa site DerRail OCTOBRE 22</t>
  </si>
  <si>
    <t>PROV OCI COLOC_Nawa site YAO DANKRO OCTOBRE 22</t>
  </si>
  <si>
    <t>PROV OCI COLOC_Nawa site AboboSteFoi OCTOBRE 22</t>
  </si>
  <si>
    <t>PROV OCI COLOC_Nawa site SOKROUGBAN OCTOBRE 22</t>
  </si>
  <si>
    <t>CODE SITE          IHS</t>
  </si>
  <si>
    <t xml:space="preserve">TVA </t>
  </si>
  <si>
    <t>18%</t>
  </si>
  <si>
    <t>PROVISION ORANGE - PRESTATION "ONE RADIO"</t>
  </si>
  <si>
    <t>MONTANT HT</t>
  </si>
  <si>
    <t>OCI-PREST 193 ATHENA 1  Q1 - JANVIER 23 - MARS 23</t>
  </si>
  <si>
    <t>OCI-ATHENA 2 -125 SIT Q1 - JANVIER 23 - MARS 23</t>
  </si>
  <si>
    <t>OCI-BTS 150 SIT Q1 - JANVIER 23 - MARS 23</t>
  </si>
  <si>
    <t>OCI-65 SIT  BARTER Q1 - JANVIER 23 - MARS 23</t>
  </si>
  <si>
    <t>OCI-33 SITES TIERS - JANVIER 23</t>
  </si>
  <si>
    <t>OCI-COLOC 399 SIT Q1 - JANVIER 23 - MARS 23</t>
  </si>
  <si>
    <t>OCI-MLL BPCI 18 SIT  Q1 - JANVIER 23 - MARS 23</t>
  </si>
  <si>
    <t>OCI-MLL BPCI 22 SIT Q1 - JANVIER 23 - MARS 23</t>
  </si>
  <si>
    <t>FACTURATION PREVISIONNELLE Q1 - 2023</t>
  </si>
  <si>
    <t>OCI-33 SITES TIERS JANVIER 23</t>
  </si>
  <si>
    <t>ORANGE TOTAL FACTURES - JANVIER 23</t>
  </si>
  <si>
    <t>OCI-33 SITES TIERS FEVRIER 23</t>
  </si>
  <si>
    <t>OCI-33 SITES TIERS MARS  23</t>
  </si>
  <si>
    <t>OCI- Avoir Loyer Ex BARTER Q1 -2023</t>
  </si>
  <si>
    <t>NET A PAYER Q1 -2023</t>
  </si>
  <si>
    <t>H</t>
  </si>
  <si>
    <t>NET A PAYER Q1</t>
  </si>
  <si>
    <t xml:space="preserve">BTS_Nawa </t>
  </si>
  <si>
    <t>OCI-MLL 1108 SIT   Q1 - JANVIER 23 - MARS 23</t>
  </si>
  <si>
    <t>BTS -10% Discount</t>
  </si>
  <si>
    <t>PV OCI PROJET 18 SITES COLOCATION NAWA ( en attente du contrat signé pour facturation )</t>
  </si>
  <si>
    <t>PV OCI PROJET 13 SITES  BTS NAWA ( en attente du contrat signé pour facturation )</t>
  </si>
  <si>
    <t>IHS_BSD_259O</t>
  </si>
  <si>
    <t>BEREBY_BIS</t>
  </si>
  <si>
    <t>IHS_WRD_064O</t>
  </si>
  <si>
    <t>KANI_BIS</t>
  </si>
  <si>
    <t>IHS_SVN_179O</t>
  </si>
  <si>
    <t>POGO_BIS</t>
  </si>
  <si>
    <t>IHS_SVN_177O</t>
  </si>
  <si>
    <t>TINGRELA_BIS</t>
  </si>
  <si>
    <t>IHS_MCY_094O</t>
  </si>
  <si>
    <t>TOULEUPLEU_BIS</t>
  </si>
  <si>
    <t>IHS_MCY_093O</t>
  </si>
  <si>
    <t>TAI_BIS</t>
  </si>
  <si>
    <t>IHS_SCE_117O</t>
  </si>
  <si>
    <t>NOE_BIS</t>
  </si>
  <si>
    <t>IHS_SVN_142O</t>
  </si>
  <si>
    <t>KONG_BIS</t>
  </si>
  <si>
    <t>IHS_VDB_144O</t>
  </si>
  <si>
    <t>TORTIYA_BIS</t>
  </si>
  <si>
    <t>IHS_VDB_150O</t>
  </si>
  <si>
    <t>NIAKARA_BIS</t>
  </si>
  <si>
    <t>IHS_VDB_154O</t>
  </si>
  <si>
    <t>DABAKALA_BIS</t>
  </si>
  <si>
    <t>IHS_ZNZ_104O</t>
  </si>
  <si>
    <t>DOROPO_BIS</t>
  </si>
  <si>
    <t>PROV ORANGE - BTS NAWA MBENGUE_BIS  - Oct 22</t>
  </si>
  <si>
    <t>IHS_SVN_178O</t>
  </si>
  <si>
    <t>MBENGUE_BIS</t>
  </si>
  <si>
    <t>PROV ORANGE - BTS NAWA BEREBY_BIS  - SEP 22</t>
  </si>
  <si>
    <t>PROV ORANGE - BTS NAWA KANI_BIS  - SEP 22</t>
  </si>
  <si>
    <t>PROV ORANGE - BTS NAWA POGO_BIS  - SEP 22</t>
  </si>
  <si>
    <t>PROV ORANGE - BTS NAWA TINGRELA_BIS  - SEP 22</t>
  </si>
  <si>
    <t>PROV ORANGE - BTS NAWA TOULEUPLEU_BIS  - SEP 22</t>
  </si>
  <si>
    <t>PROV ORANGE - BTS NAWA TAI_BIS  - SEP 22</t>
  </si>
  <si>
    <t>PROV ORANGE - BTS NAWA NOE_BIS  - SEP 22</t>
  </si>
  <si>
    <t>PROV ORANGE - BTS NAWA KONG_BIS  - SEP 22</t>
  </si>
  <si>
    <t>PROV ORANGE - BTS NAWA TORTIYA_BIS  - SEP 22</t>
  </si>
  <si>
    <t>PROV ORANGE - BTS NAWA NIAKARA_BIS  - SEP 22</t>
  </si>
  <si>
    <t>PROV ORANGE - BTS NAWA DABAKALA_BIS  - SEP 22</t>
  </si>
  <si>
    <t>PROV ORANGE - BTS NAWA DOROPO_BIS  - SEP 22</t>
  </si>
  <si>
    <t xml:space="preserve">10% Discount </t>
  </si>
  <si>
    <t>PROV ORANGE - BTS NAWA BEREBY_BIS  - OCT 22</t>
  </si>
  <si>
    <t>PROV ORANGE - BTS NAWA KANI_BIS  - OCT 22</t>
  </si>
  <si>
    <t>PROV ORANGE - BTS NAWA POGO_BIS  - OCT 22</t>
  </si>
  <si>
    <t>PROV ORANGE - BTS NAWA TINGRELA_BIS  - OCT 22</t>
  </si>
  <si>
    <t>PROV ORANGE - BTS NAWA TOULEUPLEU_BIS  - OCT 22</t>
  </si>
  <si>
    <t>PROV ORANGE - BTS NAWA TAI_BIS  - OCT 22</t>
  </si>
  <si>
    <t>PROV ORANGE - BTS NAWA NOE_BIS  - OCT 22</t>
  </si>
  <si>
    <t>PROV ORANGE - BTS NAWA KONG_BIS  - OCT 22</t>
  </si>
  <si>
    <t>PROV ORANGE - BTS NAWA TORTIYA_BIS  - OCT 22</t>
  </si>
  <si>
    <t>PROV ORANGE - BTS NAWA NIAKARA_BIS  - OCT 22</t>
  </si>
  <si>
    <t>PROV ORANGE - BTS NAWA DABAKALA_BIS  - OCT 22</t>
  </si>
  <si>
    <t>PROV ORANGE - BTS NAWA DOROPO_BIS  - OCT 22</t>
  </si>
  <si>
    <t>PROV ORANGE - BTS NAWA BEREBY_BIS  - NOV 22</t>
  </si>
  <si>
    <t>PROV ORANGE - BTS NAWA KANI_BIS  - NOV 22</t>
  </si>
  <si>
    <t>PROV ORANGE - BTS NAWA POGO_BIS  - NOV 22</t>
  </si>
  <si>
    <t>PROV ORANGE - BTS NAWA TINGRELA_BIS  - NOV 22</t>
  </si>
  <si>
    <t>PROV ORANGE - BTS NAWA TOULEUPLEU_BIS  - NOV 22</t>
  </si>
  <si>
    <t>PROV ORANGE - BTS NAWA TAI_BIS  - NOV 22</t>
  </si>
  <si>
    <t>PROV ORANGE - BTS NAWA NOE_BIS  - NOV 22</t>
  </si>
  <si>
    <t>PROV ORANGE - BTS NAWA KONG_BIS  - NOV 22</t>
  </si>
  <si>
    <t>PROV ORANGE - BTS NAWA TORTIYA_BIS  - NOV 22</t>
  </si>
  <si>
    <t>PROV ORANGE - BTS NAWA NIAKARA_BIS  - NOV 22</t>
  </si>
  <si>
    <t>PROV ORANGE - BTS NAWA DABAKALA_BIS  - NOV 22</t>
  </si>
  <si>
    <t>PROV ORANGE - BTS NAWA DOROPO_BIS  - NOV 22</t>
  </si>
  <si>
    <t>PROV ORANGE - BTS NAWA MBENGUE_BIS  - NOV 22</t>
  </si>
  <si>
    <t>PROV ORANGE - BTS NAWA BEREBY_BIS  - DEC 22</t>
  </si>
  <si>
    <t>PROV ORANGE - BTS NAWA KANI_BIS  - DEC 22</t>
  </si>
  <si>
    <t>PROV ORANGE - BTS NAWA POGO_BIS  - DEC 22</t>
  </si>
  <si>
    <t>PROV ORANGE - BTS NAWA TINGRELA_BIS  - DEC 22</t>
  </si>
  <si>
    <t>PROV ORANGE - BTS NAWA TOULEUPLEU_BIS  - DEC 22</t>
  </si>
  <si>
    <t>PROV ORANGE - BTS NAWA TAI_BIS  - DEC 22</t>
  </si>
  <si>
    <t>PROV ORANGE - BTS NAWA NOE_BIS  - DEC 22</t>
  </si>
  <si>
    <t>PROV ORANGE - BTS NAWA KONG_BIS  - DEC 22</t>
  </si>
  <si>
    <t>PROV ORANGE - BTS NAWA TORTIYA_BIS  - DEC 22</t>
  </si>
  <si>
    <t>PROV ORANGE - BTS NAWA NIAKARA_BIS  - DEC 22</t>
  </si>
  <si>
    <t>PROV ORANGE - BTS NAWA DABAKALA_BIS  - DEC 22</t>
  </si>
  <si>
    <t>PROV ORANGE - BTS NAWA DOROPO_BIS  - DEC 22</t>
  </si>
  <si>
    <t>PROV ORANGE - BTS NAWA MBENGUE_BIS  - DEC 22</t>
  </si>
  <si>
    <t>IHS_VDB_137M</t>
  </si>
  <si>
    <t>ASSAKRO BOUAKE</t>
  </si>
  <si>
    <t>PROV ORANGE-COLOC NAWA - ASSAKRO BOUAKE - NOVEMBRE 22</t>
  </si>
  <si>
    <t>PROV ORANGE-COLOC NAWA - Site TIEZANKRO 3 - DECEMBRE 22</t>
  </si>
  <si>
    <t>PROV ORANGE-COLOC NAWA - ASSAKRO BOUAKE - DECEMBRE 22</t>
  </si>
  <si>
    <t>PROV ORANGE-COLOC NAWA - ASSAKRO BOUAKE - OCTOBRE 22</t>
  </si>
  <si>
    <t>ORANGE - AVOIR SUR  SITE MLL - TERRAFRIC /IHS_LGN_482O</t>
  </si>
  <si>
    <t>ORANGE - AVOIR SUR  SITE MLL - TERRAFRIC /IHS_LGN_482O  - NOV 22 - DEC 22</t>
  </si>
  <si>
    <t>18 new sites/Coloc_Nawa</t>
  </si>
  <si>
    <t>13 new sites/ BTS_Nawa</t>
  </si>
  <si>
    <t>Commentaire</t>
  </si>
  <si>
    <t>Projet</t>
  </si>
  <si>
    <t>En attente du contrat signé</t>
  </si>
  <si>
    <t>ONE RADIO</t>
  </si>
  <si>
    <t>33 Sites-tiers</t>
  </si>
  <si>
    <t>OK Pour facturation mensuelle</t>
  </si>
  <si>
    <t>OK Pour facturation trimestrielle</t>
  </si>
  <si>
    <t>Nombre de Sites - Q1.2023</t>
  </si>
  <si>
    <t>PROV ORANGE-COLOC NAWA - Site TIEZANKRO 3 - JANVIER 23</t>
  </si>
  <si>
    <t>PROV ORANGE-COLOC NAWA - Site Blolequin New - JANVIER 23</t>
  </si>
  <si>
    <t>PROV ORANGE-COLOC NAWA - Site ZAGUIETA - JANVIER 23</t>
  </si>
  <si>
    <t>PROV ORANGE-COLOC NAWA - BROUSSOUPALEGNOA - JANVIER 23</t>
  </si>
  <si>
    <t>PROV ORANGE-COLOC NAWA - M'bahiakro2 - JANVIER 23</t>
  </si>
  <si>
    <t>PROV ORANGE-COLOC NAWA - AYENOUAN - JANVIER 23</t>
  </si>
  <si>
    <t>PROV ORANGE-COLOC NAWA - GuitryMTN - JANVIER 23</t>
  </si>
  <si>
    <t>PROV OCI COLOC_Nawa site TOBLY-BANGOLO JANVIER 23</t>
  </si>
  <si>
    <t>PROV OCI COLOC_Nawa site BANGOLONEW JANVIER 23</t>
  </si>
  <si>
    <t>PROV OCI COLOC_Nawa site YabayoFO JANVIER 23</t>
  </si>
  <si>
    <t>PROV OCI COLOC_Nawa site ABOBOCASSE JANVIER 23</t>
  </si>
  <si>
    <t>PROV OCI COLOC_Nawa site SIBABLY JANVIER 23</t>
  </si>
  <si>
    <t>PROV OCI COLOC_Nawa site AboboSud JANVIER 23</t>
  </si>
  <si>
    <t>PROV OCI COLOC_Nawa site DerRail JANVIER 23</t>
  </si>
  <si>
    <t>PROV OCI COLOC_Nawa site YAO DANKRO JANVIER 23</t>
  </si>
  <si>
    <t>PROV OCI COLOC_Nawa site AboboSteFoi JANVIER 23</t>
  </si>
  <si>
    <t>PROV OCI COLOC_Nawa site SOKROUGBAN JANVIER 23</t>
  </si>
  <si>
    <t>PROV ORANGE-COLOC NAWA - ASSAKRO BOUAKE - JANVIER 23</t>
  </si>
  <si>
    <t>PROV ORANGE-COLOC NAWA - Site TIEZANKRO 3 - FEVRIER 23</t>
  </si>
  <si>
    <t>PROV ORANGE-COLOC NAWA - Site Blolequin New - FEVRIER 23</t>
  </si>
  <si>
    <t>PROV ORANGE-COLOC NAWA - Site ZAGUIETA - FEVRIER 23</t>
  </si>
  <si>
    <t>PROV ORANGE-COLOC NAWA - BROUSSOUPALEGNOA - FEVRIER 23</t>
  </si>
  <si>
    <t>PROV ORANGE-COLOC NAWA - M'bahiakro2 - FEVRIER 23</t>
  </si>
  <si>
    <t>PROV ORANGE-COLOC NAWA - AYENOUAN - FEVRIER 23</t>
  </si>
  <si>
    <t>PROV ORANGE-COLOC NAWA - GuitryMTN - FEVRIER 23</t>
  </si>
  <si>
    <t>PROV OCI COLOC_Nawa site TOBLY-BANGOLO FEVRIER 23</t>
  </si>
  <si>
    <t>PROV OCI COLOC_Nawa site BANGOLONEW FEVRIER 23</t>
  </si>
  <si>
    <t>PROV OCI COLOC_Nawa site YabayoFO FEVRIER 23</t>
  </si>
  <si>
    <t>PROV OCI COLOC_Nawa site ABOBOCASSE FEVRIER 23</t>
  </si>
  <si>
    <t>PROV OCI COLOC_Nawa site SIBABLY FEVRIER 23</t>
  </si>
  <si>
    <t>PROV OCI COLOC_Nawa site AboboSud FEVRIER 23</t>
  </si>
  <si>
    <t>PROV OCI COLOC_Nawa site DerRail FEVRIER 23</t>
  </si>
  <si>
    <t>PROV OCI COLOC_Nawa site YAO DANKRO FEVRIER 23</t>
  </si>
  <si>
    <t>PROV OCI COLOC_Nawa site AboboSteFoi FEVRIER 23</t>
  </si>
  <si>
    <t>PROV OCI COLOC_Nawa site SOKROUGBAN FEVRIER 23</t>
  </si>
  <si>
    <t>PROV ORANGE-COLOC NAWA - ASSAKRO BOUAKE - FEVRIER 23</t>
  </si>
  <si>
    <t>PROV ORANGE-COLOC NAWA - Site TIEZANKRO 3 - MARS 23</t>
  </si>
  <si>
    <t>PROV ORANGE-COLOC NAWA - Site Blolequin New - MARS 23</t>
  </si>
  <si>
    <t>PROV ORANGE-COLOC NAWA - Site ZAGUIETA - MARS 23</t>
  </si>
  <si>
    <t>PROV ORANGE-COLOC NAWA - BROUSSOUPALEGNOA - MARS 23</t>
  </si>
  <si>
    <t>PROV ORANGE-COLOC NAWA - M'bahiakro2 - MARS 23</t>
  </si>
  <si>
    <t>PROV ORANGE-COLOC NAWA - AYENOUAN - MARS 23</t>
  </si>
  <si>
    <t>PROV ORANGE-COLOC NAWA - GuitryMTN - MARS 23</t>
  </si>
  <si>
    <t>PROV OCI COLOC_Nawa site TOBLY-BANGOLO MARS 23</t>
  </si>
  <si>
    <t>PROV OCI COLOC_Nawa site BANGOLONEW MARS 23</t>
  </si>
  <si>
    <t>PROV OCI COLOC_Nawa site YabayoFO MARS 23</t>
  </si>
  <si>
    <t>PROV OCI COLOC_Nawa site ABOBOCASSE MARS 23</t>
  </si>
  <si>
    <t>PROV OCI COLOC_Nawa site SIBABLY MARS 23</t>
  </si>
  <si>
    <t>PROV OCI COLOC_Nawa site AboboSud MARS 23</t>
  </si>
  <si>
    <t>PROV OCI COLOC_Nawa site DerRail MARS 23</t>
  </si>
  <si>
    <t>PROV OCI COLOC_Nawa site YAO DANKRO MARS 23</t>
  </si>
  <si>
    <t>PROV OCI COLOC_Nawa site AboboSteFoi MARS 23</t>
  </si>
  <si>
    <t>PROV OCI COLOC_Nawa site SOKROUGBAN MARS 23</t>
  </si>
  <si>
    <t>PROV ORANGE-COLOC NAWA - ASSAKRO BOUAKE - MARS 23</t>
  </si>
  <si>
    <t>PROV ORANGE - BTS NAWA BEREBY_BIS  - JAN 23</t>
  </si>
  <si>
    <t>PROV ORANGE - BTS NAWA KANI_BIS  - JAN 23</t>
  </si>
  <si>
    <t>PROV ORANGE - BTS NAWA POGO_BIS  - JAN 23</t>
  </si>
  <si>
    <t>PROV ORANGE - BTS NAWA TINGRELA_BIS  - JAN 23</t>
  </si>
  <si>
    <t>PROV ORANGE - BTS NAWA TOULEUPLEU_BIS  - JAN 23</t>
  </si>
  <si>
    <t>PROV ORANGE - BTS NAWA TAI_BIS  - JAN 23</t>
  </si>
  <si>
    <t>PROV ORANGE - BTS NAWA NOE_BIS  - JAN 23</t>
  </si>
  <si>
    <t>PROV ORANGE - BTS NAWA KONG_BIS  - JAN 23</t>
  </si>
  <si>
    <t>PROV ORANGE - BTS NAWA TORTIYA_BIS  - JAN 23</t>
  </si>
  <si>
    <t>PROV ORANGE - BTS NAWA NIAKARA_BIS  - JAN 23</t>
  </si>
  <si>
    <t>PROV ORANGE - BTS NAWA DABAKALA_BIS  - JAN 23</t>
  </si>
  <si>
    <t>PROV ORANGE - BTS NAWA DOROPO_BIS  - JAN 23</t>
  </si>
  <si>
    <t>PROV ORANGE - BTS NAWA MBENGUE_BIS  - JAN 23</t>
  </si>
  <si>
    <t>PROV ORANGE - BTS NAWA BEREBY_BIS  - FEV 23</t>
  </si>
  <si>
    <t>PROV ORANGE - BTS NAWA KANI_BIS  - FEV 23</t>
  </si>
  <si>
    <t>PROV ORANGE - BTS NAWA POGO_BIS  - FEV 23</t>
  </si>
  <si>
    <t>PROV ORANGE - BTS NAWA TINGRELA_BIS  - FEV 23</t>
  </si>
  <si>
    <t>PROV ORANGE - BTS NAWA TOULEUPLEU_BIS  - FEV 23</t>
  </si>
  <si>
    <t>PROV ORANGE - BTS NAWA TAI_BIS  - FEV 23</t>
  </si>
  <si>
    <t>PROV ORANGE - BTS NAWA NOE_BIS  - FEV 23</t>
  </si>
  <si>
    <t>PROV ORANGE - BTS NAWA KONG_BIS  - FEV 23</t>
  </si>
  <si>
    <t>PROV ORANGE - BTS NAWA TORTIYA_BIS  - FEV 23</t>
  </si>
  <si>
    <t>PROV ORANGE - BTS NAWA NIAKARA_BIS  - FEV 23</t>
  </si>
  <si>
    <t>PROV ORANGE - BTS NAWA DABAKALA_BIS  - FEV 23</t>
  </si>
  <si>
    <t>PROV ORANGE - BTS NAWA DOROPO_BIS  - FEV 23</t>
  </si>
  <si>
    <t>PROV ORANGE - BTS NAWA MBENGUE_BIS  - FEV 23</t>
  </si>
  <si>
    <t>PROV ORANGE - BTS NAWA BEREBY_BIS  - MARS 23</t>
  </si>
  <si>
    <t>PROV ORANGE - BTS NAWA KANI_BIS  - MARS 23</t>
  </si>
  <si>
    <t>PROV ORANGE - BTS NAWA POGO_BIS  - MARS 23</t>
  </si>
  <si>
    <t>PROV ORANGE - BTS NAWA TINGRELA_BIS  - MARS 23</t>
  </si>
  <si>
    <t>PROV ORANGE - BTS NAWA TOULEUPLEU_BIS  - MARS 23</t>
  </si>
  <si>
    <t>PROV ORANGE - BTS NAWA TAI_BIS  - MARS 23</t>
  </si>
  <si>
    <t>PROV ORANGE - BTS NAWA NOE_BIS  - MARS 23</t>
  </si>
  <si>
    <t>PROV ORANGE - BTS NAWA KONG_BIS  - MARS 23</t>
  </si>
  <si>
    <t>PROV ORANGE - BTS NAWA TORTIYA_BIS  - MARS 23</t>
  </si>
  <si>
    <t>PROV ORANGE - BTS NAWA NIAKARA_BIS  - MARS 23</t>
  </si>
  <si>
    <t>PROV ORANGE - BTS NAWA DABAKALA_BIS  - MARS 23</t>
  </si>
  <si>
    <t>PROV ORANGE - BTS NAWA DOROPO_BIS  - MARS 23</t>
  </si>
  <si>
    <t>PROV ORANGE - BTS NAWA MBENGUE_BIS  - MARS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</si>
</sst>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 _€_-;\-* #,##0.00\ _€_-;_-* &quot;-&quot;??\ _€_-;_-@_-"/>
    <numFmt numFmtId="165" formatCode="_-* #,##0\ [$XOF]_-;\-* #,##0\ [$XOF]_-;_-* &quot;-&quot;\ [$XOF]_-;_-@_-"/>
    <numFmt numFmtId="166" formatCode="_-* #,##0\ _€_-;\-* #,##0\ _€_-;_-* &quot;-&quot;??\ _€_-;_-@_-"/>
    <numFmt numFmtId="167" formatCode="_(* #,##0.00_);_(* \(#,##0.00\);_(* &quot;-&quot;??_);_(@_)"/>
    <numFmt numFmtId="168" formatCode="_(&quot;$&quot;* #,##0.00_);_(&quot;$&quot;* \(#,##0.00\);_(&quot;$&quot;* &quot;-&quot;??_);_(@_)"/>
    <numFmt numFmtId="169" formatCode="[$-409]d/mmm;@"/>
    <numFmt numFmtId="170" formatCode="0.0%"/>
    <numFmt numFmtId="171" formatCode="[$-40C]d\-mmm\-yy;@"/>
    <numFmt numFmtId="172" formatCode="[$-1300C]d\ mmm\ yyyy;@"/>
    <numFmt numFmtId="173" formatCode="[$-80C]dd\-mmm\-yy;@"/>
  </numFmts>
  <fonts count="36" x14ac:knownFonts="1">
    <font>
      <sz val="11"/>
      <color theme="1"/>
      <name val="Calibri"/>
      <family val="2"/>
      <scheme val="minor"/>
    </font>
    <font>
      <sz val="11"/>
      <color theme="1"/>
      <name val="Calibri"/>
      <family val="2"/>
    </font>
    <font>
      <sz val="11"/>
      <color theme="1"/>
      <name val="Calibri"/>
      <family val="2"/>
    </font>
    <font>
      <sz val="11"/>
      <color theme="1"/>
      <name val="Calibri"/>
      <family val="2"/>
      <scheme val="minor"/>
    </font>
    <font>
      <b/>
      <sz val="11"/>
      <color theme="1"/>
      <name val="Calibri"/>
      <family val="2"/>
      <scheme val="minor"/>
    </font>
    <font>
      <sz val="10"/>
      <name val="Calibri"/>
      <family val="2"/>
      <scheme val="minor"/>
    </font>
    <font>
      <sz val="11"/>
      <color theme="1"/>
      <name val="Calibri"/>
      <family val="2"/>
    </font>
    <font>
      <b/>
      <sz val="9"/>
      <color rgb="FF000000"/>
      <name val="Calibri"/>
      <family val="2"/>
      <scheme val="minor"/>
    </font>
    <font>
      <sz val="10"/>
      <color theme="1"/>
      <name val="Calibri"/>
      <family val="2"/>
      <scheme val="minor"/>
    </font>
    <font>
      <b/>
      <sz val="11"/>
      <color rgb="FF000000"/>
      <name val="Calibri"/>
      <family val="2"/>
    </font>
    <font>
      <sz val="10"/>
      <color theme="1"/>
      <name val="Calibri"/>
      <family val="2"/>
    </font>
    <font>
      <b/>
      <sz val="11"/>
      <color theme="0"/>
      <name val="Calibri"/>
      <family val="2"/>
    </font>
    <font>
      <b/>
      <sz val="11"/>
      <name val="Calibri"/>
      <family val="2"/>
      <scheme val="minor"/>
    </font>
    <font>
      <b/>
      <sz val="11"/>
      <name val="Calibri"/>
      <family val="2"/>
    </font>
    <font>
      <sz val="11"/>
      <color rgb="FFFF0000"/>
      <name val="Calibri"/>
      <family val="2"/>
      <scheme val="minor"/>
    </font>
    <font>
      <sz val="11"/>
      <name val="Calibri"/>
      <family val="2"/>
      <scheme val="minor"/>
    </font>
    <font>
      <b/>
      <sz val="12"/>
      <color theme="1"/>
      <name val="Calibri"/>
      <family val="2"/>
    </font>
    <font>
      <b/>
      <sz val="12"/>
      <color theme="1"/>
      <name val="Calibri"/>
      <family val="2"/>
      <scheme val="minor"/>
    </font>
    <font>
      <sz val="10"/>
      <name val="Arial"/>
      <family val="2"/>
    </font>
    <font>
      <sz val="9"/>
      <color indexed="81"/>
      <name val="Tahoma"/>
      <family val="2"/>
    </font>
    <font>
      <b/>
      <sz val="9"/>
      <color indexed="81"/>
      <name val="Tahoma"/>
      <family val="2"/>
    </font>
    <font>
      <sz val="9"/>
      <color theme="1"/>
      <name val="Arial"/>
      <family val="2"/>
    </font>
    <font>
      <sz val="12"/>
      <color theme="1"/>
      <name val="Arial"/>
      <family val="2"/>
    </font>
    <font>
      <sz val="11"/>
      <color theme="1"/>
      <name val="Arial"/>
      <family val="2"/>
    </font>
    <font>
      <sz val="11"/>
      <name val="Arial"/>
      <family val="2"/>
    </font>
    <font>
      <b/>
      <sz val="11"/>
      <color theme="1"/>
      <name val="Arial"/>
      <family val="2"/>
    </font>
    <font>
      <sz val="11"/>
      <color rgb="FF000000"/>
      <name val="Arial"/>
      <family val="2"/>
    </font>
    <font>
      <b/>
      <sz val="11"/>
      <color rgb="FF000000"/>
      <name val="Arial"/>
      <family val="2"/>
    </font>
    <font>
      <b/>
      <sz val="12"/>
      <name val="Arial"/>
      <family val="2"/>
    </font>
    <font>
      <sz val="11"/>
      <color rgb="FFFF0000"/>
      <name val="Calibri"/>
      <family val="2"/>
    </font>
    <font>
      <b/>
      <sz val="11"/>
      <color theme="1"/>
      <name val="Calibri"/>
      <family val="2"/>
    </font>
    <font>
      <b/>
      <sz val="9"/>
      <color theme="1"/>
      <name val="Arial"/>
      <family val="2"/>
    </font>
    <font>
      <b/>
      <sz val="12"/>
      <color theme="1"/>
      <name val="Arial"/>
      <family val="2"/>
    </font>
    <font>
      <b/>
      <sz val="10"/>
      <color theme="1"/>
      <name val="Arial"/>
      <family val="2"/>
    </font>
    <font>
      <sz val="14"/>
      <color theme="1"/>
      <name val="Arial"/>
      <family val="2"/>
    </font>
    <font>
      <sz val="10"/>
      <name val="Calibri"/>
      <family val="2"/>
    </font>
  </fonts>
  <fills count="16">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FFFFFF"/>
        <bgColor rgb="FF000000"/>
      </patternFill>
    </fill>
    <fill>
      <patternFill patternType="solid">
        <fgColor theme="1" tint="0.14999847407452621"/>
        <bgColor rgb="FF000000"/>
      </patternFill>
    </fill>
    <fill>
      <patternFill patternType="solid">
        <fgColor theme="7"/>
        <bgColor indexed="64"/>
      </patternFill>
    </fill>
    <fill>
      <patternFill patternType="solid">
        <fgColor theme="7"/>
        <bgColor rgb="FF000000"/>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indexed="9"/>
        <bgColor indexed="64"/>
      </patternFill>
    </fill>
    <fill>
      <patternFill patternType="solid">
        <fgColor theme="7" tint="0.59999389629810485"/>
        <bgColor indexed="64"/>
      </patternFill>
    </fill>
    <fill>
      <patternFill patternType="solid">
        <fgColor theme="9" tint="0.39997558519241921"/>
        <bgColor rgb="FF000000"/>
      </patternFill>
    </fill>
    <fill>
      <patternFill patternType="solid">
        <fgColor rgb="FF00B050"/>
        <bgColor indexed="64"/>
      </patternFill>
    </fill>
    <fill>
      <patternFill patternType="solid">
        <fgColor theme="9" tint="0.59999389629810485"/>
        <bgColor rgb="FF000000"/>
      </patternFill>
    </fill>
  </fills>
  <borders count="62">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rgb="FF808080"/>
      </left>
      <right style="medium">
        <color rgb="FF808080"/>
      </right>
      <top style="medium">
        <color rgb="FF808080"/>
      </top>
      <bottom style="thin">
        <color rgb="FF808080"/>
      </bottom>
      <diagonal/>
    </border>
    <border>
      <left style="medium">
        <color rgb="FF808080"/>
      </left>
      <right/>
      <top style="thin">
        <color rgb="FF808080"/>
      </top>
      <bottom style="thin">
        <color rgb="FF808080"/>
      </bottom>
      <diagonal/>
    </border>
    <border>
      <left style="medium">
        <color rgb="FF808080"/>
      </left>
      <right/>
      <top style="thin">
        <color rgb="FF808080"/>
      </top>
      <bottom/>
      <diagonal/>
    </border>
    <border>
      <left style="medium">
        <color rgb="FF808080"/>
      </left>
      <right/>
      <top style="medium">
        <color rgb="FF808080"/>
      </top>
      <bottom style="thin">
        <color rgb="FF808080"/>
      </bottom>
      <diagonal/>
    </border>
    <border>
      <left/>
      <right/>
      <top/>
      <bottom style="medium">
        <color indexed="64"/>
      </bottom>
      <diagonal/>
    </border>
    <border>
      <left style="thin">
        <color rgb="FF808080"/>
      </left>
      <right style="thin">
        <color rgb="FF808080"/>
      </right>
      <top style="medium">
        <color rgb="FF808080"/>
      </top>
      <bottom style="thin">
        <color rgb="FF808080"/>
      </bottom>
      <diagonal/>
    </border>
    <border>
      <left style="medium">
        <color rgb="FF808080"/>
      </left>
      <right style="medium">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medium">
        <color rgb="FF808080"/>
      </left>
      <right style="medium">
        <color rgb="FF808080"/>
      </right>
      <top style="thin">
        <color rgb="FF808080"/>
      </top>
      <bottom/>
      <diagonal/>
    </border>
    <border>
      <left style="medium">
        <color rgb="FF808080"/>
      </left>
      <right style="medium">
        <color rgb="FF808080"/>
      </right>
      <top style="thin">
        <color rgb="FF808080"/>
      </top>
      <bottom style="medium">
        <color rgb="FF808080"/>
      </bottom>
      <diagonal/>
    </border>
    <border>
      <left style="thin">
        <color rgb="FF808080"/>
      </left>
      <right style="thin">
        <color rgb="FF808080"/>
      </right>
      <top/>
      <bottom style="medium">
        <color rgb="FF808080"/>
      </bottom>
      <diagonal/>
    </border>
    <border>
      <left style="thin">
        <color indexed="64"/>
      </left>
      <right/>
      <top style="thin">
        <color indexed="64"/>
      </top>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indexed="64"/>
      </left>
      <right style="hair">
        <color indexed="64"/>
      </right>
      <top/>
      <bottom/>
      <diagonal/>
    </border>
    <border>
      <left style="hair">
        <color indexed="64"/>
      </left>
      <right/>
      <top/>
      <bottom/>
      <diagonal/>
    </border>
    <border>
      <left/>
      <right style="hair">
        <color indexed="64"/>
      </right>
      <top/>
      <bottom/>
      <diagonal/>
    </border>
    <border>
      <left style="hair">
        <color auto="1"/>
      </left>
      <right style="hair">
        <color auto="1"/>
      </right>
      <top style="hair">
        <color auto="1"/>
      </top>
      <bottom/>
      <diagonal/>
    </border>
    <border>
      <left/>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hair">
        <color indexed="64"/>
      </left>
      <right/>
      <top style="thin">
        <color indexed="64"/>
      </top>
      <bottom/>
      <diagonal/>
    </border>
    <border>
      <left/>
      <right/>
      <top style="thin">
        <color indexed="64"/>
      </top>
      <bottom/>
      <diagonal/>
    </border>
    <border>
      <left/>
      <right style="hair">
        <color auto="1"/>
      </right>
      <top style="thin">
        <color indexed="64"/>
      </top>
      <bottom/>
      <diagonal/>
    </border>
    <border>
      <left style="hair">
        <color auto="1"/>
      </left>
      <right style="thin">
        <color indexed="64"/>
      </right>
      <top style="thin">
        <color indexed="64"/>
      </top>
      <bottom/>
      <diagonal/>
    </border>
    <border>
      <left style="hair">
        <color indexed="64"/>
      </left>
      <right style="thin">
        <color indexed="64"/>
      </right>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rgb="FF808080"/>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4">
    <xf numFmtId="0" fontId="0" fillId="0" borderId="0"/>
    <xf numFmtId="164"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168" fontId="18" fillId="0" borderId="0" applyFont="0" applyFill="0" applyBorder="0" applyAlignment="0" applyProtection="0"/>
    <xf numFmtId="169" fontId="18" fillId="0" borderId="0"/>
    <xf numFmtId="164" fontId="3" fillId="0" borderId="0" applyFont="0" applyFill="0" applyBorder="0" applyAlignment="0" applyProtection="0"/>
    <xf numFmtId="167" fontId="18" fillId="0" borderId="0" applyFont="0" applyFill="0" applyBorder="0" applyAlignment="0" applyProtection="0"/>
    <xf numFmtId="0" fontId="21" fillId="0" borderId="0"/>
    <xf numFmtId="0" fontId="18" fillId="0" borderId="0"/>
    <xf numFmtId="164" fontId="21" fillId="0" borderId="0" applyFont="0" applyFill="0" applyBorder="0" applyAlignment="0" applyProtection="0"/>
    <xf numFmtId="0" fontId="1" fillId="0" borderId="0"/>
    <xf numFmtId="43" fontId="1" fillId="0" borderId="0" applyFont="0" applyFill="0" applyBorder="0" applyAlignment="0" applyProtection="0"/>
  </cellStyleXfs>
  <cellXfs count="305">
    <xf numFmtId="0" fontId="0" fillId="0" borderId="0" xfId="0"/>
    <xf numFmtId="0" fontId="4" fillId="0" borderId="1" xfId="0" applyFont="1" applyBorder="1" applyAlignment="1" applyProtection="1">
      <alignment horizontal="center"/>
      <protection locked="0"/>
    </xf>
    <xf numFmtId="0" fontId="0" fillId="0" borderId="2" xfId="0" applyBorder="1"/>
    <xf numFmtId="165" fontId="0" fillId="0" borderId="2" xfId="1" applyNumberFormat="1" applyFont="1" applyBorder="1"/>
    <xf numFmtId="165" fontId="0" fillId="0" borderId="0" xfId="1" applyNumberFormat="1" applyFont="1"/>
    <xf numFmtId="0" fontId="4" fillId="0" borderId="0" xfId="0" applyFont="1" applyAlignment="1">
      <alignment horizontal="center"/>
    </xf>
    <xf numFmtId="166" fontId="0" fillId="0" borderId="0" xfId="1" applyNumberFormat="1" applyFont="1"/>
    <xf numFmtId="166" fontId="0" fillId="0" borderId="2" xfId="1" applyNumberFormat="1" applyFont="1" applyBorder="1"/>
    <xf numFmtId="0" fontId="0" fillId="0" borderId="3" xfId="0" applyBorder="1"/>
    <xf numFmtId="166" fontId="0" fillId="0" borderId="0" xfId="0" applyNumberFormat="1"/>
    <xf numFmtId="0" fontId="4" fillId="0" borderId="2" xfId="0" applyFont="1" applyBorder="1" applyAlignment="1">
      <alignment horizontal="center"/>
    </xf>
    <xf numFmtId="1" fontId="0" fillId="0" borderId="2" xfId="0" applyNumberFormat="1" applyBorder="1"/>
    <xf numFmtId="0" fontId="4" fillId="0" borderId="4" xfId="0" applyFont="1" applyBorder="1" applyAlignment="1">
      <alignment horizontal="center"/>
    </xf>
    <xf numFmtId="0" fontId="0" fillId="0" borderId="4" xfId="0" applyBorder="1"/>
    <xf numFmtId="49" fontId="7" fillId="0" borderId="2" xfId="0" applyNumberFormat="1" applyFont="1" applyBorder="1" applyAlignment="1">
      <alignment horizontal="center" vertical="center"/>
    </xf>
    <xf numFmtId="1" fontId="0" fillId="0" borderId="2" xfId="1" applyNumberFormat="1" applyFont="1" applyBorder="1"/>
    <xf numFmtId="166" fontId="4" fillId="0" borderId="0" xfId="1" applyNumberFormat="1" applyFont="1"/>
    <xf numFmtId="166" fontId="4" fillId="2" borderId="2" xfId="1" applyNumberFormat="1" applyFont="1" applyFill="1" applyBorder="1"/>
    <xf numFmtId="0" fontId="4" fillId="0" borderId="0" xfId="0" applyFont="1"/>
    <xf numFmtId="0" fontId="4" fillId="0" borderId="2" xfId="0" applyFont="1" applyBorder="1"/>
    <xf numFmtId="0" fontId="4" fillId="2" borderId="2" xfId="0" applyFont="1" applyFill="1" applyBorder="1"/>
    <xf numFmtId="0" fontId="4" fillId="2" borderId="0" xfId="0" applyFont="1" applyFill="1"/>
    <xf numFmtId="0" fontId="4" fillId="2" borderId="2" xfId="0" applyFont="1" applyFill="1" applyBorder="1" applyAlignment="1">
      <alignment horizontal="center" vertical="center"/>
    </xf>
    <xf numFmtId="166" fontId="4" fillId="0" borderId="2" xfId="1" applyNumberFormat="1" applyFont="1" applyBorder="1"/>
    <xf numFmtId="0" fontId="4" fillId="3" borderId="2" xfId="0" applyFont="1" applyFill="1" applyBorder="1" applyAlignment="1">
      <alignment horizontal="center"/>
    </xf>
    <xf numFmtId="166" fontId="4" fillId="2" borderId="2" xfId="1" applyNumberFormat="1" applyFont="1" applyFill="1" applyBorder="1" applyAlignment="1">
      <alignment horizontal="center"/>
    </xf>
    <xf numFmtId="166" fontId="4" fillId="2" borderId="2" xfId="1" applyNumberFormat="1" applyFont="1" applyFill="1" applyBorder="1" applyAlignment="1">
      <alignment vertical="center"/>
    </xf>
    <xf numFmtId="165" fontId="4" fillId="0" borderId="2" xfId="1" applyNumberFormat="1" applyFont="1" applyBorder="1"/>
    <xf numFmtId="0" fontId="4" fillId="0" borderId="0" xfId="0" applyFont="1" applyAlignment="1" applyProtection="1">
      <alignment horizontal="center"/>
      <protection locked="0"/>
    </xf>
    <xf numFmtId="165" fontId="0" fillId="0" borderId="0" xfId="1" applyNumberFormat="1" applyFont="1" applyBorder="1"/>
    <xf numFmtId="166" fontId="0" fillId="0" borderId="0" xfId="1" applyNumberFormat="1" applyFont="1" applyBorder="1"/>
    <xf numFmtId="0" fontId="5" fillId="0" borderId="5" xfId="0" applyFont="1" applyBorder="1" applyAlignment="1">
      <alignment horizontal="center" vertical="center"/>
    </xf>
    <xf numFmtId="0" fontId="9" fillId="4" borderId="2" xfId="0" applyFont="1" applyFill="1" applyBorder="1" applyAlignment="1">
      <alignment horizontal="center" vertical="center" wrapText="1"/>
    </xf>
    <xf numFmtId="0" fontId="6" fillId="4" borderId="2" xfId="0" applyFont="1" applyFill="1" applyBorder="1"/>
    <xf numFmtId="0" fontId="6" fillId="4" borderId="2" xfId="0" applyFont="1" applyFill="1" applyBorder="1" applyAlignment="1">
      <alignment wrapText="1"/>
    </xf>
    <xf numFmtId="0" fontId="5" fillId="0" borderId="2" xfId="0" applyFont="1" applyBorder="1" applyAlignment="1">
      <alignment horizontal="center" vertical="center"/>
    </xf>
    <xf numFmtId="166" fontId="0" fillId="0" borderId="2" xfId="1" applyNumberFormat="1" applyFont="1" applyBorder="1" applyAlignment="1">
      <alignment horizontal="left"/>
    </xf>
    <xf numFmtId="49" fontId="8" fillId="0" borderId="2" xfId="0" applyNumberFormat="1" applyFont="1" applyBorder="1" applyAlignment="1">
      <alignment horizontal="center" vertical="center"/>
    </xf>
    <xf numFmtId="0" fontId="11" fillId="5" borderId="6" xfId="0" applyFont="1" applyFill="1" applyBorder="1"/>
    <xf numFmtId="0" fontId="6" fillId="4" borderId="7" xfId="0" applyFont="1" applyFill="1" applyBorder="1"/>
    <xf numFmtId="0" fontId="6" fillId="4" borderId="7" xfId="0" applyFont="1" applyFill="1" applyBorder="1" applyAlignment="1">
      <alignment wrapText="1"/>
    </xf>
    <xf numFmtId="0" fontId="6" fillId="4" borderId="8" xfId="0" applyFont="1" applyFill="1" applyBorder="1" applyAlignment="1">
      <alignment wrapText="1"/>
    </xf>
    <xf numFmtId="9" fontId="10" fillId="0" borderId="2" xfId="0" applyNumberFormat="1" applyFont="1" applyBorder="1" applyAlignment="1">
      <alignment horizontal="center"/>
    </xf>
    <xf numFmtId="164" fontId="10" fillId="4" borderId="2" xfId="1" applyFont="1" applyFill="1" applyBorder="1"/>
    <xf numFmtId="166" fontId="0" fillId="6" borderId="2" xfId="1" applyNumberFormat="1" applyFont="1" applyFill="1" applyBorder="1"/>
    <xf numFmtId="0" fontId="0" fillId="6" borderId="0" xfId="0" applyFill="1"/>
    <xf numFmtId="0" fontId="13" fillId="4" borderId="2" xfId="0" applyFont="1" applyFill="1" applyBorder="1" applyAlignment="1">
      <alignment horizontal="center" vertical="center" wrapText="1"/>
    </xf>
    <xf numFmtId="0" fontId="12" fillId="0" borderId="2" xfId="0" applyFont="1" applyBorder="1"/>
    <xf numFmtId="0" fontId="12" fillId="0" borderId="0" xfId="0" applyFont="1"/>
    <xf numFmtId="0" fontId="0" fillId="3" borderId="0" xfId="0" applyFill="1"/>
    <xf numFmtId="166" fontId="0" fillId="3" borderId="2" xfId="1" applyNumberFormat="1" applyFont="1" applyFill="1" applyBorder="1"/>
    <xf numFmtId="166" fontId="0" fillId="3" borderId="2" xfId="0" applyNumberFormat="1" applyFill="1" applyBorder="1"/>
    <xf numFmtId="166" fontId="0" fillId="0" borderId="2" xfId="1" applyNumberFormat="1" applyFont="1" applyFill="1" applyBorder="1"/>
    <xf numFmtId="0" fontId="0" fillId="0" borderId="2" xfId="0" applyBorder="1" applyAlignment="1">
      <alignment horizontal="right"/>
    </xf>
    <xf numFmtId="0" fontId="9" fillId="0" borderId="2" xfId="0" applyFont="1" applyBorder="1" applyAlignment="1">
      <alignment horizontal="right" vertical="center" wrapText="1"/>
    </xf>
    <xf numFmtId="0" fontId="15" fillId="0" borderId="2" xfId="0" applyFont="1" applyBorder="1"/>
    <xf numFmtId="1" fontId="15" fillId="0" borderId="2" xfId="0" applyNumberFormat="1" applyFont="1" applyBorder="1"/>
    <xf numFmtId="0" fontId="15" fillId="0" borderId="0" xfId="0" applyFont="1"/>
    <xf numFmtId="0" fontId="9" fillId="0" borderId="0" xfId="0" applyFont="1" applyAlignment="1">
      <alignment horizontal="center"/>
    </xf>
    <xf numFmtId="0" fontId="11" fillId="5" borderId="9" xfId="0" applyFont="1" applyFill="1" applyBorder="1"/>
    <xf numFmtId="0" fontId="6" fillId="4" borderId="4" xfId="0" applyFont="1" applyFill="1" applyBorder="1" applyAlignment="1">
      <alignment wrapText="1"/>
    </xf>
    <xf numFmtId="0" fontId="9" fillId="0" borderId="2" xfId="0" applyFont="1" applyBorder="1" applyAlignment="1">
      <alignment horizontal="center"/>
    </xf>
    <xf numFmtId="0" fontId="16" fillId="4" borderId="10" xfId="0" applyFont="1" applyFill="1" applyBorder="1"/>
    <xf numFmtId="10" fontId="14" fillId="3" borderId="0" xfId="0" applyNumberFormat="1" applyFont="1" applyFill="1"/>
    <xf numFmtId="0" fontId="9" fillId="7" borderId="11" xfId="0" applyFont="1" applyFill="1" applyBorder="1" applyAlignment="1">
      <alignment horizontal="center"/>
    </xf>
    <xf numFmtId="0" fontId="9" fillId="7" borderId="11" xfId="0" applyFont="1" applyFill="1" applyBorder="1" applyAlignment="1">
      <alignment horizontal="center" vertical="center" wrapText="1"/>
    </xf>
    <xf numFmtId="0" fontId="9" fillId="6" borderId="11" xfId="0" applyFont="1" applyFill="1" applyBorder="1" applyAlignment="1">
      <alignment horizontal="center"/>
    </xf>
    <xf numFmtId="0" fontId="6" fillId="4" borderId="12" xfId="0" applyFont="1" applyFill="1" applyBorder="1"/>
    <xf numFmtId="164" fontId="10" fillId="4" borderId="14" xfId="1" applyFont="1" applyFill="1" applyBorder="1"/>
    <xf numFmtId="0" fontId="10" fillId="0" borderId="14" xfId="0" applyFont="1" applyBorder="1"/>
    <xf numFmtId="9" fontId="10" fillId="0" borderId="14" xfId="0" applyNumberFormat="1" applyFont="1" applyBorder="1"/>
    <xf numFmtId="0" fontId="6" fillId="4" borderId="12" xfId="0" applyFont="1" applyFill="1" applyBorder="1" applyAlignment="1">
      <alignment wrapText="1"/>
    </xf>
    <xf numFmtId="0" fontId="6" fillId="4" borderId="16" xfId="0" applyFont="1" applyFill="1" applyBorder="1" applyAlignment="1">
      <alignment wrapText="1"/>
    </xf>
    <xf numFmtId="0" fontId="4" fillId="2" borderId="2" xfId="0" applyFont="1" applyFill="1" applyBorder="1" applyAlignment="1">
      <alignment horizontal="left"/>
    </xf>
    <xf numFmtId="0" fontId="4" fillId="2" borderId="2" xfId="0" applyFont="1" applyFill="1" applyBorder="1" applyAlignment="1">
      <alignment horizontal="left" vertical="center"/>
    </xf>
    <xf numFmtId="0" fontId="4" fillId="0" borderId="19" xfId="0" applyFont="1" applyBorder="1" applyAlignment="1">
      <alignment horizontal="center"/>
    </xf>
    <xf numFmtId="0" fontId="4" fillId="0" borderId="1" xfId="0" applyFont="1" applyBorder="1" applyAlignment="1">
      <alignment horizontal="center"/>
    </xf>
    <xf numFmtId="49" fontId="7" fillId="0" borderId="1" xfId="0" applyNumberFormat="1" applyFont="1" applyBorder="1" applyAlignment="1">
      <alignment horizontal="center" vertical="center"/>
    </xf>
    <xf numFmtId="166" fontId="0" fillId="0" borderId="0" xfId="1" applyNumberFormat="1" applyFont="1" applyFill="1" applyBorder="1"/>
    <xf numFmtId="0" fontId="4" fillId="6" borderId="2" xfId="0" applyFont="1" applyFill="1" applyBorder="1" applyAlignment="1">
      <alignment horizontal="left"/>
    </xf>
    <xf numFmtId="164" fontId="0" fillId="0" borderId="0" xfId="0" applyNumberFormat="1"/>
    <xf numFmtId="166" fontId="0" fillId="3" borderId="0" xfId="1" applyNumberFormat="1" applyFont="1" applyFill="1"/>
    <xf numFmtId="166" fontId="9" fillId="4" borderId="11" xfId="1" applyNumberFormat="1" applyFont="1" applyFill="1" applyBorder="1" applyAlignment="1">
      <alignment horizontal="center"/>
    </xf>
    <xf numFmtId="166" fontId="9" fillId="4" borderId="11" xfId="1" applyNumberFormat="1" applyFont="1" applyFill="1" applyBorder="1" applyAlignment="1">
      <alignment horizontal="center" vertical="center" wrapText="1"/>
    </xf>
    <xf numFmtId="166" fontId="9" fillId="0" borderId="11" xfId="1" applyNumberFormat="1" applyFont="1" applyFill="1" applyBorder="1" applyAlignment="1">
      <alignment horizontal="center"/>
    </xf>
    <xf numFmtId="0" fontId="9" fillId="0" borderId="11" xfId="0" applyFont="1" applyBorder="1" applyAlignment="1">
      <alignment horizontal="center"/>
    </xf>
    <xf numFmtId="0" fontId="2" fillId="4" borderId="12" xfId="0" applyFont="1" applyFill="1" applyBorder="1"/>
    <xf numFmtId="166" fontId="10" fillId="4" borderId="14" xfId="1" applyNumberFormat="1" applyFont="1" applyFill="1" applyBorder="1"/>
    <xf numFmtId="166" fontId="10" fillId="0" borderId="14" xfId="1" applyNumberFormat="1" applyFont="1" applyFill="1" applyBorder="1"/>
    <xf numFmtId="9" fontId="10" fillId="0" borderId="14" xfId="0" applyNumberFormat="1" applyFont="1" applyBorder="1" applyAlignment="1">
      <alignment horizontal="center"/>
    </xf>
    <xf numFmtId="0" fontId="2" fillId="4" borderId="12" xfId="0" applyFont="1" applyFill="1" applyBorder="1" applyAlignment="1">
      <alignment wrapText="1"/>
    </xf>
    <xf numFmtId="0" fontId="2" fillId="4" borderId="16" xfId="0" applyFont="1" applyFill="1" applyBorder="1" applyAlignment="1">
      <alignment wrapText="1"/>
    </xf>
    <xf numFmtId="170" fontId="14" fillId="3" borderId="0" xfId="0" applyNumberFormat="1" applyFont="1" applyFill="1"/>
    <xf numFmtId="164" fontId="0" fillId="0" borderId="2" xfId="1" applyFont="1" applyBorder="1"/>
    <xf numFmtId="0" fontId="13" fillId="0" borderId="2" xfId="0" applyFont="1" applyBorder="1" applyAlignment="1">
      <alignment horizontal="center" vertical="center" wrapText="1"/>
    </xf>
    <xf numFmtId="14" fontId="15" fillId="0" borderId="0" xfId="0" applyNumberFormat="1" applyFont="1"/>
    <xf numFmtId="166" fontId="0" fillId="8" borderId="2" xfId="1" applyNumberFormat="1" applyFont="1" applyFill="1" applyBorder="1"/>
    <xf numFmtId="0" fontId="0" fillId="8" borderId="2" xfId="0" applyFill="1" applyBorder="1"/>
    <xf numFmtId="0" fontId="21" fillId="0" borderId="0" xfId="9"/>
    <xf numFmtId="0" fontId="0" fillId="9" borderId="2" xfId="0" applyFill="1" applyBorder="1"/>
    <xf numFmtId="166" fontId="0" fillId="0" borderId="2" xfId="1" applyNumberFormat="1" applyFont="1" applyBorder="1" applyAlignment="1">
      <alignment horizontal="center"/>
    </xf>
    <xf numFmtId="0" fontId="25" fillId="3" borderId="20" xfId="0" applyFont="1" applyFill="1" applyBorder="1" applyAlignment="1">
      <alignment horizontal="center" wrapText="1"/>
    </xf>
    <xf numFmtId="0" fontId="23" fillId="3" borderId="27" xfId="0" applyFont="1" applyFill="1" applyBorder="1"/>
    <xf numFmtId="0" fontId="23" fillId="3" borderId="27" xfId="0" applyFont="1" applyFill="1" applyBorder="1" applyAlignment="1">
      <alignment horizontal="center"/>
    </xf>
    <xf numFmtId="0" fontId="23" fillId="3" borderId="21" xfId="0" applyFont="1" applyFill="1" applyBorder="1"/>
    <xf numFmtId="0" fontId="23" fillId="3" borderId="22" xfId="0" applyFont="1" applyFill="1" applyBorder="1"/>
    <xf numFmtId="0" fontId="23" fillId="3" borderId="23" xfId="0" applyFont="1" applyFill="1" applyBorder="1"/>
    <xf numFmtId="0" fontId="23" fillId="3" borderId="27" xfId="0" applyFont="1" applyFill="1" applyBorder="1" applyAlignment="1">
      <alignment horizontal="left"/>
    </xf>
    <xf numFmtId="0" fontId="23" fillId="10" borderId="23" xfId="0" applyFont="1" applyFill="1" applyBorder="1"/>
    <xf numFmtId="0" fontId="23" fillId="3" borderId="24" xfId="0" applyFont="1" applyFill="1" applyBorder="1"/>
    <xf numFmtId="0" fontId="23" fillId="3" borderId="24" xfId="0" applyFont="1" applyFill="1" applyBorder="1" applyAlignment="1">
      <alignment horizontal="center"/>
    </xf>
    <xf numFmtId="0" fontId="28" fillId="11" borderId="0" xfId="10" applyFont="1" applyFill="1" applyAlignment="1">
      <alignment horizontal="center" vertical="center" wrapText="1"/>
    </xf>
    <xf numFmtId="0" fontId="28" fillId="11" borderId="26" xfId="10" applyFont="1" applyFill="1" applyBorder="1" applyAlignment="1">
      <alignment horizontal="center" vertical="center" wrapText="1"/>
    </xf>
    <xf numFmtId="0" fontId="23" fillId="3" borderId="24" xfId="0" applyFont="1" applyFill="1" applyBorder="1" applyAlignment="1">
      <alignment horizontal="left"/>
    </xf>
    <xf numFmtId="0" fontId="23" fillId="10" borderId="26" xfId="0" applyFont="1" applyFill="1" applyBorder="1"/>
    <xf numFmtId="0" fontId="23" fillId="3" borderId="0" xfId="0" applyFont="1" applyFill="1"/>
    <xf numFmtId="0" fontId="23" fillId="3" borderId="25" xfId="0" applyFont="1" applyFill="1" applyBorder="1"/>
    <xf numFmtId="0" fontId="23" fillId="3" borderId="26" xfId="0" applyFont="1" applyFill="1" applyBorder="1"/>
    <xf numFmtId="0" fontId="25" fillId="3" borderId="25" xfId="0" applyFont="1" applyFill="1" applyBorder="1"/>
    <xf numFmtId="1" fontId="23" fillId="3" borderId="0" xfId="0" applyNumberFormat="1" applyFont="1" applyFill="1" applyAlignment="1">
      <alignment horizontal="left"/>
    </xf>
    <xf numFmtId="166" fontId="23" fillId="3" borderId="24" xfId="4" applyNumberFormat="1" applyFont="1" applyFill="1" applyBorder="1"/>
    <xf numFmtId="167" fontId="24" fillId="3" borderId="24" xfId="8" applyFont="1" applyFill="1" applyBorder="1" applyAlignment="1" applyProtection="1">
      <protection locked="0"/>
    </xf>
    <xf numFmtId="166" fontId="23" fillId="10" borderId="26" xfId="4" applyNumberFormat="1" applyFont="1" applyFill="1" applyBorder="1"/>
    <xf numFmtId="0" fontId="24" fillId="0" borderId="0" xfId="0" applyFont="1"/>
    <xf numFmtId="0" fontId="23" fillId="0" borderId="24" xfId="0" applyFont="1" applyBorder="1" applyAlignment="1">
      <alignment horizontal="center"/>
    </xf>
    <xf numFmtId="0" fontId="25" fillId="0" borderId="25" xfId="0" applyFont="1" applyBorder="1"/>
    <xf numFmtId="0" fontId="23" fillId="0" borderId="0" xfId="0" applyFont="1"/>
    <xf numFmtId="1" fontId="23" fillId="0" borderId="0" xfId="0" applyNumberFormat="1" applyFont="1" applyAlignment="1">
      <alignment horizontal="left"/>
    </xf>
    <xf numFmtId="171" fontId="22" fillId="0" borderId="0" xfId="3" applyNumberFormat="1" applyFont="1"/>
    <xf numFmtId="0" fontId="23" fillId="3" borderId="28" xfId="0" applyFont="1" applyFill="1" applyBorder="1"/>
    <xf numFmtId="0" fontId="23" fillId="3" borderId="28" xfId="0" applyFont="1" applyFill="1" applyBorder="1" applyAlignment="1">
      <alignment horizontal="center"/>
    </xf>
    <xf numFmtId="0" fontId="25" fillId="3" borderId="28" xfId="0" applyFont="1" applyFill="1" applyBorder="1"/>
    <xf numFmtId="0" fontId="25" fillId="3" borderId="28" xfId="0" applyFont="1" applyFill="1" applyBorder="1" applyAlignment="1">
      <alignment horizontal="left"/>
    </xf>
    <xf numFmtId="3" fontId="26" fillId="13" borderId="20" xfId="5" applyNumberFormat="1" applyFont="1" applyFill="1" applyBorder="1" applyAlignment="1">
      <alignment horizontal="center"/>
    </xf>
    <xf numFmtId="9" fontId="25" fillId="3" borderId="28" xfId="0" applyNumberFormat="1" applyFont="1" applyFill="1" applyBorder="1" applyAlignment="1">
      <alignment horizontal="center"/>
    </xf>
    <xf numFmtId="3" fontId="27" fillId="13" borderId="20" xfId="5" applyNumberFormat="1" applyFont="1" applyFill="1" applyBorder="1" applyAlignment="1">
      <alignment horizontal="center"/>
    </xf>
    <xf numFmtId="0" fontId="24" fillId="3" borderId="0" xfId="0" applyFont="1" applyFill="1"/>
    <xf numFmtId="0" fontId="24" fillId="3" borderId="24" xfId="0" applyFont="1" applyFill="1" applyBorder="1"/>
    <xf numFmtId="166" fontId="23" fillId="3" borderId="26" xfId="4" applyNumberFormat="1" applyFont="1" applyFill="1" applyBorder="1"/>
    <xf numFmtId="171" fontId="22" fillId="12" borderId="0" xfId="3" applyNumberFormat="1" applyFont="1" applyFill="1"/>
    <xf numFmtId="0" fontId="4" fillId="9" borderId="2" xfId="0" applyFont="1" applyFill="1" applyBorder="1"/>
    <xf numFmtId="0" fontId="4" fillId="9" borderId="2" xfId="0" applyFont="1" applyFill="1" applyBorder="1" applyAlignment="1">
      <alignment horizontal="center"/>
    </xf>
    <xf numFmtId="49" fontId="7" fillId="9" borderId="2" xfId="0" applyNumberFormat="1" applyFont="1" applyFill="1" applyBorder="1" applyAlignment="1">
      <alignment horizontal="center" vertical="center"/>
    </xf>
    <xf numFmtId="0" fontId="29" fillId="4" borderId="17" xfId="0" applyFont="1" applyFill="1" applyBorder="1" applyAlignment="1">
      <alignment wrapText="1"/>
    </xf>
    <xf numFmtId="9" fontId="21" fillId="0" borderId="0" xfId="9" applyNumberFormat="1"/>
    <xf numFmtId="49" fontId="7" fillId="14" borderId="33" xfId="9" applyNumberFormat="1" applyFont="1" applyFill="1" applyBorder="1" applyAlignment="1">
      <alignment horizontal="center" vertical="center"/>
    </xf>
    <xf numFmtId="49" fontId="7" fillId="14" borderId="34" xfId="9" applyNumberFormat="1" applyFont="1" applyFill="1" applyBorder="1" applyAlignment="1">
      <alignment horizontal="center" vertical="center"/>
    </xf>
    <xf numFmtId="49" fontId="7" fillId="14" borderId="35" xfId="9" applyNumberFormat="1" applyFont="1" applyFill="1" applyBorder="1" applyAlignment="1">
      <alignment horizontal="center" vertical="center"/>
    </xf>
    <xf numFmtId="49" fontId="7" fillId="14" borderId="36" xfId="9" applyNumberFormat="1" applyFont="1" applyFill="1" applyBorder="1" applyAlignment="1">
      <alignment horizontal="center" vertical="center"/>
    </xf>
    <xf numFmtId="49" fontId="7" fillId="14" borderId="37" xfId="9" applyNumberFormat="1" applyFont="1" applyFill="1" applyBorder="1" applyAlignment="1">
      <alignment horizontal="center" vertical="center"/>
    </xf>
    <xf numFmtId="49" fontId="7" fillId="14" borderId="38" xfId="9" applyNumberFormat="1" applyFont="1" applyFill="1" applyBorder="1" applyAlignment="1">
      <alignment horizontal="center" vertical="center"/>
    </xf>
    <xf numFmtId="49" fontId="7" fillId="14" borderId="2" xfId="9" applyNumberFormat="1" applyFont="1" applyFill="1" applyBorder="1" applyAlignment="1">
      <alignment horizontal="center" vertical="center"/>
    </xf>
    <xf numFmtId="0" fontId="5" fillId="0" borderId="2" xfId="9" applyFont="1" applyBorder="1" applyAlignment="1">
      <alignment horizontal="left" vertical="center"/>
    </xf>
    <xf numFmtId="0" fontId="21" fillId="0" borderId="2" xfId="9" applyBorder="1"/>
    <xf numFmtId="0" fontId="21" fillId="0" borderId="2" xfId="9" applyBorder="1" applyAlignment="1">
      <alignment horizontal="center"/>
    </xf>
    <xf numFmtId="172" fontId="8" fillId="0" borderId="2" xfId="9" applyNumberFormat="1" applyFont="1" applyBorder="1" applyAlignment="1">
      <alignment horizontal="center" vertical="center"/>
    </xf>
    <xf numFmtId="2" fontId="8" fillId="0" borderId="2" xfId="9" applyNumberFormat="1" applyFont="1" applyBorder="1" applyAlignment="1">
      <alignment horizontal="center" vertical="center"/>
    </xf>
    <xf numFmtId="17" fontId="21" fillId="0" borderId="2" xfId="9" applyNumberFormat="1" applyBorder="1"/>
    <xf numFmtId="172" fontId="8" fillId="0" borderId="2" xfId="0" applyNumberFormat="1" applyFont="1" applyBorder="1" applyAlignment="1">
      <alignment horizontal="center" vertical="center"/>
    </xf>
    <xf numFmtId="0" fontId="5" fillId="0" borderId="2" xfId="0" applyFont="1" applyBorder="1" applyAlignment="1">
      <alignment horizontal="left" vertical="center"/>
    </xf>
    <xf numFmtId="2" fontId="8" fillId="0" borderId="2" xfId="0" applyNumberFormat="1" applyFont="1" applyBorder="1" applyAlignment="1">
      <alignment horizontal="center" vertical="center"/>
    </xf>
    <xf numFmtId="0" fontId="5" fillId="0" borderId="35" xfId="9" applyFont="1" applyBorder="1" applyAlignment="1">
      <alignment horizontal="left" vertical="center"/>
    </xf>
    <xf numFmtId="0" fontId="21" fillId="0" borderId="35" xfId="9" applyBorder="1"/>
    <xf numFmtId="0" fontId="21" fillId="0" borderId="35" xfId="9" applyBorder="1" applyAlignment="1">
      <alignment horizontal="center"/>
    </xf>
    <xf numFmtId="172" fontId="8" fillId="0" borderId="35" xfId="9" applyNumberFormat="1" applyFont="1" applyBorder="1" applyAlignment="1">
      <alignment horizontal="center" vertical="center"/>
    </xf>
    <xf numFmtId="2" fontId="8" fillId="0" borderId="35" xfId="9" applyNumberFormat="1" applyFont="1" applyBorder="1" applyAlignment="1">
      <alignment horizontal="center" vertical="center"/>
    </xf>
    <xf numFmtId="17" fontId="21" fillId="0" borderId="1" xfId="9" applyNumberFormat="1" applyBorder="1"/>
    <xf numFmtId="166" fontId="21" fillId="0" borderId="2" xfId="1" applyNumberFormat="1" applyFont="1" applyBorder="1"/>
    <xf numFmtId="166" fontId="8" fillId="0" borderId="35" xfId="1" applyNumberFormat="1" applyFont="1" applyFill="1" applyBorder="1" applyAlignment="1" applyProtection="1">
      <alignment horizontal="right" vertical="center"/>
    </xf>
    <xf numFmtId="166" fontId="21" fillId="0" borderId="36" xfId="1" applyNumberFormat="1" applyFont="1" applyBorder="1"/>
    <xf numFmtId="166" fontId="21" fillId="0" borderId="1" xfId="1" applyNumberFormat="1" applyFont="1" applyBorder="1"/>
    <xf numFmtId="166" fontId="21" fillId="9" borderId="1" xfId="1" applyNumberFormat="1" applyFont="1" applyFill="1" applyBorder="1"/>
    <xf numFmtId="166" fontId="8" fillId="0" borderId="2" xfId="1" applyNumberFormat="1" applyFont="1" applyFill="1" applyBorder="1" applyAlignment="1" applyProtection="1">
      <alignment horizontal="right" vertical="center"/>
    </xf>
    <xf numFmtId="166" fontId="21" fillId="9" borderId="2" xfId="1" applyNumberFormat="1" applyFont="1" applyFill="1" applyBorder="1"/>
    <xf numFmtId="166" fontId="0" fillId="9" borderId="2" xfId="1" applyNumberFormat="1" applyFont="1" applyFill="1" applyBorder="1"/>
    <xf numFmtId="49" fontId="7" fillId="14" borderId="35" xfId="9" applyNumberFormat="1" applyFont="1" applyFill="1" applyBorder="1" applyAlignment="1">
      <alignment vertical="center"/>
    </xf>
    <xf numFmtId="49" fontId="8" fillId="0" borderId="35" xfId="9" applyNumberFormat="1" applyFont="1" applyBorder="1" applyAlignment="1">
      <alignment vertical="center"/>
    </xf>
    <xf numFmtId="49" fontId="8" fillId="0" borderId="2" xfId="9" applyNumberFormat="1" applyFont="1" applyBorder="1" applyAlignment="1">
      <alignment vertical="center"/>
    </xf>
    <xf numFmtId="49" fontId="8" fillId="0" borderId="2" xfId="0" applyNumberFormat="1" applyFont="1" applyBorder="1" applyAlignment="1">
      <alignment vertical="center"/>
    </xf>
    <xf numFmtId="0" fontId="9" fillId="2" borderId="11" xfId="0" applyFont="1" applyFill="1" applyBorder="1" applyAlignment="1">
      <alignment horizontal="center"/>
    </xf>
    <xf numFmtId="0" fontId="14" fillId="0" borderId="0" xfId="0" applyFont="1"/>
    <xf numFmtId="0" fontId="31" fillId="2" borderId="2" xfId="9" applyFont="1" applyFill="1" applyBorder="1"/>
    <xf numFmtId="49" fontId="7" fillId="14" borderId="32" xfId="9" applyNumberFormat="1" applyFont="1" applyFill="1" applyBorder="1" applyAlignment="1">
      <alignment horizontal="right" vertical="center"/>
    </xf>
    <xf numFmtId="49" fontId="7" fillId="14" borderId="39" xfId="9" applyNumberFormat="1" applyFont="1" applyFill="1" applyBorder="1" applyAlignment="1">
      <alignment horizontal="right" vertical="center"/>
    </xf>
    <xf numFmtId="0" fontId="0" fillId="0" borderId="0" xfId="0" applyAlignment="1">
      <alignment horizontal="center" wrapText="1"/>
    </xf>
    <xf numFmtId="0" fontId="32" fillId="3" borderId="20" xfId="3" applyFont="1" applyFill="1" applyBorder="1" applyAlignment="1">
      <alignment horizontal="center" vertical="center" wrapText="1"/>
    </xf>
    <xf numFmtId="0" fontId="32" fillId="3" borderId="20" xfId="3" applyFont="1" applyFill="1" applyBorder="1" applyAlignment="1">
      <alignment horizontal="center" wrapText="1"/>
    </xf>
    <xf numFmtId="0" fontId="22" fillId="3" borderId="24" xfId="3" applyFont="1" applyFill="1" applyBorder="1"/>
    <xf numFmtId="0" fontId="22" fillId="3" borderId="25" xfId="3" applyFont="1" applyFill="1" applyBorder="1" applyAlignment="1">
      <alignment horizontal="center"/>
    </xf>
    <xf numFmtId="0" fontId="22" fillId="3" borderId="26" xfId="3" applyFont="1" applyFill="1" applyBorder="1"/>
    <xf numFmtId="0" fontId="22" fillId="3" borderId="25" xfId="3" applyFont="1" applyFill="1" applyBorder="1"/>
    <xf numFmtId="0" fontId="22" fillId="9" borderId="27" xfId="3" applyFont="1" applyFill="1" applyBorder="1"/>
    <xf numFmtId="0" fontId="22" fillId="3" borderId="24" xfId="3" applyFont="1" applyFill="1" applyBorder="1" applyAlignment="1">
      <alignment horizontal="center"/>
    </xf>
    <xf numFmtId="0" fontId="23" fillId="3" borderId="0" xfId="3" applyFont="1" applyFill="1" applyAlignment="1">
      <alignment horizontal="center"/>
    </xf>
    <xf numFmtId="0" fontId="22" fillId="3" borderId="25" xfId="3" applyFont="1" applyFill="1" applyBorder="1" applyAlignment="1">
      <alignment horizontal="center" vertical="top" wrapText="1"/>
    </xf>
    <xf numFmtId="0" fontId="22" fillId="3" borderId="0" xfId="3" applyFont="1" applyFill="1" applyAlignment="1">
      <alignment horizontal="center" vertical="top" wrapText="1"/>
    </xf>
    <xf numFmtId="0" fontId="22" fillId="3" borderId="26" xfId="3" applyFont="1" applyFill="1" applyBorder="1" applyAlignment="1">
      <alignment horizontal="center" vertical="top" wrapText="1"/>
    </xf>
    <xf numFmtId="164" fontId="22" fillId="3" borderId="26" xfId="3" applyNumberFormat="1" applyFont="1" applyFill="1" applyBorder="1"/>
    <xf numFmtId="164" fontId="22" fillId="3" borderId="0" xfId="3" applyNumberFormat="1" applyFont="1" applyFill="1"/>
    <xf numFmtId="166" fontId="22" fillId="9" borderId="24" xfId="7" applyNumberFormat="1" applyFont="1" applyFill="1" applyBorder="1"/>
    <xf numFmtId="0" fontId="32" fillId="3" borderId="25" xfId="3" applyFont="1" applyFill="1" applyBorder="1"/>
    <xf numFmtId="1" fontId="22" fillId="3" borderId="0" xfId="3" applyNumberFormat="1" applyFont="1" applyFill="1" applyAlignment="1">
      <alignment vertical="top" wrapText="1"/>
    </xf>
    <xf numFmtId="173" fontId="22" fillId="3" borderId="0" xfId="3" applyNumberFormat="1" applyFont="1" applyFill="1"/>
    <xf numFmtId="173" fontId="23" fillId="3" borderId="26" xfId="9" applyNumberFormat="1" applyFont="1" applyFill="1" applyBorder="1" applyAlignment="1">
      <alignment horizontal="right" vertical="center"/>
    </xf>
    <xf numFmtId="166" fontId="22" fillId="3" borderId="26" xfId="7" applyNumberFormat="1" applyFont="1" applyFill="1" applyBorder="1"/>
    <xf numFmtId="1" fontId="22" fillId="3" borderId="0" xfId="3" applyNumberFormat="1" applyFont="1" applyFill="1" applyAlignment="1">
      <alignment horizontal="center" vertical="top" wrapText="1"/>
    </xf>
    <xf numFmtId="173" fontId="24" fillId="3" borderId="26" xfId="9" applyNumberFormat="1" applyFont="1" applyFill="1" applyBorder="1" applyAlignment="1">
      <alignment horizontal="right" vertical="center"/>
    </xf>
    <xf numFmtId="166" fontId="24" fillId="3" borderId="24" xfId="4" applyNumberFormat="1" applyFont="1" applyFill="1" applyBorder="1"/>
    <xf numFmtId="167" fontId="24" fillId="3" borderId="24" xfId="8" applyFont="1" applyFill="1" applyBorder="1" applyAlignment="1" applyProtection="1">
      <alignment horizontal="left"/>
      <protection locked="0"/>
    </xf>
    <xf numFmtId="0" fontId="22" fillId="2" borderId="24" xfId="3" applyFont="1" applyFill="1" applyBorder="1" applyAlignment="1">
      <alignment horizontal="center"/>
    </xf>
    <xf numFmtId="0" fontId="22" fillId="2" borderId="24" xfId="3" applyFont="1" applyFill="1" applyBorder="1"/>
    <xf numFmtId="0" fontId="32" fillId="2" borderId="25" xfId="3" applyFont="1" applyFill="1" applyBorder="1"/>
    <xf numFmtId="1" fontId="22" fillId="2" borderId="0" xfId="3" applyNumberFormat="1" applyFont="1" applyFill="1" applyAlignment="1">
      <alignment vertical="top" wrapText="1"/>
    </xf>
    <xf numFmtId="173" fontId="22" fillId="2" borderId="0" xfId="3" applyNumberFormat="1" applyFont="1" applyFill="1"/>
    <xf numFmtId="173" fontId="23" fillId="2" borderId="26" xfId="9" applyNumberFormat="1" applyFont="1" applyFill="1" applyBorder="1" applyAlignment="1">
      <alignment horizontal="right" vertical="center"/>
    </xf>
    <xf numFmtId="166" fontId="22" fillId="2" borderId="26" xfId="7" applyNumberFormat="1" applyFont="1" applyFill="1" applyBorder="1"/>
    <xf numFmtId="164" fontId="22" fillId="2" borderId="0" xfId="3" applyNumberFormat="1" applyFont="1" applyFill="1"/>
    <xf numFmtId="0" fontId="23" fillId="3" borderId="28" xfId="3" applyFont="1" applyFill="1" applyBorder="1"/>
    <xf numFmtId="0" fontId="23" fillId="3" borderId="28" xfId="3" applyFont="1" applyFill="1" applyBorder="1" applyAlignment="1">
      <alignment horizontal="center"/>
    </xf>
    <xf numFmtId="0" fontId="25" fillId="3" borderId="28" xfId="3" applyFont="1" applyFill="1" applyBorder="1"/>
    <xf numFmtId="3" fontId="26" fillId="15" borderId="20" xfId="5" applyNumberFormat="1" applyFont="1" applyFill="1" applyBorder="1" applyAlignment="1">
      <alignment horizontal="center"/>
    </xf>
    <xf numFmtId="9" fontId="23" fillId="3" borderId="29" xfId="3" quotePrefix="1" applyNumberFormat="1" applyFont="1" applyFill="1" applyBorder="1"/>
    <xf numFmtId="3" fontId="27" fillId="15" borderId="20" xfId="5" applyNumberFormat="1" applyFont="1" applyFill="1" applyBorder="1" applyAlignment="1">
      <alignment horizontal="center"/>
    </xf>
    <xf numFmtId="167" fontId="24" fillId="3" borderId="0" xfId="8" applyFont="1" applyFill="1" applyBorder="1" applyAlignment="1" applyProtection="1">
      <alignment horizontal="left"/>
      <protection locked="0"/>
    </xf>
    <xf numFmtId="3" fontId="34" fillId="0" borderId="0" xfId="9" applyNumberFormat="1" applyFont="1"/>
    <xf numFmtId="166" fontId="35" fillId="4" borderId="14" xfId="1" applyNumberFormat="1" applyFont="1" applyFill="1" applyBorder="1"/>
    <xf numFmtId="0" fontId="32" fillId="3" borderId="27" xfId="3" applyFont="1" applyFill="1" applyBorder="1" applyAlignment="1">
      <alignment horizontal="center" vertical="center" wrapText="1"/>
    </xf>
    <xf numFmtId="0" fontId="32" fillId="3" borderId="27" xfId="3" applyFont="1" applyFill="1" applyBorder="1" applyAlignment="1">
      <alignment horizontal="center" wrapText="1"/>
    </xf>
    <xf numFmtId="0" fontId="22" fillId="3" borderId="40" xfId="3" applyFont="1" applyFill="1" applyBorder="1" applyAlignment="1">
      <alignment horizontal="center"/>
    </xf>
    <xf numFmtId="0" fontId="22" fillId="3" borderId="42" xfId="3" applyFont="1" applyFill="1" applyBorder="1"/>
    <xf numFmtId="0" fontId="22" fillId="3" borderId="40" xfId="3" applyFont="1" applyFill="1" applyBorder="1"/>
    <xf numFmtId="0" fontId="22" fillId="9" borderId="43" xfId="3" applyFont="1" applyFill="1" applyBorder="1"/>
    <xf numFmtId="166" fontId="22" fillId="9" borderId="44" xfId="7" applyNumberFormat="1" applyFont="1" applyFill="1" applyBorder="1"/>
    <xf numFmtId="0" fontId="22" fillId="3" borderId="45" xfId="3" applyFont="1" applyFill="1" applyBorder="1"/>
    <xf numFmtId="0" fontId="32" fillId="3" borderId="46" xfId="3" applyFont="1" applyFill="1" applyBorder="1"/>
    <xf numFmtId="1" fontId="22" fillId="3" borderId="47" xfId="3" applyNumberFormat="1" applyFont="1" applyFill="1" applyBorder="1" applyAlignment="1">
      <alignment vertical="top" wrapText="1"/>
    </xf>
    <xf numFmtId="1" fontId="22" fillId="3" borderId="47" xfId="3" applyNumberFormat="1" applyFont="1" applyFill="1" applyBorder="1" applyAlignment="1">
      <alignment horizontal="center" vertical="top" wrapText="1"/>
    </xf>
    <xf numFmtId="173" fontId="24" fillId="3" borderId="48" xfId="9" applyNumberFormat="1" applyFont="1" applyFill="1" applyBorder="1" applyAlignment="1">
      <alignment horizontal="right" vertical="center"/>
    </xf>
    <xf numFmtId="173" fontId="23" fillId="3" borderId="48" xfId="9" applyNumberFormat="1" applyFont="1" applyFill="1" applyBorder="1" applyAlignment="1">
      <alignment horizontal="right" vertical="center"/>
    </xf>
    <xf numFmtId="166" fontId="24" fillId="3" borderId="45" xfId="4" applyNumberFormat="1" applyFont="1" applyFill="1" applyBorder="1"/>
    <xf numFmtId="167" fontId="24" fillId="3" borderId="47" xfId="8" applyFont="1" applyFill="1" applyBorder="1" applyAlignment="1" applyProtection="1">
      <alignment horizontal="left"/>
      <protection locked="0"/>
    </xf>
    <xf numFmtId="166" fontId="22" fillId="9" borderId="49" xfId="7" applyNumberFormat="1" applyFont="1" applyFill="1" applyBorder="1"/>
    <xf numFmtId="0" fontId="14" fillId="0" borderId="2" xfId="0" applyFont="1" applyBorder="1"/>
    <xf numFmtId="166" fontId="15" fillId="8" borderId="2" xfId="1" applyNumberFormat="1" applyFont="1" applyFill="1" applyBorder="1"/>
    <xf numFmtId="166" fontId="15" fillId="0" borderId="0" xfId="1" applyNumberFormat="1" applyFont="1"/>
    <xf numFmtId="1" fontId="15" fillId="0" borderId="0" xfId="0" applyNumberFormat="1" applyFont="1"/>
    <xf numFmtId="172" fontId="8" fillId="0" borderId="1" xfId="0" applyNumberFormat="1" applyFont="1" applyBorder="1" applyAlignment="1">
      <alignment horizontal="center" vertical="center"/>
    </xf>
    <xf numFmtId="2" fontId="8" fillId="0" borderId="1" xfId="0" applyNumberFormat="1" applyFont="1" applyBorder="1" applyAlignment="1">
      <alignment horizontal="center" vertical="center"/>
    </xf>
    <xf numFmtId="0" fontId="5" fillId="0" borderId="2" xfId="9" applyFont="1" applyBorder="1" applyAlignment="1">
      <alignment horizontal="right" vertical="center"/>
    </xf>
    <xf numFmtId="0" fontId="21" fillId="0" borderId="2" xfId="9" applyBorder="1" applyAlignment="1">
      <alignment horizontal="right"/>
    </xf>
    <xf numFmtId="0" fontId="5" fillId="0" borderId="34" xfId="9" applyFont="1" applyBorder="1" applyAlignment="1">
      <alignment horizontal="left" vertical="center"/>
    </xf>
    <xf numFmtId="0" fontId="5" fillId="0" borderId="32" xfId="9" applyFont="1" applyBorder="1" applyAlignment="1">
      <alignment horizontal="left" vertical="center"/>
    </xf>
    <xf numFmtId="0" fontId="5" fillId="0" borderId="32" xfId="0" applyFont="1" applyBorder="1" applyAlignment="1">
      <alignment horizontal="left" vertical="center"/>
    </xf>
    <xf numFmtId="0" fontId="21" fillId="0" borderId="32" xfId="9" applyBorder="1"/>
    <xf numFmtId="2" fontId="21" fillId="0" borderId="2" xfId="9" applyNumberFormat="1" applyBorder="1"/>
    <xf numFmtId="0" fontId="15" fillId="9" borderId="2" xfId="0" applyFont="1" applyFill="1" applyBorder="1"/>
    <xf numFmtId="166" fontId="15" fillId="0" borderId="2" xfId="1" applyNumberFormat="1" applyFont="1" applyBorder="1" applyAlignment="1">
      <alignment horizontal="center"/>
    </xf>
    <xf numFmtId="166" fontId="15" fillId="0" borderId="2" xfId="1" applyNumberFormat="1" applyFont="1" applyBorder="1"/>
    <xf numFmtId="0" fontId="0" fillId="0" borderId="10" xfId="0" applyBorder="1"/>
    <xf numFmtId="0" fontId="9" fillId="0" borderId="52" xfId="0" applyFont="1" applyBorder="1" applyAlignment="1">
      <alignment horizontal="center"/>
    </xf>
    <xf numFmtId="166" fontId="9" fillId="4" borderId="53" xfId="1" applyNumberFormat="1" applyFont="1" applyFill="1" applyBorder="1" applyAlignment="1">
      <alignment horizontal="center"/>
    </xf>
    <xf numFmtId="0" fontId="0" fillId="0" borderId="54" xfId="0" applyBorder="1"/>
    <xf numFmtId="166" fontId="9" fillId="4" borderId="55" xfId="1" applyNumberFormat="1" applyFont="1" applyFill="1" applyBorder="1" applyAlignment="1">
      <alignment horizontal="center"/>
    </xf>
    <xf numFmtId="0" fontId="0" fillId="0" borderId="56" xfId="0" applyBorder="1"/>
    <xf numFmtId="166" fontId="9" fillId="4" borderId="55" xfId="1" applyNumberFormat="1" applyFont="1" applyFill="1" applyBorder="1" applyAlignment="1">
      <alignment horizontal="center" vertical="center" wrapText="1"/>
    </xf>
    <xf numFmtId="166" fontId="9" fillId="0" borderId="55" xfId="1" applyNumberFormat="1" applyFont="1" applyFill="1" applyBorder="1" applyAlignment="1">
      <alignment horizontal="center"/>
    </xf>
    <xf numFmtId="0" fontId="9" fillId="0" borderId="55" xfId="0" applyFont="1" applyBorder="1" applyAlignment="1">
      <alignment horizontal="center"/>
    </xf>
    <xf numFmtId="0" fontId="4" fillId="9" borderId="50" xfId="0" applyFont="1" applyFill="1" applyBorder="1" applyAlignment="1">
      <alignment horizontal="center"/>
    </xf>
    <xf numFmtId="0" fontId="4" fillId="9" borderId="37" xfId="0" applyFont="1" applyFill="1" applyBorder="1" applyAlignment="1">
      <alignment horizontal="center"/>
    </xf>
    <xf numFmtId="0" fontId="4" fillId="9" borderId="51" xfId="0" applyFont="1" applyFill="1" applyBorder="1" applyAlignment="1">
      <alignment horizontal="center"/>
    </xf>
    <xf numFmtId="0" fontId="0" fillId="0" borderId="57" xfId="0" applyBorder="1"/>
    <xf numFmtId="0" fontId="0" fillId="0" borderId="58" xfId="0" applyBorder="1"/>
    <xf numFmtId="0" fontId="0" fillId="0" borderId="59" xfId="0" applyBorder="1"/>
    <xf numFmtId="166" fontId="12" fillId="0" borderId="2" xfId="1" applyNumberFormat="1" applyFont="1" applyBorder="1"/>
    <xf numFmtId="164" fontId="35" fillId="4" borderId="2" xfId="1" applyFont="1" applyFill="1" applyBorder="1"/>
    <xf numFmtId="0" fontId="22" fillId="3" borderId="26" xfId="3" applyFont="1" applyFill="1" applyBorder="1" applyAlignment="1">
      <alignment horizontal="center"/>
    </xf>
    <xf numFmtId="0" fontId="22" fillId="3" borderId="48" xfId="3" applyFont="1" applyFill="1" applyBorder="1" applyAlignment="1">
      <alignment horizontal="center"/>
    </xf>
    <xf numFmtId="0" fontId="22" fillId="3" borderId="1" xfId="3" applyFont="1" applyFill="1" applyBorder="1"/>
    <xf numFmtId="0" fontId="22" fillId="3" borderId="60" xfId="3" applyFont="1" applyFill="1" applyBorder="1" applyAlignment="1">
      <alignment horizontal="center"/>
    </xf>
    <xf numFmtId="0" fontId="22" fillId="3" borderId="61" xfId="3" applyFont="1" applyFill="1" applyBorder="1" applyAlignment="1">
      <alignment horizontal="center"/>
    </xf>
    <xf numFmtId="164" fontId="10" fillId="4" borderId="13" xfId="1" applyFont="1" applyFill="1" applyBorder="1" applyAlignment="1">
      <alignment horizontal="center" vertical="center"/>
    </xf>
    <xf numFmtId="164" fontId="10" fillId="4" borderId="15" xfId="1" applyFont="1" applyFill="1" applyBorder="1" applyAlignment="1">
      <alignment horizontal="center" vertical="center"/>
    </xf>
    <xf numFmtId="164" fontId="10" fillId="4" borderId="18" xfId="1" applyFont="1" applyFill="1" applyBorder="1" applyAlignment="1">
      <alignment horizontal="center" vertical="center"/>
    </xf>
    <xf numFmtId="166" fontId="10" fillId="4" borderId="13" xfId="1" applyNumberFormat="1" applyFont="1" applyFill="1" applyBorder="1" applyAlignment="1">
      <alignment horizontal="center" vertical="center"/>
    </xf>
    <xf numFmtId="166" fontId="10" fillId="4" borderId="15" xfId="1" applyNumberFormat="1" applyFont="1" applyFill="1" applyBorder="1" applyAlignment="1">
      <alignment horizontal="center" vertical="center"/>
    </xf>
    <xf numFmtId="166" fontId="10" fillId="4" borderId="18" xfId="1" applyNumberFormat="1" applyFont="1" applyFill="1" applyBorder="1" applyAlignment="1">
      <alignment horizontal="center" vertical="center"/>
    </xf>
    <xf numFmtId="166" fontId="17" fillId="0" borderId="4" xfId="1" applyNumberFormat="1" applyFont="1" applyFill="1" applyBorder="1" applyAlignment="1">
      <alignment horizontal="center"/>
    </xf>
    <xf numFmtId="166" fontId="17" fillId="0" borderId="31" xfId="1" applyNumberFormat="1" applyFont="1" applyFill="1" applyBorder="1" applyAlignment="1">
      <alignment horizontal="center"/>
    </xf>
    <xf numFmtId="166" fontId="17" fillId="0" borderId="32" xfId="1" applyNumberFormat="1" applyFont="1" applyFill="1" applyBorder="1" applyAlignment="1">
      <alignment horizontal="center"/>
    </xf>
    <xf numFmtId="0" fontId="25" fillId="3" borderId="29" xfId="0" applyFont="1" applyFill="1" applyBorder="1" applyAlignment="1">
      <alignment horizontal="center" vertical="center" wrapText="1"/>
    </xf>
    <xf numFmtId="0" fontId="25" fillId="3" borderId="28"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5" fillId="3" borderId="30" xfId="0" applyFont="1" applyFill="1" applyBorder="1" applyAlignment="1">
      <alignment horizontal="center" vertical="center" wrapText="1"/>
    </xf>
    <xf numFmtId="0" fontId="28" fillId="11" borderId="25" xfId="10" applyFont="1" applyFill="1" applyBorder="1" applyAlignment="1">
      <alignment horizontal="center" vertical="center" wrapText="1"/>
    </xf>
    <xf numFmtId="0" fontId="28" fillId="11" borderId="0" xfId="10" applyFont="1" applyFill="1" applyAlignment="1">
      <alignment horizontal="center" vertical="center" wrapText="1"/>
    </xf>
    <xf numFmtId="0" fontId="30" fillId="0" borderId="10" xfId="9" applyFont="1" applyBorder="1" applyAlignment="1">
      <alignment horizontal="left"/>
    </xf>
    <xf numFmtId="0" fontId="32" fillId="3" borderId="21" xfId="3" applyFont="1" applyFill="1" applyBorder="1" applyAlignment="1">
      <alignment horizontal="center" vertical="center" wrapText="1"/>
    </xf>
    <xf numFmtId="0" fontId="32" fillId="3" borderId="22" xfId="3" applyFont="1" applyFill="1" applyBorder="1" applyAlignment="1">
      <alignment horizontal="center" vertical="center" wrapText="1"/>
    </xf>
    <xf numFmtId="0" fontId="32" fillId="3" borderId="23" xfId="3" applyFont="1" applyFill="1" applyBorder="1" applyAlignment="1">
      <alignment horizontal="center" vertical="center" wrapText="1"/>
    </xf>
    <xf numFmtId="0" fontId="33" fillId="3" borderId="21" xfId="9" applyFont="1" applyFill="1" applyBorder="1" applyAlignment="1">
      <alignment horizontal="center" vertical="center" wrapText="1"/>
    </xf>
    <xf numFmtId="0" fontId="33" fillId="3" borderId="22" xfId="9" applyFont="1" applyFill="1" applyBorder="1" applyAlignment="1">
      <alignment horizontal="center" vertical="center" wrapText="1"/>
    </xf>
    <xf numFmtId="0" fontId="33" fillId="3" borderId="23" xfId="9" applyFont="1" applyFill="1" applyBorder="1" applyAlignment="1">
      <alignment horizontal="center" vertical="center" wrapText="1"/>
    </xf>
    <xf numFmtId="0" fontId="33" fillId="3" borderId="40" xfId="9" applyFont="1" applyFill="1" applyBorder="1" applyAlignment="1">
      <alignment horizontal="center" vertical="center" wrapText="1"/>
    </xf>
    <xf numFmtId="0" fontId="33" fillId="3" borderId="41" xfId="9" applyFont="1" applyFill="1" applyBorder="1" applyAlignment="1">
      <alignment horizontal="center" vertical="center" wrapText="1"/>
    </xf>
    <xf numFmtId="0" fontId="33" fillId="3" borderId="42" xfId="9" applyFont="1" applyFill="1" applyBorder="1" applyAlignment="1">
      <alignment horizontal="center" vertical="center" wrapText="1"/>
    </xf>
  </cellXfs>
  <cellStyles count="14">
    <cellStyle name="Comma 3" xfId="8" xr:uid="{72EB21E5-46EF-43BE-9C02-FA07F6DABBEA}"/>
    <cellStyle name="Currency 3" xfId="5" xr:uid="{00000000-0005-0000-0000-000000000000}"/>
    <cellStyle name="Milliers" xfId="1" builtinId="3"/>
    <cellStyle name="Milliers 13" xfId="7" xr:uid="{F00F351F-6F27-4176-BAFA-26FED73155E3}"/>
    <cellStyle name="Milliers 2" xfId="11" xr:uid="{662202ED-6C49-4352-B603-AB945FF51B0B}"/>
    <cellStyle name="Milliers 22" xfId="13" xr:uid="{06C23739-A494-4BC4-8448-3AD712BEC99F}"/>
    <cellStyle name="Milliers 4 2" xfId="4" xr:uid="{00000000-0005-0000-0000-000002000000}"/>
    <cellStyle name="Normal" xfId="0" builtinId="0"/>
    <cellStyle name="Normal 11" xfId="3" xr:uid="{00000000-0005-0000-0000-000004000000}"/>
    <cellStyle name="Normal 15" xfId="12" xr:uid="{4EA7B560-22D1-4488-AC5E-26A32644BDA1}"/>
    <cellStyle name="Normal 2" xfId="9" xr:uid="{452C8C18-14CF-4A08-87F2-37AB827D432D}"/>
    <cellStyle name="Normal 2 2" xfId="6" xr:uid="{00000000-0005-0000-0000-000005000000}"/>
    <cellStyle name="Normal 2 3 3" xfId="2" xr:uid="{00000000-0005-0000-0000-000006000000}"/>
    <cellStyle name="Normal 3 2" xfId="10" xr:uid="{F28FA1A8-BEC9-4979-8EC0-6AEDEFD4A162}"/>
  </cellStyles>
  <dxfs count="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40733</xdr:colOff>
      <xdr:row>15</xdr:row>
      <xdr:rowOff>21012</xdr:rowOff>
    </xdr:from>
    <xdr:to>
      <xdr:col>12</xdr:col>
      <xdr:colOff>22860</xdr:colOff>
      <xdr:row>34</xdr:row>
      <xdr:rowOff>84271</xdr:rowOff>
    </xdr:to>
    <xdr:pic>
      <xdr:nvPicPr>
        <xdr:cNvPr id="4" name="Image 3">
          <a:extLst>
            <a:ext uri="{FF2B5EF4-FFF2-40B4-BE49-F238E27FC236}">
              <a16:creationId xmlns:a16="http://schemas.microsoft.com/office/drawing/2014/main" id="{B8472F99-B303-9995-D6ED-7EE508DD632F}"/>
            </a:ext>
          </a:extLst>
        </xdr:cNvPr>
        <xdr:cNvPicPr>
          <a:picLocks noChangeAspect="1"/>
        </xdr:cNvPicPr>
      </xdr:nvPicPr>
      <xdr:blipFill>
        <a:blip xmlns:r="http://schemas.openxmlformats.org/officeDocument/2006/relationships" r:embed="rId1"/>
        <a:stretch>
          <a:fillRect/>
        </a:stretch>
      </xdr:blipFill>
      <xdr:spPr>
        <a:xfrm>
          <a:off x="833213" y="3312852"/>
          <a:ext cx="9857647" cy="3537979"/>
        </a:xfrm>
        <a:prstGeom prst="rect">
          <a:avLst/>
        </a:prstGeom>
      </xdr:spPr>
    </xdr:pic>
    <xdr:clientData/>
  </xdr:twoCellAnchor>
  <xdr:twoCellAnchor>
    <xdr:from>
      <xdr:col>1</xdr:col>
      <xdr:colOff>77102</xdr:colOff>
      <xdr:row>23</xdr:row>
      <xdr:rowOff>160021</xdr:rowOff>
    </xdr:from>
    <xdr:to>
      <xdr:col>2</xdr:col>
      <xdr:colOff>1066800</xdr:colOff>
      <xdr:row>25</xdr:row>
      <xdr:rowOff>91441</xdr:rowOff>
    </xdr:to>
    <xdr:sp macro="" textlink="">
      <xdr:nvSpPr>
        <xdr:cNvPr id="3" name="Rectangle 2">
          <a:extLst>
            <a:ext uri="{FF2B5EF4-FFF2-40B4-BE49-F238E27FC236}">
              <a16:creationId xmlns:a16="http://schemas.microsoft.com/office/drawing/2014/main" id="{8E5B69F2-6685-4E25-A4FA-6F70855A5F99}"/>
            </a:ext>
          </a:extLst>
        </xdr:cNvPr>
        <xdr:cNvSpPr/>
      </xdr:nvSpPr>
      <xdr:spPr>
        <a:xfrm>
          <a:off x="869582" y="4914901"/>
          <a:ext cx="1782178" cy="297180"/>
        </a:xfrm>
        <a:prstGeom prst="rect">
          <a:avLst/>
        </a:prstGeom>
        <a:noFill/>
        <a:ln w="317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hstowers-my.sharepoint.com/Moov/2010/Dossiers%20SFMI/03%20Dossiers%20Gestion/Service%20et%20du%20Personnel/20090707%20Fiches%20d'Enregistrement%20des%20Rapports%20et%20Missio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eborah.banny/AppData/Local/Microsoft/Windows/INetCache/Content.Outlook/R4NL5B9T/IHS%20Portfolio%20updated%20(25-02-20)%20V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Alcaltel%20Price%20Compari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pportInter&amp;Mission"/>
      <sheetName val="Bilan Heures Sup"/>
      <sheetName val="Listes Données"/>
      <sheetName val="Feuil3"/>
    </sheetNames>
    <sheetDataSet>
      <sheetData sheetId="0"/>
      <sheetData sheetId="1"/>
      <sheetData sheetId="2">
        <row r="3">
          <cell r="B3" t="str">
            <v>Administrative</v>
          </cell>
        </row>
        <row r="4">
          <cell r="B4" t="str">
            <v>Maintenance Curative</v>
          </cell>
        </row>
        <row r="5">
          <cell r="B5" t="str">
            <v>Maintenance Préventive</v>
          </cell>
        </row>
        <row r="6">
          <cell r="B6" t="str">
            <v>Exploitation</v>
          </cell>
        </row>
        <row r="7">
          <cell r="B7" t="str">
            <v>Projet</v>
          </cell>
        </row>
        <row r="8">
          <cell r="B8" t="str">
            <v>Gestion Spares</v>
          </cell>
        </row>
        <row r="16">
          <cell r="B16" t="str">
            <v>En Cours</v>
          </cell>
        </row>
        <row r="17">
          <cell r="B17" t="str">
            <v>Exécutés</v>
          </cell>
        </row>
        <row r="18">
          <cell r="B18" t="str">
            <v>En Observation</v>
          </cell>
        </row>
      </sheetData>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Table"/>
      <sheetName val="IHS Sites"/>
      <sheetName val="MTN Unwind Sites"/>
      <sheetName val="OCI Tiers"/>
      <sheetName val="Removed sites"/>
      <sheetName val="Rollout 2018 pending sites"/>
      <sheetName val="Integration_Sheet"/>
      <sheetName val="Feuil1"/>
      <sheetName val="IHS Portfolio updated (25-02-20"/>
    </sheetNames>
    <sheetDataSet>
      <sheetData sheetId="0" refreshError="1"/>
      <sheetData sheetId="1"/>
      <sheetData sheetId="2" refreshError="1"/>
      <sheetData sheetId="3" refreshError="1"/>
      <sheetData sheetId="4"/>
      <sheetData sheetId="5"/>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ropdown Boxes"/>
      <sheetName val="Sheet2"/>
      <sheetName val="Source"/>
      <sheetName val="Summary LCY"/>
      <sheetName val="Summary USD"/>
      <sheetName val="Support Functions"/>
      <sheetName val="BS"/>
      <sheetName val="Cashflow"/>
      <sheetName val="CO1000"/>
      <sheetName val="MS1000"/>
      <sheetName val="LL1000"/>
      <sheetName val="Col Rev"/>
      <sheetName val="MS Rev"/>
      <sheetName val="LL Rev"/>
      <sheetName val="SF1000"/>
      <sheetName val="SF2000"/>
      <sheetName val="SF2500"/>
      <sheetName val="SF3000"/>
      <sheetName val="SF4000"/>
      <sheetName val="SF5000"/>
      <sheetName val="SF6000"/>
      <sheetName val="SF7000"/>
      <sheetName val="SF8000"/>
      <sheetName val="SF9000"/>
      <sheetName val="SF9500"/>
      <sheetName val="Dep&amp;Interest Forecast"/>
      <sheetName val="PPE Workings"/>
      <sheetName val="TUC Workings"/>
      <sheetName val="Int Assets"/>
      <sheetName val="Financial Assets"/>
      <sheetName val="Loans&amp;Borrowings"/>
      <sheetName val="Retained Earnings"/>
      <sheetName val="Prov for Decom Exp"/>
      <sheetName val="Termination Benefits"/>
      <sheetName val="Tenants by op."/>
      <sheetName val="Sheet3"/>
      <sheetName val="Parameters"/>
      <sheetName val="Code Site MTN"/>
      <sheetName val="Daily Summary"/>
      <sheetName val="FACTURE Normale"/>
      <sheetName val="911 SITES et WIP SITES"/>
      <sheetName val="Model vierge"/>
      <sheetName val="FACTURE (2)"/>
      <sheetName val="Feuil3 (2)"/>
      <sheetName val="Feuil1"/>
      <sheetName val="Feuil2"/>
      <sheetName val="FACTURE_Normale1"/>
      <sheetName val="911_SITES_et_WIP_SITES1"/>
      <sheetName val="Code_Site_MTN1"/>
      <sheetName val="Model_vierge1"/>
      <sheetName val="FACTURE_(2)1"/>
      <sheetName val="Feuil3_(2)1"/>
      <sheetName val="Dropdown_Boxes1"/>
      <sheetName val="Summary_LCY1"/>
      <sheetName val="Summary_USD1"/>
      <sheetName val="Support_Functions1"/>
      <sheetName val="Col_Rev1"/>
      <sheetName val="MS_Rev1"/>
      <sheetName val="LL_Rev1"/>
      <sheetName val="Dep&amp;Interest_Forecast1"/>
      <sheetName val="PPE_Workings1"/>
      <sheetName val="TUC_Workings1"/>
      <sheetName val="Int_Assets1"/>
      <sheetName val="Financial_Assets1"/>
      <sheetName val="Retained_Earnings1"/>
      <sheetName val="Prov_for_Decom_Exp1"/>
      <sheetName val="Termination_Benefits1"/>
      <sheetName val="Tenants_by_op_1"/>
      <sheetName val="Daily_Summary1"/>
      <sheetName val="FACTURE_Normale"/>
      <sheetName val="911_SITES_et_WIP_SITES"/>
      <sheetName val="Code_Site_MTN"/>
      <sheetName val="Model_vierge"/>
      <sheetName val="FACTURE_(2)"/>
      <sheetName val="Feuil3_(2)"/>
      <sheetName val="Dropdown_Boxes"/>
      <sheetName val="Summary_LCY"/>
      <sheetName val="Summary_USD"/>
      <sheetName val="Support_Functions"/>
      <sheetName val="Col_Rev"/>
      <sheetName val="MS_Rev"/>
      <sheetName val="LL_Rev"/>
      <sheetName val="Dep&amp;Interest_Forecast"/>
      <sheetName val="PPE_Workings"/>
      <sheetName val="TUC_Workings"/>
      <sheetName val="Int_Assets"/>
      <sheetName val="Financial_Assets"/>
      <sheetName val="Retained_Earnings"/>
      <sheetName val="Prov_for_Decom_Exp"/>
      <sheetName val="Termination_Benefits"/>
      <sheetName val="Tenants_by_op_"/>
      <sheetName val="Daily_Summary"/>
      <sheetName val="FACTURE_Normale4"/>
      <sheetName val="911_SITES_et_WIP_SITES4"/>
      <sheetName val="Code_Site_MTN4"/>
      <sheetName val="Model_vierge4"/>
      <sheetName val="FACTURE_(2)4"/>
      <sheetName val="Feuil3_(2)4"/>
      <sheetName val="Dropdown_Boxes4"/>
      <sheetName val="Summary_LCY4"/>
      <sheetName val="Summary_USD4"/>
      <sheetName val="Support_Functions4"/>
      <sheetName val="Col_Rev4"/>
      <sheetName val="MS_Rev4"/>
      <sheetName val="LL_Rev4"/>
      <sheetName val="Dep&amp;Interest_Forecast4"/>
      <sheetName val="PPE_Workings4"/>
      <sheetName val="TUC_Workings4"/>
      <sheetName val="Int_Assets4"/>
      <sheetName val="Financial_Assets4"/>
      <sheetName val="Retained_Earnings4"/>
      <sheetName val="Prov_for_Decom_Exp4"/>
      <sheetName val="Termination_Benefits4"/>
      <sheetName val="Tenants_by_op_4"/>
      <sheetName val="Daily_Summary4"/>
      <sheetName val="FACTURE_Normale2"/>
      <sheetName val="911_SITES_et_WIP_SITES2"/>
      <sheetName val="Code_Site_MTN2"/>
      <sheetName val="Model_vierge2"/>
      <sheetName val="FACTURE_(2)2"/>
      <sheetName val="Feuil3_(2)2"/>
      <sheetName val="Dropdown_Boxes2"/>
      <sheetName val="Summary_LCY2"/>
      <sheetName val="Summary_USD2"/>
      <sheetName val="Support_Functions2"/>
      <sheetName val="Col_Rev2"/>
      <sheetName val="MS_Rev2"/>
      <sheetName val="LL_Rev2"/>
      <sheetName val="Dep&amp;Interest_Forecast2"/>
      <sheetName val="PPE_Workings2"/>
      <sheetName val="TUC_Workings2"/>
      <sheetName val="Int_Assets2"/>
      <sheetName val="Financial_Assets2"/>
      <sheetName val="Retained_Earnings2"/>
      <sheetName val="Prov_for_Decom_Exp2"/>
      <sheetName val="Termination_Benefits2"/>
      <sheetName val="Tenants_by_op_2"/>
      <sheetName val="Daily_Summary2"/>
      <sheetName val="FACTURE_Normale3"/>
      <sheetName val="911_SITES_et_WIP_SITES3"/>
      <sheetName val="Code_Site_MTN3"/>
      <sheetName val="Model_vierge3"/>
      <sheetName val="FACTURE_(2)3"/>
      <sheetName val="Feuil3_(2)3"/>
      <sheetName val="Dropdown_Boxes3"/>
      <sheetName val="Summary_LCY3"/>
      <sheetName val="Summary_USD3"/>
      <sheetName val="Support_Functions3"/>
      <sheetName val="Col_Rev3"/>
      <sheetName val="MS_Rev3"/>
      <sheetName val="LL_Rev3"/>
      <sheetName val="Dep&amp;Interest_Forecast3"/>
      <sheetName val="PPE_Workings3"/>
      <sheetName val="TUC_Workings3"/>
      <sheetName val="Int_Assets3"/>
      <sheetName val="Financial_Assets3"/>
      <sheetName val="Retained_Earnings3"/>
      <sheetName val="Prov_for_Decom_Exp3"/>
      <sheetName val="Termination_Benefits3"/>
      <sheetName val="Tenants_by_op_3"/>
      <sheetName val="Daily_Summary3"/>
      <sheetName val="FACTURE_Normale5"/>
      <sheetName val="911_SITES_et_WIP_SITES5"/>
      <sheetName val="Code_Site_MTN5"/>
      <sheetName val="Model_vierge5"/>
      <sheetName val="FACTURE_(2)5"/>
      <sheetName val="Feuil3_(2)5"/>
      <sheetName val="Dropdown_Boxes5"/>
      <sheetName val="Summary_LCY5"/>
      <sheetName val="Summary_USD5"/>
      <sheetName val="Support_Functions5"/>
      <sheetName val="Col_Rev5"/>
      <sheetName val="MS_Rev5"/>
      <sheetName val="LL_Rev5"/>
      <sheetName val="Dep&amp;Interest_Forecast5"/>
      <sheetName val="PPE_Workings5"/>
      <sheetName val="TUC_Workings5"/>
      <sheetName val="Int_Assets5"/>
      <sheetName val="Financial_Assets5"/>
      <sheetName val="Retained_Earnings5"/>
      <sheetName val="Prov_for_Decom_Exp5"/>
      <sheetName val="Termination_Benefits5"/>
      <sheetName val="Tenants_by_op_5"/>
      <sheetName val="Daily_Summary5"/>
      <sheetName val="FACTURE_Normale6"/>
      <sheetName val="911_SITES_et_WIP_SITES6"/>
      <sheetName val="Code_Site_MTN6"/>
      <sheetName val="Model_vierge6"/>
      <sheetName val="FACTURE_(2)6"/>
      <sheetName val="Feuil3_(2)6"/>
      <sheetName val="Dropdown_Boxes6"/>
      <sheetName val="Summary_LCY6"/>
      <sheetName val="Summary_USD6"/>
      <sheetName val="Support_Functions6"/>
      <sheetName val="Col_Rev6"/>
      <sheetName val="MS_Rev6"/>
      <sheetName val="LL_Rev6"/>
      <sheetName val="Dep&amp;Interest_Forecast6"/>
      <sheetName val="PPE_Workings6"/>
      <sheetName val="TUC_Workings6"/>
      <sheetName val="Int_Assets6"/>
      <sheetName val="Financial_Assets6"/>
      <sheetName val="Retained_Earnings6"/>
      <sheetName val="Prov_for_Decom_Exp6"/>
      <sheetName val="Termination_Benefits6"/>
      <sheetName val="Tenants_by_op_6"/>
      <sheetName val="Daily_Summary6"/>
      <sheetName val="FACTURE_Normale7"/>
      <sheetName val="911_SITES_et_WIP_SITES7"/>
      <sheetName val="Code_Site_MTN7"/>
      <sheetName val="Model_vierge7"/>
      <sheetName val="FACTURE_(2)7"/>
      <sheetName val="Feuil3_(2)7"/>
      <sheetName val="Dropdown_Boxes7"/>
      <sheetName val="Summary_LCY7"/>
      <sheetName val="Summary_USD7"/>
      <sheetName val="Support_Functions7"/>
      <sheetName val="Col_Rev7"/>
      <sheetName val="MS_Rev7"/>
      <sheetName val="LL_Rev7"/>
      <sheetName val="Dep&amp;Interest_Forecast7"/>
      <sheetName val="PPE_Workings7"/>
      <sheetName val="TUC_Workings7"/>
      <sheetName val="Int_Assets7"/>
      <sheetName val="Financial_Assets7"/>
      <sheetName val="Retained_Earnings7"/>
      <sheetName val="Prov_for_Decom_Exp7"/>
      <sheetName val="Termination_Benefits7"/>
      <sheetName val="Tenants_by_op_7"/>
      <sheetName val="Daily_Summary7"/>
      <sheetName val="FACTURE_Normale8"/>
      <sheetName val="911_SITES_et_WIP_SITES8"/>
      <sheetName val="Code_Site_MTN8"/>
      <sheetName val="Model_vierge8"/>
      <sheetName val="FACTURE_(2)8"/>
      <sheetName val="Feuil3_(2)8"/>
      <sheetName val="Dropdown_Boxes8"/>
      <sheetName val="Summary_LCY8"/>
      <sheetName val="Summary_USD8"/>
      <sheetName val="Support_Functions8"/>
      <sheetName val="Col_Rev8"/>
      <sheetName val="MS_Rev8"/>
      <sheetName val="LL_Rev8"/>
      <sheetName val="Dep&amp;Interest_Forecast8"/>
      <sheetName val="PPE_Workings8"/>
      <sheetName val="TUC_Workings8"/>
      <sheetName val="Int_Assets8"/>
      <sheetName val="Financial_Assets8"/>
      <sheetName val="Retained_Earnings8"/>
      <sheetName val="Prov_for_Decom_Exp8"/>
      <sheetName val="Termination_Benefits8"/>
      <sheetName val="Tenants_by_op_8"/>
      <sheetName val="Daily_Summary8"/>
      <sheetName val="FACTURE_Normale9"/>
      <sheetName val="911_SITES_et_WIP_SITES9"/>
      <sheetName val="Code_Site_MTN9"/>
      <sheetName val="Model_vierge9"/>
      <sheetName val="FACTURE_(2)9"/>
      <sheetName val="Feuil3_(2)9"/>
      <sheetName val="Dropdown_Boxes9"/>
      <sheetName val="Summary_LCY9"/>
      <sheetName val="Summary_USD9"/>
      <sheetName val="Support_Functions9"/>
      <sheetName val="Col_Rev9"/>
      <sheetName val="MS_Rev9"/>
      <sheetName val="LL_Rev9"/>
      <sheetName val="Dep&amp;Interest_Forecast9"/>
      <sheetName val="PPE_Workings9"/>
      <sheetName val="TUC_Workings9"/>
      <sheetName val="Int_Assets9"/>
      <sheetName val="Financial_Assets9"/>
      <sheetName val="Retained_Earnings9"/>
      <sheetName val="Prov_for_Decom_Exp9"/>
      <sheetName val="Termination_Benefits9"/>
      <sheetName val="Tenants_by_op_9"/>
      <sheetName val="Daily_Summary9"/>
      <sheetName val="FACTURE_Normale10"/>
      <sheetName val="911_SITES_et_WIP_SITES10"/>
      <sheetName val="Code_Site_MTN10"/>
      <sheetName val="Model_vierge10"/>
      <sheetName val="FACTURE_(2)10"/>
      <sheetName val="Feuil3_(2)10"/>
      <sheetName val="Dropdown_Boxes10"/>
      <sheetName val="Summary_LCY10"/>
      <sheetName val="Summary_USD10"/>
      <sheetName val="Support_Functions10"/>
      <sheetName val="Col_Rev10"/>
      <sheetName val="MS_Rev10"/>
      <sheetName val="LL_Rev10"/>
      <sheetName val="Dep&amp;Interest_Forecast10"/>
      <sheetName val="PPE_Workings10"/>
      <sheetName val="TUC_Workings10"/>
      <sheetName val="Int_Assets10"/>
      <sheetName val="Financial_Assets10"/>
      <sheetName val="Retained_Earnings10"/>
      <sheetName val="Prov_for_Decom_Exp10"/>
      <sheetName val="Termination_Benefits10"/>
      <sheetName val="Tenants_by_op_10"/>
      <sheetName val="Daily_Summary10"/>
      <sheetName val="FACTURE_Normale11"/>
      <sheetName val="911_SITES_et_WIP_SITES11"/>
      <sheetName val="Code_Site_MTN11"/>
      <sheetName val="Model_vierge11"/>
      <sheetName val="FACTURE_(2)11"/>
      <sheetName val="Feuil3_(2)11"/>
      <sheetName val="Dropdown_Boxes11"/>
      <sheetName val="Summary_LCY11"/>
      <sheetName val="Summary_USD11"/>
      <sheetName val="Support_Functions11"/>
      <sheetName val="Col_Rev11"/>
      <sheetName val="MS_Rev11"/>
      <sheetName val="LL_Rev11"/>
      <sheetName val="Dep&amp;Interest_Forecast11"/>
      <sheetName val="PPE_Workings11"/>
      <sheetName val="TUC_Workings11"/>
      <sheetName val="Int_Assets11"/>
      <sheetName val="Financial_Assets11"/>
      <sheetName val="Retained_Earnings11"/>
      <sheetName val="Prov_for_Decom_Exp11"/>
      <sheetName val="Termination_Benefits11"/>
      <sheetName val="Tenants_by_op_11"/>
      <sheetName val="Daily_Summary11"/>
      <sheetName val="FACTURE_Normale12"/>
      <sheetName val="911_SITES_et_WIP_SITES12"/>
      <sheetName val="Code_Site_MTN12"/>
      <sheetName val="Model_vierge12"/>
      <sheetName val="FACTURE_(2)12"/>
      <sheetName val="Feuil3_(2)12"/>
      <sheetName val="Dropdown_Boxes12"/>
      <sheetName val="Summary_LCY12"/>
      <sheetName val="Summary_USD12"/>
      <sheetName val="Support_Functions12"/>
      <sheetName val="Col_Rev12"/>
      <sheetName val="MS_Rev12"/>
      <sheetName val="LL_Rev12"/>
      <sheetName val="Dep&amp;Interest_Forecast12"/>
      <sheetName val="PPE_Workings12"/>
      <sheetName val="TUC_Workings12"/>
      <sheetName val="Int_Assets12"/>
      <sheetName val="Financial_Assets12"/>
      <sheetName val="Retained_Earnings12"/>
      <sheetName val="Prov_for_Decom_Exp12"/>
      <sheetName val="Termination_Benefits12"/>
      <sheetName val="Tenants_by_op_12"/>
      <sheetName val="Daily_Summary12"/>
      <sheetName val="FACTURE_Normale13"/>
      <sheetName val="911_SITES_et_WIP_SITES13"/>
      <sheetName val="Code_Site_MTN13"/>
      <sheetName val="Model_vierge13"/>
      <sheetName val="FACTURE_(2)13"/>
      <sheetName val="Feuil3_(2)13"/>
      <sheetName val="Dropdown_Boxes13"/>
      <sheetName val="Summary_LCY13"/>
      <sheetName val="Summary_USD13"/>
      <sheetName val="Support_Functions13"/>
      <sheetName val="Col_Rev13"/>
      <sheetName val="MS_Rev13"/>
      <sheetName val="LL_Rev13"/>
      <sheetName val="Dep&amp;Interest_Forecast13"/>
      <sheetName val="PPE_Workings13"/>
      <sheetName val="TUC_Workings13"/>
      <sheetName val="Int_Assets13"/>
      <sheetName val="Financial_Assets13"/>
      <sheetName val="Retained_Earnings13"/>
      <sheetName val="Prov_for_Decom_Exp13"/>
      <sheetName val="Termination_Benefits13"/>
      <sheetName val="Tenants_by_op_13"/>
      <sheetName val="Daily_Summary13"/>
      <sheetName val="FACTURE_Normale14"/>
      <sheetName val="911_SITES_et_WIP_SITES14"/>
      <sheetName val="Code_Site_MTN14"/>
      <sheetName val="Model_vierge14"/>
      <sheetName val="FACTURE_(2)14"/>
      <sheetName val="Feuil3_(2)14"/>
      <sheetName val="Dropdown_Boxes14"/>
      <sheetName val="Summary_LCY14"/>
      <sheetName val="Summary_USD14"/>
      <sheetName val="Support_Functions14"/>
      <sheetName val="Col_Rev14"/>
      <sheetName val="MS_Rev14"/>
      <sheetName val="LL_Rev14"/>
      <sheetName val="Dep&amp;Interest_Forecast14"/>
      <sheetName val="PPE_Workings14"/>
      <sheetName val="TUC_Workings14"/>
      <sheetName val="Int_Assets14"/>
      <sheetName val="Financial_Assets14"/>
      <sheetName val="Retained_Earnings14"/>
      <sheetName val="Prov_for_Decom_Exp14"/>
      <sheetName val="Termination_Benefits14"/>
      <sheetName val="Tenants_by_op_14"/>
      <sheetName val="Daily_Summary14"/>
      <sheetName val="FACTURE_Normale15"/>
      <sheetName val="911_SITES_et_WIP_SITES15"/>
      <sheetName val="Code_Site_MTN15"/>
      <sheetName val="Model_vierge15"/>
      <sheetName val="FACTURE_(2)15"/>
      <sheetName val="Feuil3_(2)15"/>
      <sheetName val="Dropdown_Boxes15"/>
      <sheetName val="Summary_LCY15"/>
      <sheetName val="Summary_USD15"/>
      <sheetName val="Support_Functions15"/>
      <sheetName val="Col_Rev15"/>
      <sheetName val="MS_Rev15"/>
      <sheetName val="LL_Rev15"/>
      <sheetName val="Dep&amp;Interest_Forecast15"/>
      <sheetName val="PPE_Workings15"/>
      <sheetName val="TUC_Workings15"/>
      <sheetName val="Int_Assets15"/>
      <sheetName val="Financial_Assets15"/>
      <sheetName val="Retained_Earnings15"/>
      <sheetName val="Prov_for_Decom_Exp15"/>
      <sheetName val="Termination_Benefits15"/>
      <sheetName val="Tenants_by_op_15"/>
      <sheetName val="Daily_Summary15"/>
      <sheetName val="FACTURE_Normale16"/>
      <sheetName val="911_SITES_et_WIP_SITES16"/>
      <sheetName val="Code_Site_MTN16"/>
      <sheetName val="Model_vierge16"/>
      <sheetName val="FACTURE_(2)16"/>
      <sheetName val="Feuil3_(2)16"/>
      <sheetName val="Dropdown_Boxes16"/>
      <sheetName val="Summary_LCY16"/>
      <sheetName val="Summary_USD16"/>
      <sheetName val="Support_Functions16"/>
      <sheetName val="Col_Rev16"/>
      <sheetName val="MS_Rev16"/>
      <sheetName val="LL_Rev16"/>
      <sheetName val="Dep&amp;Interest_Forecast16"/>
      <sheetName val="PPE_Workings16"/>
      <sheetName val="TUC_Workings16"/>
      <sheetName val="Int_Assets16"/>
      <sheetName val="Financial_Assets16"/>
      <sheetName val="Retained_Earnings16"/>
      <sheetName val="Prov_for_Decom_Exp16"/>
      <sheetName val="Termination_Benefits16"/>
      <sheetName val="Tenants_by_op_16"/>
      <sheetName val="Daily_Summary16"/>
      <sheetName val="FACTURE_Normale17"/>
      <sheetName val="911_SITES_et_WIP_SITES17"/>
      <sheetName val="Code_Site_MTN17"/>
      <sheetName val="Model_vierge17"/>
      <sheetName val="FACTURE_(2)17"/>
      <sheetName val="Feuil3_(2)17"/>
      <sheetName val="Dropdown_Boxes17"/>
      <sheetName val="Summary_LCY17"/>
      <sheetName val="Summary_USD17"/>
      <sheetName val="Support_Functions17"/>
      <sheetName val="Col_Rev17"/>
      <sheetName val="MS_Rev17"/>
      <sheetName val="LL_Rev17"/>
      <sheetName val="Dep&amp;Interest_Forecast17"/>
      <sheetName val="PPE_Workings17"/>
      <sheetName val="TUC_Workings17"/>
      <sheetName val="Int_Assets17"/>
      <sheetName val="Financial_Assets17"/>
      <sheetName val="Retained_Earnings17"/>
      <sheetName val="Prov_for_Decom_Exp17"/>
      <sheetName val="Termination_Benefits17"/>
      <sheetName val="Tenants_by_op_17"/>
      <sheetName val="Daily_Summary17"/>
      <sheetName val="FACTURE_Normale19"/>
      <sheetName val="911_SITES_et_WIP_SITES19"/>
      <sheetName val="Code_Site_MTN19"/>
      <sheetName val="Model_vierge19"/>
      <sheetName val="FACTURE_(2)19"/>
      <sheetName val="Feuil3_(2)19"/>
      <sheetName val="Dropdown_Boxes19"/>
      <sheetName val="Summary_LCY19"/>
      <sheetName val="Summary_USD19"/>
      <sheetName val="Support_Functions19"/>
      <sheetName val="Col_Rev19"/>
      <sheetName val="MS_Rev19"/>
      <sheetName val="LL_Rev19"/>
      <sheetName val="Dep&amp;Interest_Forecast19"/>
      <sheetName val="PPE_Workings19"/>
      <sheetName val="TUC_Workings19"/>
      <sheetName val="Int_Assets19"/>
      <sheetName val="Financial_Assets19"/>
      <sheetName val="Retained_Earnings19"/>
      <sheetName val="Prov_for_Decom_Exp19"/>
      <sheetName val="Termination_Benefits19"/>
      <sheetName val="Tenants_by_op_19"/>
      <sheetName val="Daily_Summary19"/>
      <sheetName val="FACTURE_Normale18"/>
      <sheetName val="911_SITES_et_WIP_SITES18"/>
      <sheetName val="Code_Site_MTN18"/>
      <sheetName val="Model_vierge18"/>
      <sheetName val="FACTURE_(2)18"/>
      <sheetName val="Feuil3_(2)18"/>
      <sheetName val="Dropdown_Boxes18"/>
      <sheetName val="Summary_LCY18"/>
      <sheetName val="Summary_USD18"/>
      <sheetName val="Support_Functions18"/>
      <sheetName val="Col_Rev18"/>
      <sheetName val="MS_Rev18"/>
      <sheetName val="LL_Rev18"/>
      <sheetName val="Dep&amp;Interest_Forecast18"/>
      <sheetName val="PPE_Workings18"/>
      <sheetName val="TUC_Workings18"/>
      <sheetName val="Int_Assets18"/>
      <sheetName val="Financial_Assets18"/>
      <sheetName val="Retained_Earnings18"/>
      <sheetName val="Prov_for_Decom_Exp18"/>
      <sheetName val="Termination_Benefits18"/>
      <sheetName val="Tenants_by_op_18"/>
      <sheetName val="Daily_Summary18"/>
      <sheetName val="Assumptions"/>
      <sheetName val="FCMB Deal Valuation"/>
      <sheetName val="Telerj-96"/>
      <sheetName val="SI"/>
      <sheetName val="Airtel New"/>
      <sheetName val="SMILE"/>
      <sheetName val="Cover"/>
      <sheetName val="Sensitivities"/>
      <sheetName val="a"/>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B5:K57"/>
  <sheetViews>
    <sheetView topLeftCell="A34" workbookViewId="0">
      <selection activeCell="D64" sqref="D64"/>
    </sheetView>
  </sheetViews>
  <sheetFormatPr baseColWidth="10" defaultRowHeight="14.4" x14ac:dyDescent="0.3"/>
  <cols>
    <col min="2" max="2" width="21.33203125" customWidth="1"/>
    <col min="3" max="3" width="12.33203125" customWidth="1"/>
    <col min="4" max="4" width="16.88671875" customWidth="1"/>
    <col min="5" max="5" width="26" customWidth="1"/>
    <col min="6" max="6" width="27.6640625" customWidth="1"/>
    <col min="7" max="7" width="14.5546875" customWidth="1"/>
    <col min="8" max="8" width="18.109375" customWidth="1"/>
    <col min="9" max="9" width="18.44140625" customWidth="1"/>
    <col min="10" max="10" width="24.21875" customWidth="1"/>
    <col min="11" max="11" width="28.88671875" customWidth="1"/>
  </cols>
  <sheetData>
    <row r="5" spans="2:9" ht="16.2" thickBot="1" x14ac:dyDescent="0.35">
      <c r="B5" s="62" t="s">
        <v>4968</v>
      </c>
      <c r="C5" s="49"/>
      <c r="D5" s="49"/>
      <c r="E5" s="49"/>
      <c r="F5" s="49"/>
      <c r="G5" s="49"/>
      <c r="H5" s="49"/>
      <c r="I5" s="49"/>
    </row>
    <row r="6" spans="2:9" ht="15" thickBot="1" x14ac:dyDescent="0.35">
      <c r="B6">
        <v>2020</v>
      </c>
      <c r="C6" s="63">
        <v>8.0000000000000002E-3</v>
      </c>
      <c r="D6" s="49"/>
      <c r="E6" s="49"/>
      <c r="F6" s="49"/>
      <c r="G6" s="49"/>
      <c r="H6" s="49"/>
      <c r="I6" s="49"/>
    </row>
    <row r="7" spans="2:9" ht="21.75" customHeight="1" x14ac:dyDescent="0.3">
      <c r="B7" s="38" t="s">
        <v>4949</v>
      </c>
      <c r="C7" s="64" t="s">
        <v>3458</v>
      </c>
      <c r="D7" s="64" t="s">
        <v>4509</v>
      </c>
      <c r="E7" s="65" t="s">
        <v>4969</v>
      </c>
      <c r="F7" s="64" t="s">
        <v>2</v>
      </c>
      <c r="G7" s="66" t="s">
        <v>0</v>
      </c>
      <c r="H7" s="66" t="s">
        <v>4970</v>
      </c>
      <c r="I7" s="66" t="s">
        <v>4951</v>
      </c>
    </row>
    <row r="8" spans="2:9" ht="20.25" customHeight="1" x14ac:dyDescent="0.3">
      <c r="B8" s="67" t="s">
        <v>4950</v>
      </c>
      <c r="C8" s="280">
        <v>457964.280961607</v>
      </c>
      <c r="D8" s="280">
        <v>343473.21072120499</v>
      </c>
      <c r="E8" s="68"/>
      <c r="F8" s="68"/>
      <c r="G8" s="69"/>
      <c r="H8" s="70" t="s">
        <v>4971</v>
      </c>
      <c r="I8" s="42">
        <v>0.18</v>
      </c>
    </row>
    <row r="9" spans="2:9" ht="24" customHeight="1" x14ac:dyDescent="0.3">
      <c r="B9" s="67" t="s">
        <v>4972</v>
      </c>
      <c r="C9" s="281"/>
      <c r="D9" s="281"/>
      <c r="E9" s="68">
        <v>839131.4780304</v>
      </c>
      <c r="F9" s="68">
        <v>839131.4780304</v>
      </c>
      <c r="G9" s="68">
        <v>755218.33022736001</v>
      </c>
      <c r="H9" s="68">
        <v>755218.33022736001</v>
      </c>
      <c r="I9" s="68">
        <v>688087.81198492798</v>
      </c>
    </row>
    <row r="10" spans="2:9" ht="22.5" customHeight="1" x14ac:dyDescent="0.3">
      <c r="B10" s="71" t="s">
        <v>4973</v>
      </c>
      <c r="C10" s="281"/>
      <c r="D10" s="281"/>
      <c r="E10" s="68">
        <v>1139274.2200201238</v>
      </c>
      <c r="F10" s="68">
        <v>1139274.2200201238</v>
      </c>
      <c r="G10" s="68">
        <v>1025346.7980181114</v>
      </c>
      <c r="H10" s="68">
        <v>900026.63381589786</v>
      </c>
      <c r="I10" s="68">
        <v>934204.86041650141</v>
      </c>
    </row>
    <row r="11" spans="2:9" ht="22.5" customHeight="1" x14ac:dyDescent="0.3">
      <c r="B11" s="71" t="s">
        <v>4974</v>
      </c>
      <c r="C11" s="281"/>
      <c r="D11" s="281"/>
      <c r="E11" s="68">
        <v>1345710.4255948756</v>
      </c>
      <c r="F11" s="68">
        <v>1345710.4255948756</v>
      </c>
      <c r="G11" s="68">
        <v>1211139.3830353883</v>
      </c>
      <c r="H11" s="68">
        <v>1063111.2362199519</v>
      </c>
      <c r="I11" s="68">
        <v>1103482.5489877979</v>
      </c>
    </row>
    <row r="12" spans="2:9" ht="23.25" customHeight="1" x14ac:dyDescent="0.3">
      <c r="B12" s="71" t="s">
        <v>4975</v>
      </c>
      <c r="C12" s="281"/>
      <c r="D12" s="281"/>
      <c r="E12" s="68">
        <v>1635284.7664713473</v>
      </c>
      <c r="F12" s="68">
        <v>1635284.7664713473</v>
      </c>
      <c r="G12" s="68">
        <v>1471756.2898242127</v>
      </c>
      <c r="H12" s="68">
        <v>1291874.9655123642</v>
      </c>
      <c r="I12" s="68">
        <v>1340933.5085065048</v>
      </c>
    </row>
    <row r="13" spans="2:9" ht="23.25" customHeight="1" x14ac:dyDescent="0.3">
      <c r="B13" s="72" t="s">
        <v>4976</v>
      </c>
      <c r="C13" s="281"/>
      <c r="D13" s="281"/>
      <c r="E13" s="68">
        <v>2293056.3117940486</v>
      </c>
      <c r="F13" s="68">
        <v>2293056.3117940486</v>
      </c>
      <c r="G13" s="68">
        <v>2063750.680614644</v>
      </c>
      <c r="H13" s="68">
        <v>1811514.4863172984</v>
      </c>
      <c r="I13" s="68">
        <v>1880306.1756711199</v>
      </c>
    </row>
    <row r="14" spans="2:9" ht="18" customHeight="1" x14ac:dyDescent="0.3">
      <c r="B14" s="72" t="s">
        <v>4977</v>
      </c>
      <c r="C14" s="281"/>
      <c r="D14" s="281"/>
      <c r="E14" s="68">
        <v>2805559.6613238314</v>
      </c>
      <c r="F14" s="68">
        <v>2805559.6613238314</v>
      </c>
      <c r="G14" s="68">
        <v>2525003.6951914486</v>
      </c>
      <c r="H14" s="68">
        <v>2216392.1324458271</v>
      </c>
      <c r="I14" s="68">
        <v>2300558.9222855419</v>
      </c>
    </row>
    <row r="15" spans="2:9" ht="20.25" customHeight="1" thickBot="1" x14ac:dyDescent="0.35">
      <c r="B15" s="143" t="s">
        <v>5050</v>
      </c>
      <c r="C15" s="282"/>
      <c r="D15" s="282"/>
      <c r="E15" s="68">
        <v>0</v>
      </c>
      <c r="F15" s="68">
        <v>0</v>
      </c>
      <c r="G15" s="68">
        <v>0</v>
      </c>
      <c r="H15" s="68">
        <v>0</v>
      </c>
      <c r="I15" s="68">
        <v>0</v>
      </c>
    </row>
    <row r="17" spans="2:10" x14ac:dyDescent="0.3">
      <c r="G17" s="80"/>
    </row>
    <row r="19" spans="2:10" ht="16.2" thickBot="1" x14ac:dyDescent="0.35">
      <c r="B19" s="62" t="s">
        <v>4968</v>
      </c>
      <c r="C19" s="81"/>
      <c r="D19" s="81"/>
      <c r="E19" s="81"/>
      <c r="F19" s="81"/>
      <c r="G19" s="81"/>
      <c r="H19" s="49"/>
      <c r="I19" s="49"/>
    </row>
    <row r="20" spans="2:10" ht="15" thickBot="1" x14ac:dyDescent="0.35">
      <c r="B20">
        <v>2021</v>
      </c>
      <c r="C20" s="92">
        <v>2.4E-2</v>
      </c>
      <c r="D20" s="81"/>
      <c r="E20" s="81"/>
      <c r="F20" s="81"/>
      <c r="G20" s="81"/>
      <c r="H20" s="49"/>
      <c r="I20" s="49"/>
      <c r="J20" s="180" t="s">
        <v>5364</v>
      </c>
    </row>
    <row r="21" spans="2:10" x14ac:dyDescent="0.3">
      <c r="B21" s="38" t="s">
        <v>4949</v>
      </c>
      <c r="C21" s="82" t="s">
        <v>3458</v>
      </c>
      <c r="D21" s="82" t="s">
        <v>4509</v>
      </c>
      <c r="E21" s="83" t="s">
        <v>4969</v>
      </c>
      <c r="F21" s="82" t="s">
        <v>2</v>
      </c>
      <c r="G21" s="84" t="s">
        <v>0</v>
      </c>
      <c r="H21" s="85" t="s">
        <v>4970</v>
      </c>
      <c r="I21" s="85" t="s">
        <v>4951</v>
      </c>
      <c r="J21" s="179" t="s">
        <v>5197</v>
      </c>
    </row>
    <row r="22" spans="2:10" x14ac:dyDescent="0.3">
      <c r="B22" s="86" t="s">
        <v>4950</v>
      </c>
      <c r="C22" s="283">
        <v>468955.42370468599</v>
      </c>
      <c r="D22" s="283">
        <v>351716.567778514</v>
      </c>
      <c r="E22" s="87"/>
      <c r="F22" s="87"/>
      <c r="G22" s="88"/>
      <c r="H22" s="89" t="s">
        <v>4971</v>
      </c>
      <c r="I22" s="42">
        <v>0.18</v>
      </c>
      <c r="J22" s="42">
        <v>0.15</v>
      </c>
    </row>
    <row r="23" spans="2:10" x14ac:dyDescent="0.3">
      <c r="B23" s="86" t="s">
        <v>4972</v>
      </c>
      <c r="C23" s="284"/>
      <c r="D23" s="284"/>
      <c r="E23" s="87">
        <v>859270.63350312959</v>
      </c>
      <c r="F23" s="87">
        <v>859270.63350312959</v>
      </c>
      <c r="G23" s="87">
        <v>773343.57015281671</v>
      </c>
      <c r="H23" s="87">
        <v>773343.57015281671</v>
      </c>
      <c r="I23" s="87">
        <v>704601.91947256622</v>
      </c>
      <c r="J23" s="93">
        <v>730380.03847766016</v>
      </c>
    </row>
    <row r="24" spans="2:10" x14ac:dyDescent="0.3">
      <c r="B24" s="90" t="s">
        <v>4973</v>
      </c>
      <c r="C24" s="284"/>
      <c r="D24" s="284"/>
      <c r="E24" s="87">
        <v>1166616.8013006067</v>
      </c>
      <c r="F24" s="87">
        <v>1166616.8013006067</v>
      </c>
      <c r="G24" s="87">
        <v>1049955.1211705462</v>
      </c>
      <c r="H24" s="87">
        <v>921627.27302747942</v>
      </c>
      <c r="I24" s="87">
        <v>956625.77706649748</v>
      </c>
      <c r="J24" s="93">
        <v>991624.28110551566</v>
      </c>
    </row>
    <row r="25" spans="2:10" x14ac:dyDescent="0.3">
      <c r="B25" s="90" t="s">
        <v>4974</v>
      </c>
      <c r="C25" s="284"/>
      <c r="D25" s="284"/>
      <c r="E25" s="87">
        <v>1378007.4758091527</v>
      </c>
      <c r="F25" s="87">
        <v>1378007.4758091527</v>
      </c>
      <c r="G25" s="87">
        <v>1240206.7282282377</v>
      </c>
      <c r="H25" s="87">
        <v>1088625.9058892308</v>
      </c>
      <c r="I25" s="87">
        <v>1129966.1301635052</v>
      </c>
      <c r="J25" s="93">
        <v>1171306.3544377799</v>
      </c>
    </row>
    <row r="26" spans="2:10" x14ac:dyDescent="0.3">
      <c r="B26" s="90" t="s">
        <v>4975</v>
      </c>
      <c r="C26" s="284"/>
      <c r="D26" s="284"/>
      <c r="E26" s="87">
        <v>1674531.6008666598</v>
      </c>
      <c r="F26" s="87">
        <v>1674531.6008666598</v>
      </c>
      <c r="G26" s="87">
        <v>1507078.4407799938</v>
      </c>
      <c r="H26" s="87">
        <v>1322879.964684661</v>
      </c>
      <c r="I26" s="87">
        <v>1373115.9127106611</v>
      </c>
      <c r="J26" s="93">
        <v>1423351.8607366609</v>
      </c>
    </row>
    <row r="27" spans="2:10" x14ac:dyDescent="0.3">
      <c r="B27" s="91" t="s">
        <v>4976</v>
      </c>
      <c r="C27" s="284"/>
      <c r="D27" s="284"/>
      <c r="E27" s="87">
        <v>2348089.6632771059</v>
      </c>
      <c r="F27" s="87">
        <v>2348089.6632771059</v>
      </c>
      <c r="G27" s="87">
        <v>2113280.6969493954</v>
      </c>
      <c r="H27" s="87">
        <v>1854990.8339889136</v>
      </c>
      <c r="I27" s="87">
        <v>1925433.5238872268</v>
      </c>
      <c r="J27" s="93">
        <v>1995876.2137855401</v>
      </c>
    </row>
    <row r="28" spans="2:10" x14ac:dyDescent="0.3">
      <c r="B28" s="91" t="s">
        <v>4977</v>
      </c>
      <c r="C28" s="284"/>
      <c r="D28" s="284"/>
      <c r="E28" s="87">
        <v>2872893.0931956032</v>
      </c>
      <c r="F28" s="87">
        <v>2872893.0931956032</v>
      </c>
      <c r="G28" s="87">
        <v>2585603.7838760433</v>
      </c>
      <c r="H28" s="87">
        <v>2269585.5436245268</v>
      </c>
      <c r="I28" s="87">
        <v>2355772.3364203949</v>
      </c>
      <c r="J28" s="93">
        <v>2441959.1292162626</v>
      </c>
    </row>
    <row r="29" spans="2:10" ht="15" thickBot="1" x14ac:dyDescent="0.35">
      <c r="B29" s="143" t="s">
        <v>5050</v>
      </c>
      <c r="C29" s="285"/>
      <c r="D29" s="285"/>
      <c r="E29" s="87">
        <v>0</v>
      </c>
      <c r="F29" s="87">
        <v>0</v>
      </c>
      <c r="G29" s="87">
        <v>0</v>
      </c>
      <c r="H29" s="68">
        <v>0</v>
      </c>
      <c r="I29" s="68">
        <v>0</v>
      </c>
      <c r="J29" s="68">
        <v>0</v>
      </c>
    </row>
    <row r="32" spans="2:10" ht="16.2" thickBot="1" x14ac:dyDescent="0.35">
      <c r="B32" s="62" t="s">
        <v>4968</v>
      </c>
      <c r="C32" s="81"/>
      <c r="D32" s="81"/>
      <c r="E32" s="81"/>
      <c r="F32" s="81"/>
      <c r="G32" s="81"/>
      <c r="H32" s="49"/>
      <c r="I32" s="49"/>
    </row>
    <row r="33" spans="2:11" ht="15" thickBot="1" x14ac:dyDescent="0.35">
      <c r="B33">
        <v>2022</v>
      </c>
      <c r="C33" s="92">
        <v>4.2000000000000003E-2</v>
      </c>
      <c r="D33" s="81"/>
      <c r="E33" s="81"/>
      <c r="F33" s="81"/>
      <c r="G33" s="81"/>
      <c r="H33" s="49"/>
      <c r="I33" s="49"/>
      <c r="J33" s="180" t="s">
        <v>5364</v>
      </c>
      <c r="K33" s="180" t="s">
        <v>5365</v>
      </c>
    </row>
    <row r="34" spans="2:11" x14ac:dyDescent="0.3">
      <c r="B34" s="38" t="s">
        <v>4949</v>
      </c>
      <c r="C34" s="82" t="s">
        <v>3458</v>
      </c>
      <c r="D34" s="82" t="s">
        <v>4509</v>
      </c>
      <c r="E34" s="83" t="s">
        <v>4969</v>
      </c>
      <c r="F34" s="82" t="s">
        <v>2</v>
      </c>
      <c r="G34" s="84" t="s">
        <v>0</v>
      </c>
      <c r="H34" s="85" t="s">
        <v>4970</v>
      </c>
      <c r="I34" s="85" t="s">
        <v>4951</v>
      </c>
      <c r="J34" s="179" t="s">
        <v>5197</v>
      </c>
      <c r="K34" s="179" t="s">
        <v>5273</v>
      </c>
    </row>
    <row r="35" spans="2:11" x14ac:dyDescent="0.3">
      <c r="B35" s="86" t="s">
        <v>4950</v>
      </c>
      <c r="C35" s="283">
        <v>488651.55150028202</v>
      </c>
      <c r="D35" s="283">
        <v>366488.66362521198</v>
      </c>
      <c r="E35" s="87"/>
      <c r="F35" s="87"/>
      <c r="G35" s="88"/>
      <c r="H35" s="89" t="s">
        <v>4971</v>
      </c>
      <c r="I35" s="42">
        <v>0.18</v>
      </c>
      <c r="J35" s="42">
        <v>0.15</v>
      </c>
      <c r="K35" s="42">
        <v>0.1</v>
      </c>
    </row>
    <row r="36" spans="2:11" x14ac:dyDescent="0.3">
      <c r="B36" s="86" t="s">
        <v>4972</v>
      </c>
      <c r="C36" s="284"/>
      <c r="D36" s="284"/>
      <c r="E36" s="225">
        <v>895360.00011026103</v>
      </c>
      <c r="F36" s="225">
        <v>895360.00011026103</v>
      </c>
      <c r="G36" s="225">
        <v>805824.0000992351</v>
      </c>
      <c r="H36" s="225">
        <v>805824.0000992351</v>
      </c>
      <c r="I36" s="225">
        <v>734195.20009041403</v>
      </c>
      <c r="J36" s="93">
        <v>761056.0000937219</v>
      </c>
      <c r="K36" s="93">
        <v>805824</v>
      </c>
    </row>
    <row r="37" spans="2:11" x14ac:dyDescent="0.3">
      <c r="B37" s="90" t="s">
        <v>4973</v>
      </c>
      <c r="C37" s="284"/>
      <c r="D37" s="284"/>
      <c r="E37" s="225">
        <v>1215614.7069552301</v>
      </c>
      <c r="F37" s="225">
        <v>1215614.7069552322</v>
      </c>
      <c r="G37" s="225">
        <v>1094053.2362597091</v>
      </c>
      <c r="H37" s="225">
        <v>960335.61849463359</v>
      </c>
      <c r="I37" s="225">
        <v>996804.05970329046</v>
      </c>
      <c r="J37" s="93">
        <v>1033272.5009119473</v>
      </c>
      <c r="K37" s="93">
        <v>1094053.2390000001</v>
      </c>
    </row>
    <row r="38" spans="2:11" x14ac:dyDescent="0.3">
      <c r="B38" s="90" t="s">
        <v>4974</v>
      </c>
      <c r="C38" s="284"/>
      <c r="D38" s="284"/>
      <c r="E38" s="225">
        <v>1435883.78979314</v>
      </c>
      <c r="F38" s="225">
        <v>1435883.7897931372</v>
      </c>
      <c r="G38" s="225">
        <v>1292295.4108138238</v>
      </c>
      <c r="H38" s="225">
        <v>1134348.1939365785</v>
      </c>
      <c r="I38" s="225">
        <v>1177424.7076303724</v>
      </c>
      <c r="J38" s="93">
        <v>1220501.2213241667</v>
      </c>
      <c r="K38" s="93">
        <v>1292295.4110000001</v>
      </c>
    </row>
    <row r="39" spans="2:11" x14ac:dyDescent="0.3">
      <c r="B39" s="90" t="s">
        <v>4975</v>
      </c>
      <c r="C39" s="284"/>
      <c r="D39" s="284"/>
      <c r="E39" s="225">
        <v>1744861.92810306</v>
      </c>
      <c r="F39" s="225">
        <v>1744861.9281030595</v>
      </c>
      <c r="G39" s="225">
        <v>1570375.7352927537</v>
      </c>
      <c r="H39" s="225">
        <v>1378440.9232014169</v>
      </c>
      <c r="I39" s="225">
        <v>1430786.7810445088</v>
      </c>
      <c r="J39" s="93">
        <v>1483132.6388876005</v>
      </c>
      <c r="K39" s="93">
        <v>1570375.737</v>
      </c>
    </row>
    <row r="40" spans="2:11" x14ac:dyDescent="0.3">
      <c r="B40" s="91" t="s">
        <v>4976</v>
      </c>
      <c r="C40" s="284"/>
      <c r="D40" s="284"/>
      <c r="E40" s="225">
        <v>2446709.4291347442</v>
      </c>
      <c r="F40" s="225">
        <v>2446709.4291347442</v>
      </c>
      <c r="G40" s="225">
        <v>2202038.4862212702</v>
      </c>
      <c r="H40" s="225">
        <v>1932900.4490164481</v>
      </c>
      <c r="I40" s="225">
        <v>2006301.7318904905</v>
      </c>
      <c r="J40" s="93">
        <v>2079703.0147645327</v>
      </c>
      <c r="K40" s="93">
        <v>2202038.4870000002</v>
      </c>
    </row>
    <row r="41" spans="2:11" x14ac:dyDescent="0.3">
      <c r="B41" s="91" t="s">
        <v>4977</v>
      </c>
      <c r="C41" s="284"/>
      <c r="D41" s="284"/>
      <c r="E41" s="225">
        <v>2993554.6031098189</v>
      </c>
      <c r="F41" s="225">
        <v>2993554.6031098189</v>
      </c>
      <c r="G41" s="225">
        <v>2694199.1427988373</v>
      </c>
      <c r="H41" s="225">
        <v>2364908.1364567569</v>
      </c>
      <c r="I41" s="225">
        <v>2454714.7745500514</v>
      </c>
      <c r="J41" s="93">
        <v>2544521.412643346</v>
      </c>
      <c r="K41" s="93">
        <v>2694199.14</v>
      </c>
    </row>
    <row r="42" spans="2:11" ht="15" thickBot="1" x14ac:dyDescent="0.35">
      <c r="B42" s="143" t="s">
        <v>5050</v>
      </c>
      <c r="C42" s="285"/>
      <c r="D42" s="285"/>
      <c r="E42" s="87">
        <v>0</v>
      </c>
      <c r="F42" s="87">
        <v>0</v>
      </c>
      <c r="G42" s="87">
        <v>0</v>
      </c>
      <c r="H42" s="68">
        <v>0</v>
      </c>
      <c r="I42" s="68">
        <v>0</v>
      </c>
      <c r="J42" s="68">
        <v>0</v>
      </c>
      <c r="K42" s="68">
        <v>0</v>
      </c>
    </row>
    <row r="45" spans="2:11" ht="23.4" hidden="1" customHeight="1" thickBot="1" x14ac:dyDescent="0.35">
      <c r="D45" s="267" t="s">
        <v>5367</v>
      </c>
      <c r="E45" s="268" t="s">
        <v>5373</v>
      </c>
      <c r="F45" s="269" t="s">
        <v>5366</v>
      </c>
    </row>
    <row r="46" spans="2:11" hidden="1" x14ac:dyDescent="0.3">
      <c r="D46" s="260" t="s">
        <v>3458</v>
      </c>
      <c r="E46" s="261">
        <v>1108</v>
      </c>
      <c r="F46" s="272" t="s">
        <v>5372</v>
      </c>
    </row>
    <row r="47" spans="2:11" hidden="1" x14ac:dyDescent="0.3">
      <c r="D47" s="262" t="s">
        <v>4509</v>
      </c>
      <c r="E47" s="2">
        <v>40</v>
      </c>
      <c r="F47" s="263" t="s">
        <v>5372</v>
      </c>
    </row>
    <row r="48" spans="2:11" hidden="1" x14ac:dyDescent="0.3">
      <c r="D48" s="264" t="s">
        <v>1</v>
      </c>
      <c r="E48" s="2">
        <v>399</v>
      </c>
      <c r="F48" s="263" t="s">
        <v>5372</v>
      </c>
    </row>
    <row r="49" spans="4:6" hidden="1" x14ac:dyDescent="0.3">
      <c r="D49" s="262" t="s">
        <v>2</v>
      </c>
      <c r="E49" s="2">
        <v>150</v>
      </c>
      <c r="F49" s="263" t="s">
        <v>5372</v>
      </c>
    </row>
    <row r="50" spans="4:6" hidden="1" x14ac:dyDescent="0.3">
      <c r="D50" s="265" t="s">
        <v>0</v>
      </c>
      <c r="E50" s="2">
        <v>65</v>
      </c>
      <c r="F50" s="263" t="s">
        <v>5372</v>
      </c>
    </row>
    <row r="51" spans="4:6" hidden="1" x14ac:dyDescent="0.3">
      <c r="D51" s="266" t="s">
        <v>4970</v>
      </c>
      <c r="E51" s="2">
        <v>193</v>
      </c>
      <c r="F51" s="263" t="s">
        <v>5372</v>
      </c>
    </row>
    <row r="52" spans="4:6" hidden="1" x14ac:dyDescent="0.3">
      <c r="D52" s="266" t="s">
        <v>4951</v>
      </c>
      <c r="E52" s="2">
        <v>125</v>
      </c>
      <c r="F52" s="263" t="s">
        <v>5372</v>
      </c>
    </row>
    <row r="53" spans="4:6" hidden="1" x14ac:dyDescent="0.3">
      <c r="D53" s="266" t="s">
        <v>5273</v>
      </c>
      <c r="E53" s="2">
        <v>13</v>
      </c>
      <c r="F53" s="263" t="s">
        <v>5368</v>
      </c>
    </row>
    <row r="54" spans="4:6" hidden="1" x14ac:dyDescent="0.3">
      <c r="D54" s="266" t="s">
        <v>5197</v>
      </c>
      <c r="E54" s="2">
        <v>18</v>
      </c>
      <c r="F54" s="263" t="s">
        <v>5368</v>
      </c>
    </row>
    <row r="55" spans="4:6" hidden="1" x14ac:dyDescent="0.3">
      <c r="D55" s="266" t="s">
        <v>5370</v>
      </c>
      <c r="E55" s="2">
        <v>33</v>
      </c>
      <c r="F55" s="270" t="s">
        <v>5371</v>
      </c>
    </row>
    <row r="56" spans="4:6" ht="15" hidden="1" thickBot="1" x14ac:dyDescent="0.35">
      <c r="D56" s="259" t="s">
        <v>5369</v>
      </c>
      <c r="E56" s="258">
        <v>1</v>
      </c>
      <c r="F56" s="271" t="s">
        <v>5368</v>
      </c>
    </row>
    <row r="57" spans="4:6" hidden="1" x14ac:dyDescent="0.3"/>
  </sheetData>
  <mergeCells count="6">
    <mergeCell ref="C8:C15"/>
    <mergeCell ref="D8:D15"/>
    <mergeCell ref="C22:C29"/>
    <mergeCell ref="D22:D29"/>
    <mergeCell ref="C35:C42"/>
    <mergeCell ref="D35:D42"/>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6:L26"/>
  <sheetViews>
    <sheetView tabSelected="1" topLeftCell="D5" workbookViewId="0">
      <selection activeCell="L21" sqref="L21"/>
    </sheetView>
  </sheetViews>
  <sheetFormatPr baseColWidth="10" defaultRowHeight="14.4" x14ac:dyDescent="0.3"/>
  <cols>
    <col min="1" max="1" width="10.77734375" customWidth="1"/>
    <col min="2" max="2" width="124.6640625" customWidth="1"/>
    <col min="3" max="3" width="16.33203125" customWidth="1"/>
    <col min="4" max="4" width="19.5546875" customWidth="1"/>
    <col min="5" max="5" width="15.21875" customWidth="1"/>
    <col min="6" max="6" width="20.88671875" customWidth="1"/>
    <col min="7" max="7" width="15.5546875" customWidth="1"/>
    <col min="10" max="10" width="13.88671875" customWidth="1"/>
  </cols>
  <sheetData>
    <row r="6" spans="1:12" ht="21" customHeight="1" x14ac:dyDescent="0.3">
      <c r="B6" s="140" t="s">
        <v>5264</v>
      </c>
      <c r="C6" s="141" t="s">
        <v>4504</v>
      </c>
      <c r="D6" s="141" t="s">
        <v>4505</v>
      </c>
      <c r="E6" s="141" t="s">
        <v>4506</v>
      </c>
      <c r="F6" s="142" t="s">
        <v>5270</v>
      </c>
    </row>
    <row r="7" spans="1:12" ht="20.25" customHeight="1" x14ac:dyDescent="0.3">
      <c r="B7" s="73" t="str">
        <f>'OCI-MLL 1108 SIT Q1 -2023'!D12</f>
        <v>OCI-MLL 1108 SIT   Q1 - JANVIER 23 - MARS 23</v>
      </c>
      <c r="C7" s="243">
        <f>+'OCI-MLL 1108 SIT Q1 -2023'!F15</f>
        <v>541425917.4000088</v>
      </c>
      <c r="D7" s="243">
        <f>+'OCI-MLL 1108 SIT Q1 -2023'!H15</f>
        <v>1624277752.2000234</v>
      </c>
      <c r="E7" s="243">
        <f>+'OCI-MLL 1108 SIT Q1 -2023'!I15</f>
        <v>292369995.39600652</v>
      </c>
      <c r="F7" s="243">
        <f>+'OCI-MLL 1108 SIT Q1 -2023'!J15</f>
        <v>1916647747.5959885</v>
      </c>
      <c r="G7" s="57"/>
      <c r="H7" s="57"/>
      <c r="I7" s="57"/>
      <c r="J7" s="244"/>
      <c r="K7" s="57"/>
      <c r="L7" s="57"/>
    </row>
    <row r="8" spans="1:12" x14ac:dyDescent="0.3">
      <c r="B8" s="74" t="str">
        <f>'OCI-MLL BPCI 22  SIT Q1- 2023'!D11</f>
        <v>OCI-MLL BPCI 22 SIT Q1 - JANVIER 23 - MARS 23</v>
      </c>
      <c r="C8" s="243">
        <f>+'OCI-MLL BPCI 22  SIT Q1- 2023'!F15</f>
        <v>8062747</v>
      </c>
      <c r="D8" s="243">
        <f>+'OCI-MLL BPCI 22  SIT Q1- 2023'!H15</f>
        <v>24188241</v>
      </c>
      <c r="E8" s="243">
        <f>+'OCI-MLL BPCI 22  SIT Q1- 2023'!I15</f>
        <v>4353883.38</v>
      </c>
      <c r="F8" s="243">
        <f>+'OCI-MLL BPCI 22  SIT Q1- 2023'!J15</f>
        <v>28542124.379999988</v>
      </c>
      <c r="G8" s="57"/>
      <c r="H8" s="57"/>
      <c r="I8" s="57"/>
      <c r="J8" s="244"/>
      <c r="K8" s="57"/>
      <c r="L8" s="57"/>
    </row>
    <row r="9" spans="1:12" x14ac:dyDescent="0.3">
      <c r="B9" s="74" t="str">
        <f>'OCI-MLL BPCI 18  SIT Q1 - 2023'!D12</f>
        <v>OCI-MLL BPCI 18 SIT  Q1 - JANVIER 23 - MARS 23</v>
      </c>
      <c r="C9" s="243">
        <f>+'OCI-MLL BPCI 18  SIT Q1 - 2023'!F15</f>
        <v>6596793</v>
      </c>
      <c r="D9" s="243">
        <f>+'OCI-MLL BPCI 18  SIT Q1 - 2023'!H15</f>
        <v>19790379</v>
      </c>
      <c r="E9" s="243">
        <f>+'OCI-MLL BPCI 18  SIT Q1 - 2023'!I15</f>
        <v>3562268.22</v>
      </c>
      <c r="F9" s="243">
        <f>+'OCI-MLL BPCI 18  SIT Q1 - 2023'!J15</f>
        <v>23352647.219999991</v>
      </c>
      <c r="G9" s="57"/>
      <c r="H9" s="57"/>
      <c r="I9" s="57"/>
      <c r="J9" s="244"/>
      <c r="K9" s="57"/>
      <c r="L9" s="57"/>
    </row>
    <row r="10" spans="1:12" x14ac:dyDescent="0.3">
      <c r="B10" s="73" t="str">
        <f>'OCI-COLOC 399 SIT Q1 - 2023'!D13</f>
        <v>OCI-COLOC 399 SIT Q1 - JANVIER 23 - MARS 23</v>
      </c>
      <c r="C10" s="243">
        <f>+'OCI-COLOC 399 SIT Q1 - 2023'!G14</f>
        <v>554333497.2500006</v>
      </c>
      <c r="D10" s="243">
        <f>+'OCI-COLOC 399 SIT Q1 - 2023'!I14</f>
        <v>1663000491.749995</v>
      </c>
      <c r="E10" s="243">
        <f>+'OCI-COLOC 399 SIT Q1 - 2023'!J14</f>
        <v>299340088.5150001</v>
      </c>
      <c r="F10" s="243">
        <f>+'OCI-COLOC 399 SIT Q1 - 2023'!K14</f>
        <v>1962340580.2650027</v>
      </c>
      <c r="G10" s="57"/>
      <c r="H10" s="57"/>
      <c r="I10" s="57"/>
      <c r="J10" s="244"/>
      <c r="K10" s="57"/>
      <c r="L10" s="57"/>
    </row>
    <row r="11" spans="1:12" x14ac:dyDescent="0.3">
      <c r="B11" s="73" t="str">
        <f>'OCI-PREST 193 ATHENA 1 Q1- 2023'!D12</f>
        <v>OCI-PREST 193 ATHENA 1  Q1 - JANVIER 23 - MARS 23</v>
      </c>
      <c r="C11" s="243">
        <f>+'OCI-PREST 193 ATHENA 1 Q1- 2023'!G15</f>
        <v>246669475.64999935</v>
      </c>
      <c r="D11" s="243">
        <f>+'OCI-PREST 193 ATHENA 1 Q1- 2023'!I15</f>
        <v>740008426.95000005</v>
      </c>
      <c r="E11" s="243">
        <f>+'OCI-PREST 193 ATHENA 1 Q1- 2023'!J15</f>
        <v>133201516.85099986</v>
      </c>
      <c r="F11" s="243">
        <f>+'OCI-PREST 193 ATHENA 1 Q1- 2023'!K15</f>
        <v>873209943.80099761</v>
      </c>
      <c r="G11" s="57"/>
      <c r="H11" s="57"/>
      <c r="I11" s="57"/>
      <c r="J11" s="244"/>
      <c r="K11" s="57"/>
      <c r="L11" s="57"/>
    </row>
    <row r="12" spans="1:12" x14ac:dyDescent="0.3">
      <c r="B12" s="79" t="str">
        <f>'OCI-ATHENA 2-125 SIT Q1- 2023'!E13</f>
        <v>OCI-ATHENA 2 -125 SIT Q1 - JANVIER 23 - MARS 23</v>
      </c>
      <c r="C12" s="243">
        <f>+'OCI-ATHENA 2-125 SIT Q1- 2023'!H15</f>
        <v>136884308.77000019</v>
      </c>
      <c r="D12" s="243">
        <f>+'OCI-ATHENA 2-125 SIT Q1- 2023'!J15</f>
        <v>410652926.31000048</v>
      </c>
      <c r="E12" s="243">
        <f>+'OCI-ATHENA 2-125 SIT Q1- 2023'!K15</f>
        <v>73917526.735799998</v>
      </c>
      <c r="F12" s="243">
        <f>+'OCI-ATHENA 2-125 SIT Q1- 2023'!L15</f>
        <v>484570453.04579985</v>
      </c>
      <c r="G12" s="57"/>
      <c r="H12" s="57"/>
      <c r="I12" s="57"/>
      <c r="J12" s="244"/>
      <c r="K12" s="57"/>
      <c r="L12" s="57"/>
    </row>
    <row r="13" spans="1:12" x14ac:dyDescent="0.3">
      <c r="B13" s="73" t="str">
        <f>'OCI-BTS 150 SIT Q1 - 2023'!D13</f>
        <v>OCI-BTS 150 SIT Q1 - JANVIER 23 - MARS 23</v>
      </c>
      <c r="C13" s="243">
        <f>+'OCI-BTS 150 SIT Q1 - 2023'!G15</f>
        <v>229004774.79999959</v>
      </c>
      <c r="D13" s="243">
        <f>+'OCI-BTS 150 SIT Q1 - 2023'!I15</f>
        <v>687014324.39999998</v>
      </c>
      <c r="E13" s="243">
        <f>+'OCI-BTS 150 SIT Q1 - 2023'!J15</f>
        <v>123662578.39200011</v>
      </c>
      <c r="F13" s="243">
        <f>+'OCI-BTS 150 SIT Q1 - 2023'!K15</f>
        <v>810676902.79199934</v>
      </c>
      <c r="G13" s="57"/>
      <c r="H13" s="57"/>
      <c r="I13" s="57"/>
      <c r="J13" s="244"/>
      <c r="K13" s="57"/>
      <c r="L13" s="57"/>
    </row>
    <row r="14" spans="1:12" x14ac:dyDescent="0.3">
      <c r="A14" s="5"/>
      <c r="B14" s="73" t="str">
        <f>'OCI-65 SIT  BARTER Q1 - 2023'!D13</f>
        <v>OCI-65 SIT  BARTER Q1 - JANVIER 23 - MARS 23</v>
      </c>
      <c r="C14" s="243">
        <f>+'OCI-65 SIT  BARTER Q1 - 2023'!G15</f>
        <v>92355143.179999948</v>
      </c>
      <c r="D14" s="243">
        <f>+'OCI-65 SIT  BARTER Q1 - 2023'!I15</f>
        <v>277065429.53999984</v>
      </c>
      <c r="E14" s="243">
        <f>+'OCI-65 SIT  BARTER Q1 - 2023'!J15</f>
        <v>49871777.31719996</v>
      </c>
      <c r="F14" s="243">
        <f>+'OCI-65 SIT  BARTER Q1 - 2023'!K15</f>
        <v>326937206.85719997</v>
      </c>
      <c r="G14" s="245"/>
      <c r="H14" s="57"/>
      <c r="I14" s="57"/>
      <c r="J14" s="244"/>
      <c r="K14" s="57"/>
      <c r="L14" s="57"/>
    </row>
    <row r="15" spans="1:12" x14ac:dyDescent="0.3">
      <c r="D15" s="75" t="s">
        <v>4504</v>
      </c>
      <c r="E15" s="76" t="s">
        <v>4506</v>
      </c>
      <c r="F15" s="77" t="s">
        <v>5015</v>
      </c>
    </row>
    <row r="16" spans="1:12" ht="21" customHeight="1" x14ac:dyDescent="0.3">
      <c r="C16" s="97"/>
      <c r="D16" s="96">
        <v>38963845.800000019</v>
      </c>
      <c r="E16" s="96">
        <v>7013492.2439999999</v>
      </c>
      <c r="F16" s="96">
        <v>45977338.043999992</v>
      </c>
    </row>
    <row r="17" spans="1:6" ht="22.8" customHeight="1" x14ac:dyDescent="0.3">
      <c r="B17" s="20" t="s">
        <v>5265</v>
      </c>
    </row>
    <row r="18" spans="1:6" ht="29.25" customHeight="1" x14ac:dyDescent="0.3">
      <c r="B18" s="20" t="s">
        <v>5266</v>
      </c>
      <c r="C18" s="286">
        <f>+F7+F8+F9+F10+F11+F12+F13+F14+F16</f>
        <v>6472254944.000988</v>
      </c>
      <c r="D18" s="287"/>
      <c r="E18" s="287"/>
      <c r="F18" s="288"/>
    </row>
    <row r="20" spans="1:6" x14ac:dyDescent="0.3">
      <c r="D20" s="75" t="s">
        <v>4504</v>
      </c>
      <c r="E20" s="76" t="s">
        <v>4506</v>
      </c>
      <c r="F20" s="77" t="s">
        <v>5015</v>
      </c>
    </row>
    <row r="21" spans="1:6" x14ac:dyDescent="0.3">
      <c r="B21" s="20" t="s">
        <v>5267</v>
      </c>
      <c r="C21" s="97"/>
      <c r="D21" s="96">
        <v>38963845.800000019</v>
      </c>
      <c r="E21" s="96">
        <v>7013492.2439999999</v>
      </c>
      <c r="F21" s="96">
        <v>45977338.043999992</v>
      </c>
    </row>
    <row r="22" spans="1:6" x14ac:dyDescent="0.3">
      <c r="B22" s="20" t="s">
        <v>5268</v>
      </c>
      <c r="C22" s="97"/>
      <c r="D22" s="96">
        <v>38963845.800000019</v>
      </c>
      <c r="E22" s="96">
        <v>7013492.2439999999</v>
      </c>
      <c r="F22" s="96">
        <v>45977338.043999992</v>
      </c>
    </row>
    <row r="24" spans="1:6" ht="24" customHeight="1" x14ac:dyDescent="0.3">
      <c r="D24" s="75" t="s">
        <v>4504</v>
      </c>
      <c r="E24" s="76" t="s">
        <v>4506</v>
      </c>
      <c r="F24" s="77" t="s">
        <v>5015</v>
      </c>
    </row>
    <row r="25" spans="1:6" ht="46.8" customHeight="1" x14ac:dyDescent="0.3">
      <c r="A25" s="184" t="s">
        <v>5200</v>
      </c>
      <c r="B25" s="99" t="s">
        <v>5269</v>
      </c>
      <c r="C25" s="2"/>
      <c r="D25" s="100">
        <v>-3420000</v>
      </c>
      <c r="E25" s="100">
        <v>-615600</v>
      </c>
      <c r="F25" s="100">
        <v>-4035600</v>
      </c>
    </row>
    <row r="26" spans="1:6" s="180" customFormat="1" x14ac:dyDescent="0.3">
      <c r="B26" s="255" t="s">
        <v>5363</v>
      </c>
      <c r="C26" s="242"/>
      <c r="D26" s="256">
        <f>'AVOIR TERRAFRIC décom 01 NOV 22'!L12</f>
        <v>-977303.1</v>
      </c>
      <c r="E26" s="256">
        <f>'AVOIR TERRAFRIC décom 01 NOV 22'!L13</f>
        <v>-175915</v>
      </c>
      <c r="F26" s="256">
        <f>'AVOIR TERRAFRIC décom 01 NOV 22'!L14</f>
        <v>-1153218.1000000001</v>
      </c>
    </row>
  </sheetData>
  <mergeCells count="1">
    <mergeCell ref="C18:F18"/>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J1124"/>
  <sheetViews>
    <sheetView zoomScale="81" zoomScaleNormal="80" workbookViewId="0">
      <selection activeCell="H9" sqref="H9"/>
    </sheetView>
  </sheetViews>
  <sheetFormatPr baseColWidth="10" defaultColWidth="9.109375" defaultRowHeight="14.4" x14ac:dyDescent="0.3"/>
  <cols>
    <col min="2" max="2" width="21.44140625" bestFit="1" customWidth="1"/>
    <col min="3" max="3" width="30.33203125" bestFit="1" customWidth="1"/>
    <col min="4" max="4" width="48.33203125" customWidth="1"/>
    <col min="5" max="5" width="13.88671875" bestFit="1" customWidth="1"/>
    <col min="6" max="6" width="19.44140625" bestFit="1" customWidth="1"/>
    <col min="7" max="7" width="11.5546875" customWidth="1"/>
    <col min="8" max="8" width="23.88671875" customWidth="1"/>
    <col min="9" max="9" width="15.109375" customWidth="1"/>
    <col min="10" max="10" width="22.6640625" customWidth="1"/>
  </cols>
  <sheetData>
    <row r="1" spans="1:10" x14ac:dyDescent="0.3">
      <c r="F1" s="1" t="s">
        <v>3458</v>
      </c>
    </row>
    <row r="2" spans="1:10" x14ac:dyDescent="0.3">
      <c r="F2" s="2">
        <f>COUNTIF(E$17:E$1124,$F$1)</f>
        <v>1108</v>
      </c>
    </row>
    <row r="3" spans="1:10" x14ac:dyDescent="0.3">
      <c r="E3" t="s">
        <v>4508</v>
      </c>
      <c r="F3" s="3">
        <f>SUMIF($E$17:$E$1124,"MLL",$F$17:$F$1124)</f>
        <v>541425917.4000088</v>
      </c>
    </row>
    <row r="4" spans="1:10" x14ac:dyDescent="0.3">
      <c r="F4" s="4"/>
    </row>
    <row r="5" spans="1:10" x14ac:dyDescent="0.3">
      <c r="F5" s="6"/>
    </row>
    <row r="6" spans="1:10" x14ac:dyDescent="0.3">
      <c r="D6" s="18"/>
      <c r="E6" t="s">
        <v>4507</v>
      </c>
      <c r="F6" s="7">
        <v>488651.55</v>
      </c>
    </row>
    <row r="7" spans="1:10" x14ac:dyDescent="0.3">
      <c r="F7" s="7"/>
    </row>
    <row r="8" spans="1:10" x14ac:dyDescent="0.3">
      <c r="E8" s="8"/>
      <c r="F8" s="7"/>
    </row>
    <row r="9" spans="1:10" x14ac:dyDescent="0.3">
      <c r="E9" s="8"/>
      <c r="F9" s="7"/>
    </row>
    <row r="10" spans="1:10" x14ac:dyDescent="0.3">
      <c r="E10" s="6"/>
      <c r="F10" s="6"/>
    </row>
    <row r="11" spans="1:10" x14ac:dyDescent="0.3">
      <c r="E11" s="6"/>
      <c r="F11" s="6"/>
      <c r="H11" s="9"/>
    </row>
    <row r="12" spans="1:10" x14ac:dyDescent="0.3">
      <c r="D12" s="20" t="s">
        <v>5274</v>
      </c>
      <c r="E12" s="6"/>
      <c r="F12" s="6"/>
    </row>
    <row r="13" spans="1:10" x14ac:dyDescent="0.3">
      <c r="E13" s="6"/>
      <c r="F13" s="6"/>
    </row>
    <row r="14" spans="1:10" x14ac:dyDescent="0.3">
      <c r="F14" s="9"/>
    </row>
    <row r="15" spans="1:10" s="6" customFormat="1" ht="16.5" customHeight="1" x14ac:dyDescent="0.3">
      <c r="F15" s="16">
        <f>SUBTOTAL(9,F17:F1124)</f>
        <v>541425917.4000088</v>
      </c>
      <c r="G15" s="16"/>
      <c r="H15" s="17">
        <f>SUBTOTAL(9,H17:H1124)</f>
        <v>1624277752.2000234</v>
      </c>
      <c r="I15" s="17">
        <f>SUBTOTAL(9,I17:I1124)</f>
        <v>292369995.39600652</v>
      </c>
      <c r="J15" s="17">
        <f>SUBTOTAL(9,J17:J1124)</f>
        <v>1916647747.5959885</v>
      </c>
    </row>
    <row r="16" spans="1:10" s="5" customFormat="1" ht="16.5" customHeight="1" x14ac:dyDescent="0.3">
      <c r="A16" s="10" t="s">
        <v>5</v>
      </c>
      <c r="B16" s="10" t="s">
        <v>6</v>
      </c>
      <c r="C16" s="10" t="s">
        <v>7</v>
      </c>
      <c r="D16" s="10" t="s">
        <v>8</v>
      </c>
      <c r="E16" s="10" t="s">
        <v>10</v>
      </c>
      <c r="F16" s="10" t="s">
        <v>3458</v>
      </c>
      <c r="G16" s="12" t="s">
        <v>4504</v>
      </c>
      <c r="H16" s="10" t="s">
        <v>4505</v>
      </c>
      <c r="I16" s="10" t="s">
        <v>4506</v>
      </c>
      <c r="J16" s="14" t="s">
        <v>5272</v>
      </c>
    </row>
    <row r="17" spans="1:10" ht="15" customHeight="1" x14ac:dyDescent="0.3">
      <c r="A17" s="2">
        <v>1</v>
      </c>
      <c r="B17" s="2" t="s">
        <v>3494</v>
      </c>
      <c r="C17" s="2" t="s">
        <v>4007</v>
      </c>
      <c r="D17" s="2" t="s">
        <v>4007</v>
      </c>
      <c r="E17" s="2" t="s">
        <v>3458</v>
      </c>
      <c r="F17" s="7">
        <v>488651.55</v>
      </c>
      <c r="G17" s="13">
        <v>3</v>
      </c>
      <c r="H17" s="15">
        <f>+F17*G17</f>
        <v>1465954.65</v>
      </c>
      <c r="I17" s="7">
        <f>+H17*0.18</f>
        <v>263871.837</v>
      </c>
      <c r="J17" s="7">
        <f>+H17+I17</f>
        <v>1729826.487</v>
      </c>
    </row>
    <row r="18" spans="1:10" ht="15" customHeight="1" x14ac:dyDescent="0.3">
      <c r="A18" s="2">
        <v>2</v>
      </c>
      <c r="B18" s="2" t="s">
        <v>3495</v>
      </c>
      <c r="C18" s="2" t="s">
        <v>4008</v>
      </c>
      <c r="D18" s="2" t="s">
        <v>4008</v>
      </c>
      <c r="E18" s="2" t="s">
        <v>3458</v>
      </c>
      <c r="F18" s="7">
        <v>488651.55</v>
      </c>
      <c r="G18" s="13">
        <v>3</v>
      </c>
      <c r="H18" s="15">
        <f t="shared" ref="H18:H81" si="0">+F18*G18</f>
        <v>1465954.65</v>
      </c>
      <c r="I18" s="7">
        <f t="shared" ref="I18:I81" si="1">+H18*0.18</f>
        <v>263871.837</v>
      </c>
      <c r="J18" s="7">
        <f t="shared" ref="J18:J81" si="2">+H18+I18</f>
        <v>1729826.487</v>
      </c>
    </row>
    <row r="19" spans="1:10" ht="15" customHeight="1" x14ac:dyDescent="0.3">
      <c r="A19" s="2">
        <v>3</v>
      </c>
      <c r="B19" s="2" t="s">
        <v>1611</v>
      </c>
      <c r="C19" s="2" t="s">
        <v>1612</v>
      </c>
      <c r="D19" s="2" t="s">
        <v>1612</v>
      </c>
      <c r="E19" s="2" t="s">
        <v>3458</v>
      </c>
      <c r="F19" s="7">
        <v>488651.55</v>
      </c>
      <c r="G19" s="13">
        <v>3</v>
      </c>
      <c r="H19" s="15">
        <f t="shared" si="0"/>
        <v>1465954.65</v>
      </c>
      <c r="I19" s="7">
        <f t="shared" si="1"/>
        <v>263871.837</v>
      </c>
      <c r="J19" s="7">
        <f t="shared" si="2"/>
        <v>1729826.487</v>
      </c>
    </row>
    <row r="20" spans="1:10" ht="15" customHeight="1" x14ac:dyDescent="0.3">
      <c r="A20" s="2">
        <v>4</v>
      </c>
      <c r="B20" s="2" t="s">
        <v>3496</v>
      </c>
      <c r="C20" s="2" t="s">
        <v>4009</v>
      </c>
      <c r="D20" s="2" t="s">
        <v>4009</v>
      </c>
      <c r="E20" s="2" t="s">
        <v>3458</v>
      </c>
      <c r="F20" s="7">
        <v>488651.55</v>
      </c>
      <c r="G20" s="13">
        <v>3</v>
      </c>
      <c r="H20" s="15">
        <f t="shared" si="0"/>
        <v>1465954.65</v>
      </c>
      <c r="I20" s="7">
        <f t="shared" si="1"/>
        <v>263871.837</v>
      </c>
      <c r="J20" s="7">
        <f t="shared" si="2"/>
        <v>1729826.487</v>
      </c>
    </row>
    <row r="21" spans="1:10" ht="15" customHeight="1" x14ac:dyDescent="0.3">
      <c r="A21" s="2">
        <v>5</v>
      </c>
      <c r="B21" s="2" t="s">
        <v>3497</v>
      </c>
      <c r="C21" s="2" t="s">
        <v>4010</v>
      </c>
      <c r="D21" s="2" t="s">
        <v>4010</v>
      </c>
      <c r="E21" s="2" t="s">
        <v>3458</v>
      </c>
      <c r="F21" s="7">
        <v>488651.55</v>
      </c>
      <c r="G21" s="13">
        <v>3</v>
      </c>
      <c r="H21" s="15">
        <f t="shared" si="0"/>
        <v>1465954.65</v>
      </c>
      <c r="I21" s="7">
        <f t="shared" si="1"/>
        <v>263871.837</v>
      </c>
      <c r="J21" s="7">
        <f t="shared" si="2"/>
        <v>1729826.487</v>
      </c>
    </row>
    <row r="22" spans="1:10" ht="15" customHeight="1" x14ac:dyDescent="0.3">
      <c r="A22" s="2">
        <v>6</v>
      </c>
      <c r="B22" s="2" t="s">
        <v>5048</v>
      </c>
      <c r="C22" s="2" t="s">
        <v>4011</v>
      </c>
      <c r="D22" s="2" t="s">
        <v>4011</v>
      </c>
      <c r="E22" s="2" t="s">
        <v>3458</v>
      </c>
      <c r="F22" s="7">
        <v>488651.55</v>
      </c>
      <c r="G22" s="13">
        <v>3</v>
      </c>
      <c r="H22" s="15">
        <f t="shared" si="0"/>
        <v>1465954.65</v>
      </c>
      <c r="I22" s="7">
        <f t="shared" si="1"/>
        <v>263871.837</v>
      </c>
      <c r="J22" s="7">
        <f t="shared" si="2"/>
        <v>1729826.487</v>
      </c>
    </row>
    <row r="23" spans="1:10" ht="15" customHeight="1" x14ac:dyDescent="0.3">
      <c r="A23" s="2">
        <v>7</v>
      </c>
      <c r="B23" s="2" t="s">
        <v>1409</v>
      </c>
      <c r="C23" s="2" t="s">
        <v>1410</v>
      </c>
      <c r="D23" s="2" t="s">
        <v>1410</v>
      </c>
      <c r="E23" s="2" t="s">
        <v>3458</v>
      </c>
      <c r="F23" s="7">
        <v>488651.55</v>
      </c>
      <c r="G23" s="13">
        <v>3</v>
      </c>
      <c r="H23" s="15">
        <f t="shared" si="0"/>
        <v>1465954.65</v>
      </c>
      <c r="I23" s="7">
        <f t="shared" si="1"/>
        <v>263871.837</v>
      </c>
      <c r="J23" s="7">
        <f t="shared" si="2"/>
        <v>1729826.487</v>
      </c>
    </row>
    <row r="24" spans="1:10" ht="15" customHeight="1" x14ac:dyDescent="0.3">
      <c r="A24" s="2">
        <v>8</v>
      </c>
      <c r="B24" s="2" t="s">
        <v>3498</v>
      </c>
      <c r="C24" s="2" t="s">
        <v>4012</v>
      </c>
      <c r="D24" s="2" t="s">
        <v>4012</v>
      </c>
      <c r="E24" s="2" t="s">
        <v>3458</v>
      </c>
      <c r="F24" s="7">
        <v>488651.55</v>
      </c>
      <c r="G24" s="13">
        <v>3</v>
      </c>
      <c r="H24" s="15">
        <f t="shared" si="0"/>
        <v>1465954.65</v>
      </c>
      <c r="I24" s="7">
        <f t="shared" si="1"/>
        <v>263871.837</v>
      </c>
      <c r="J24" s="7">
        <f t="shared" si="2"/>
        <v>1729826.487</v>
      </c>
    </row>
    <row r="25" spans="1:10" ht="15" customHeight="1" x14ac:dyDescent="0.3">
      <c r="A25" s="2">
        <v>9</v>
      </c>
      <c r="B25" s="2" t="s">
        <v>3499</v>
      </c>
      <c r="C25" s="2" t="s">
        <v>4013</v>
      </c>
      <c r="D25" s="2" t="s">
        <v>4013</v>
      </c>
      <c r="E25" s="2" t="s">
        <v>3458</v>
      </c>
      <c r="F25" s="7">
        <v>488651.55</v>
      </c>
      <c r="G25" s="13">
        <v>3</v>
      </c>
      <c r="H25" s="15">
        <f t="shared" si="0"/>
        <v>1465954.65</v>
      </c>
      <c r="I25" s="7">
        <f t="shared" si="1"/>
        <v>263871.837</v>
      </c>
      <c r="J25" s="7">
        <f t="shared" si="2"/>
        <v>1729826.487</v>
      </c>
    </row>
    <row r="26" spans="1:10" ht="15" customHeight="1" x14ac:dyDescent="0.3">
      <c r="A26" s="2">
        <v>10</v>
      </c>
      <c r="B26" s="2" t="s">
        <v>1146</v>
      </c>
      <c r="C26" s="2" t="s">
        <v>1147</v>
      </c>
      <c r="D26" s="2" t="s">
        <v>1147</v>
      </c>
      <c r="E26" s="2" t="s">
        <v>3458</v>
      </c>
      <c r="F26" s="7">
        <v>488651.55</v>
      </c>
      <c r="G26" s="13">
        <v>3</v>
      </c>
      <c r="H26" s="15">
        <f t="shared" si="0"/>
        <v>1465954.65</v>
      </c>
      <c r="I26" s="7">
        <f t="shared" si="1"/>
        <v>263871.837</v>
      </c>
      <c r="J26" s="7">
        <f t="shared" si="2"/>
        <v>1729826.487</v>
      </c>
    </row>
    <row r="27" spans="1:10" ht="15" customHeight="1" x14ac:dyDescent="0.3">
      <c r="A27" s="2">
        <v>11</v>
      </c>
      <c r="B27" s="2" t="s">
        <v>3500</v>
      </c>
      <c r="C27" s="2" t="s">
        <v>4014</v>
      </c>
      <c r="D27" s="2" t="s">
        <v>4014</v>
      </c>
      <c r="E27" s="2" t="s">
        <v>3458</v>
      </c>
      <c r="F27" s="7">
        <v>488651.55</v>
      </c>
      <c r="G27" s="13">
        <v>3</v>
      </c>
      <c r="H27" s="15">
        <f t="shared" si="0"/>
        <v>1465954.65</v>
      </c>
      <c r="I27" s="7">
        <f t="shared" si="1"/>
        <v>263871.837</v>
      </c>
      <c r="J27" s="7">
        <f t="shared" si="2"/>
        <v>1729826.487</v>
      </c>
    </row>
    <row r="28" spans="1:10" ht="15" customHeight="1" x14ac:dyDescent="0.3">
      <c r="A28" s="2">
        <v>12</v>
      </c>
      <c r="B28" s="2" t="s">
        <v>3501</v>
      </c>
      <c r="C28" s="2" t="s">
        <v>4015</v>
      </c>
      <c r="D28" s="2" t="s">
        <v>4015</v>
      </c>
      <c r="E28" s="2" t="s">
        <v>3458</v>
      </c>
      <c r="F28" s="7">
        <v>488651.55</v>
      </c>
      <c r="G28" s="13">
        <v>3</v>
      </c>
      <c r="H28" s="15">
        <f t="shared" si="0"/>
        <v>1465954.65</v>
      </c>
      <c r="I28" s="7">
        <f t="shared" si="1"/>
        <v>263871.837</v>
      </c>
      <c r="J28" s="7">
        <f t="shared" si="2"/>
        <v>1729826.487</v>
      </c>
    </row>
    <row r="29" spans="1:10" ht="15" customHeight="1" x14ac:dyDescent="0.3">
      <c r="A29" s="2">
        <v>13</v>
      </c>
      <c r="B29" s="2" t="s">
        <v>2029</v>
      </c>
      <c r="C29" s="2" t="s">
        <v>2030</v>
      </c>
      <c r="D29" s="2" t="s">
        <v>2030</v>
      </c>
      <c r="E29" s="2" t="s">
        <v>3458</v>
      </c>
      <c r="F29" s="7">
        <v>488651.55</v>
      </c>
      <c r="G29" s="13">
        <v>3</v>
      </c>
      <c r="H29" s="15">
        <f t="shared" si="0"/>
        <v>1465954.65</v>
      </c>
      <c r="I29" s="7">
        <f t="shared" si="1"/>
        <v>263871.837</v>
      </c>
      <c r="J29" s="7">
        <f t="shared" si="2"/>
        <v>1729826.487</v>
      </c>
    </row>
    <row r="30" spans="1:10" ht="15" customHeight="1" x14ac:dyDescent="0.3">
      <c r="A30" s="2">
        <v>14</v>
      </c>
      <c r="B30" s="2" t="s">
        <v>1970</v>
      </c>
      <c r="C30" s="2" t="s">
        <v>1971</v>
      </c>
      <c r="D30" s="2" t="s">
        <v>1971</v>
      </c>
      <c r="E30" s="2" t="s">
        <v>3458</v>
      </c>
      <c r="F30" s="7">
        <v>488651.55</v>
      </c>
      <c r="G30" s="13">
        <v>3</v>
      </c>
      <c r="H30" s="15">
        <f t="shared" si="0"/>
        <v>1465954.65</v>
      </c>
      <c r="I30" s="7">
        <f t="shared" si="1"/>
        <v>263871.837</v>
      </c>
      <c r="J30" s="7">
        <f t="shared" si="2"/>
        <v>1729826.487</v>
      </c>
    </row>
    <row r="31" spans="1:10" ht="15" customHeight="1" x14ac:dyDescent="0.3">
      <c r="A31" s="2">
        <v>15</v>
      </c>
      <c r="B31" s="2" t="s">
        <v>3502</v>
      </c>
      <c r="C31" s="2" t="s">
        <v>4016</v>
      </c>
      <c r="D31" s="2" t="s">
        <v>4016</v>
      </c>
      <c r="E31" s="2" t="s">
        <v>3458</v>
      </c>
      <c r="F31" s="7">
        <v>488651.55</v>
      </c>
      <c r="G31" s="13">
        <v>3</v>
      </c>
      <c r="H31" s="15">
        <f t="shared" si="0"/>
        <v>1465954.65</v>
      </c>
      <c r="I31" s="7">
        <f t="shared" si="1"/>
        <v>263871.837</v>
      </c>
      <c r="J31" s="7">
        <f t="shared" si="2"/>
        <v>1729826.487</v>
      </c>
    </row>
    <row r="32" spans="1:10" ht="15" customHeight="1" x14ac:dyDescent="0.3">
      <c r="A32" s="2">
        <v>16</v>
      </c>
      <c r="B32" s="2" t="s">
        <v>1920</v>
      </c>
      <c r="C32" s="2" t="s">
        <v>1921</v>
      </c>
      <c r="D32" s="2" t="s">
        <v>1921</v>
      </c>
      <c r="E32" s="2" t="s">
        <v>3458</v>
      </c>
      <c r="F32" s="7">
        <v>488651.55</v>
      </c>
      <c r="G32" s="13">
        <v>3</v>
      </c>
      <c r="H32" s="15">
        <f t="shared" si="0"/>
        <v>1465954.65</v>
      </c>
      <c r="I32" s="7">
        <f t="shared" si="1"/>
        <v>263871.837</v>
      </c>
      <c r="J32" s="7">
        <f t="shared" si="2"/>
        <v>1729826.487</v>
      </c>
    </row>
    <row r="33" spans="1:10" ht="15" customHeight="1" x14ac:dyDescent="0.3">
      <c r="A33" s="2">
        <v>17</v>
      </c>
      <c r="B33" s="2" t="s">
        <v>1922</v>
      </c>
      <c r="C33" s="2" t="s">
        <v>1923</v>
      </c>
      <c r="D33" s="2" t="s">
        <v>1923</v>
      </c>
      <c r="E33" s="2" t="s">
        <v>3458</v>
      </c>
      <c r="F33" s="7">
        <v>488651.55</v>
      </c>
      <c r="G33" s="13">
        <v>3</v>
      </c>
      <c r="H33" s="15">
        <f t="shared" si="0"/>
        <v>1465954.65</v>
      </c>
      <c r="I33" s="7">
        <f t="shared" si="1"/>
        <v>263871.837</v>
      </c>
      <c r="J33" s="7">
        <f t="shared" si="2"/>
        <v>1729826.487</v>
      </c>
    </row>
    <row r="34" spans="1:10" ht="15" customHeight="1" x14ac:dyDescent="0.3">
      <c r="A34" s="2">
        <v>18</v>
      </c>
      <c r="B34" s="2" t="s">
        <v>3503</v>
      </c>
      <c r="C34" s="2" t="s">
        <v>4017</v>
      </c>
      <c r="D34" s="2" t="s">
        <v>4017</v>
      </c>
      <c r="E34" s="2" t="s">
        <v>3458</v>
      </c>
      <c r="F34" s="7">
        <v>488651.55</v>
      </c>
      <c r="G34" s="13">
        <v>3</v>
      </c>
      <c r="H34" s="15">
        <f t="shared" si="0"/>
        <v>1465954.65</v>
      </c>
      <c r="I34" s="7">
        <f t="shared" si="1"/>
        <v>263871.837</v>
      </c>
      <c r="J34" s="7">
        <f t="shared" si="2"/>
        <v>1729826.487</v>
      </c>
    </row>
    <row r="35" spans="1:10" ht="15" customHeight="1" x14ac:dyDescent="0.3">
      <c r="A35" s="2">
        <v>19</v>
      </c>
      <c r="B35" s="2" t="s">
        <v>2205</v>
      </c>
      <c r="C35" s="2" t="s">
        <v>2206</v>
      </c>
      <c r="D35" s="2" t="s">
        <v>2206</v>
      </c>
      <c r="E35" s="2" t="s">
        <v>3458</v>
      </c>
      <c r="F35" s="7">
        <v>488651.55</v>
      </c>
      <c r="G35" s="13">
        <v>3</v>
      </c>
      <c r="H35" s="15">
        <f t="shared" si="0"/>
        <v>1465954.65</v>
      </c>
      <c r="I35" s="7">
        <f t="shared" si="1"/>
        <v>263871.837</v>
      </c>
      <c r="J35" s="7">
        <f t="shared" si="2"/>
        <v>1729826.487</v>
      </c>
    </row>
    <row r="36" spans="1:10" ht="15" customHeight="1" x14ac:dyDescent="0.3">
      <c r="A36" s="2">
        <v>20</v>
      </c>
      <c r="B36" s="2" t="s">
        <v>1914</v>
      </c>
      <c r="C36" s="2" t="s">
        <v>1915</v>
      </c>
      <c r="D36" s="2" t="s">
        <v>1915</v>
      </c>
      <c r="E36" s="2" t="s">
        <v>3458</v>
      </c>
      <c r="F36" s="7">
        <v>488651.55</v>
      </c>
      <c r="G36" s="13">
        <v>3</v>
      </c>
      <c r="H36" s="15">
        <f t="shared" si="0"/>
        <v>1465954.65</v>
      </c>
      <c r="I36" s="7">
        <f t="shared" si="1"/>
        <v>263871.837</v>
      </c>
      <c r="J36" s="7">
        <f t="shared" si="2"/>
        <v>1729826.487</v>
      </c>
    </row>
    <row r="37" spans="1:10" ht="15" customHeight="1" x14ac:dyDescent="0.3">
      <c r="A37" s="2">
        <v>21</v>
      </c>
      <c r="B37" s="2" t="s">
        <v>3504</v>
      </c>
      <c r="C37" s="2" t="s">
        <v>4018</v>
      </c>
      <c r="D37" s="2" t="s">
        <v>4018</v>
      </c>
      <c r="E37" s="2" t="s">
        <v>3458</v>
      </c>
      <c r="F37" s="7">
        <v>488651.55</v>
      </c>
      <c r="G37" s="13">
        <v>3</v>
      </c>
      <c r="H37" s="15">
        <f t="shared" si="0"/>
        <v>1465954.65</v>
      </c>
      <c r="I37" s="7">
        <f t="shared" si="1"/>
        <v>263871.837</v>
      </c>
      <c r="J37" s="7">
        <f t="shared" si="2"/>
        <v>1729826.487</v>
      </c>
    </row>
    <row r="38" spans="1:10" ht="15" customHeight="1" x14ac:dyDescent="0.3">
      <c r="A38" s="2">
        <v>22</v>
      </c>
      <c r="B38" s="2" t="s">
        <v>1110</v>
      </c>
      <c r="C38" s="2" t="s">
        <v>1111</v>
      </c>
      <c r="D38" s="2" t="s">
        <v>1111</v>
      </c>
      <c r="E38" s="2" t="s">
        <v>3458</v>
      </c>
      <c r="F38" s="7">
        <v>488651.55</v>
      </c>
      <c r="G38" s="13">
        <v>3</v>
      </c>
      <c r="H38" s="15">
        <f t="shared" si="0"/>
        <v>1465954.65</v>
      </c>
      <c r="I38" s="7">
        <f t="shared" si="1"/>
        <v>263871.837</v>
      </c>
      <c r="J38" s="7">
        <f t="shared" si="2"/>
        <v>1729826.487</v>
      </c>
    </row>
    <row r="39" spans="1:10" ht="15" customHeight="1" x14ac:dyDescent="0.3">
      <c r="A39" s="2">
        <v>23</v>
      </c>
      <c r="B39" s="2" t="s">
        <v>1716</v>
      </c>
      <c r="C39" s="2" t="s">
        <v>1717</v>
      </c>
      <c r="D39" s="2" t="s">
        <v>1717</v>
      </c>
      <c r="E39" s="2" t="s">
        <v>3458</v>
      </c>
      <c r="F39" s="7">
        <v>488651.55</v>
      </c>
      <c r="G39" s="13">
        <v>3</v>
      </c>
      <c r="H39" s="15">
        <f t="shared" si="0"/>
        <v>1465954.65</v>
      </c>
      <c r="I39" s="7">
        <f t="shared" si="1"/>
        <v>263871.837</v>
      </c>
      <c r="J39" s="7">
        <f t="shared" si="2"/>
        <v>1729826.487</v>
      </c>
    </row>
    <row r="40" spans="1:10" ht="15" customHeight="1" x14ac:dyDescent="0.3">
      <c r="A40" s="2">
        <v>24</v>
      </c>
      <c r="B40" s="2" t="s">
        <v>3505</v>
      </c>
      <c r="C40" s="2" t="s">
        <v>4019</v>
      </c>
      <c r="D40" s="2" t="s">
        <v>4019</v>
      </c>
      <c r="E40" s="2" t="s">
        <v>3458</v>
      </c>
      <c r="F40" s="7">
        <v>488651.55</v>
      </c>
      <c r="G40" s="13">
        <v>3</v>
      </c>
      <c r="H40" s="15">
        <f t="shared" si="0"/>
        <v>1465954.65</v>
      </c>
      <c r="I40" s="7">
        <f t="shared" si="1"/>
        <v>263871.837</v>
      </c>
      <c r="J40" s="7">
        <f t="shared" si="2"/>
        <v>1729826.487</v>
      </c>
    </row>
    <row r="41" spans="1:10" ht="15" customHeight="1" x14ac:dyDescent="0.3">
      <c r="A41" s="2">
        <v>25</v>
      </c>
      <c r="B41" s="2" t="s">
        <v>3506</v>
      </c>
      <c r="C41" s="2" t="s">
        <v>4020</v>
      </c>
      <c r="D41" s="2" t="s">
        <v>4020</v>
      </c>
      <c r="E41" s="2" t="s">
        <v>3458</v>
      </c>
      <c r="F41" s="7">
        <v>488651.55</v>
      </c>
      <c r="G41" s="13">
        <v>3</v>
      </c>
      <c r="H41" s="15">
        <f t="shared" si="0"/>
        <v>1465954.65</v>
      </c>
      <c r="I41" s="7">
        <f t="shared" si="1"/>
        <v>263871.837</v>
      </c>
      <c r="J41" s="7">
        <f t="shared" si="2"/>
        <v>1729826.487</v>
      </c>
    </row>
    <row r="42" spans="1:10" ht="15" customHeight="1" x14ac:dyDescent="0.3">
      <c r="A42" s="2">
        <v>26</v>
      </c>
      <c r="B42" s="2" t="s">
        <v>1958</v>
      </c>
      <c r="C42" s="2" t="s">
        <v>1959</v>
      </c>
      <c r="D42" s="2" t="s">
        <v>1959</v>
      </c>
      <c r="E42" s="2" t="s">
        <v>3458</v>
      </c>
      <c r="F42" s="7">
        <v>488651.55</v>
      </c>
      <c r="G42" s="13">
        <v>3</v>
      </c>
      <c r="H42" s="15">
        <f t="shared" si="0"/>
        <v>1465954.65</v>
      </c>
      <c r="I42" s="7">
        <f t="shared" si="1"/>
        <v>263871.837</v>
      </c>
      <c r="J42" s="7">
        <f t="shared" si="2"/>
        <v>1729826.487</v>
      </c>
    </row>
    <row r="43" spans="1:10" ht="15" customHeight="1" x14ac:dyDescent="0.3">
      <c r="A43" s="2">
        <v>27</v>
      </c>
      <c r="B43" s="2" t="s">
        <v>1142</v>
      </c>
      <c r="C43" s="2" t="s">
        <v>1143</v>
      </c>
      <c r="D43" s="2" t="s">
        <v>1143</v>
      </c>
      <c r="E43" s="2" t="s">
        <v>3458</v>
      </c>
      <c r="F43" s="7">
        <v>488651.55</v>
      </c>
      <c r="G43" s="13">
        <v>3</v>
      </c>
      <c r="H43" s="15">
        <f t="shared" si="0"/>
        <v>1465954.65</v>
      </c>
      <c r="I43" s="7">
        <f t="shared" si="1"/>
        <v>263871.837</v>
      </c>
      <c r="J43" s="7">
        <f t="shared" si="2"/>
        <v>1729826.487</v>
      </c>
    </row>
    <row r="44" spans="1:10" ht="15" customHeight="1" x14ac:dyDescent="0.3">
      <c r="A44" s="2">
        <v>28</v>
      </c>
      <c r="B44" s="2" t="s">
        <v>3507</v>
      </c>
      <c r="C44" s="2" t="s">
        <v>4021</v>
      </c>
      <c r="D44" s="2" t="s">
        <v>4021</v>
      </c>
      <c r="E44" s="2" t="s">
        <v>3458</v>
      </c>
      <c r="F44" s="7">
        <v>488651.55</v>
      </c>
      <c r="G44" s="13">
        <v>3</v>
      </c>
      <c r="H44" s="15">
        <f t="shared" si="0"/>
        <v>1465954.65</v>
      </c>
      <c r="I44" s="7">
        <f t="shared" si="1"/>
        <v>263871.837</v>
      </c>
      <c r="J44" s="7">
        <f t="shared" si="2"/>
        <v>1729826.487</v>
      </c>
    </row>
    <row r="45" spans="1:10" ht="15" customHeight="1" x14ac:dyDescent="0.3">
      <c r="A45" s="2">
        <v>29</v>
      </c>
      <c r="B45" s="2" t="s">
        <v>1357</v>
      </c>
      <c r="C45" s="2" t="s">
        <v>1358</v>
      </c>
      <c r="D45" s="2" t="s">
        <v>1358</v>
      </c>
      <c r="E45" s="2" t="s">
        <v>3458</v>
      </c>
      <c r="F45" s="7">
        <v>488651.55</v>
      </c>
      <c r="G45" s="13">
        <v>3</v>
      </c>
      <c r="H45" s="15">
        <f t="shared" si="0"/>
        <v>1465954.65</v>
      </c>
      <c r="I45" s="7">
        <f t="shared" si="1"/>
        <v>263871.837</v>
      </c>
      <c r="J45" s="7">
        <f t="shared" si="2"/>
        <v>1729826.487</v>
      </c>
    </row>
    <row r="46" spans="1:10" ht="15" customHeight="1" x14ac:dyDescent="0.3">
      <c r="A46" s="2">
        <v>30</v>
      </c>
      <c r="B46" s="2" t="s">
        <v>2100</v>
      </c>
      <c r="C46" s="2" t="s">
        <v>2101</v>
      </c>
      <c r="D46" s="2" t="s">
        <v>2101</v>
      </c>
      <c r="E46" s="2" t="s">
        <v>3458</v>
      </c>
      <c r="F46" s="7">
        <v>488651.55</v>
      </c>
      <c r="G46" s="13">
        <v>3</v>
      </c>
      <c r="H46" s="15">
        <f t="shared" si="0"/>
        <v>1465954.65</v>
      </c>
      <c r="I46" s="7">
        <f t="shared" si="1"/>
        <v>263871.837</v>
      </c>
      <c r="J46" s="7">
        <f t="shared" si="2"/>
        <v>1729826.487</v>
      </c>
    </row>
    <row r="47" spans="1:10" ht="15" customHeight="1" x14ac:dyDescent="0.3">
      <c r="A47" s="2">
        <v>31</v>
      </c>
      <c r="B47" s="2" t="s">
        <v>3508</v>
      </c>
      <c r="C47" s="2" t="s">
        <v>4022</v>
      </c>
      <c r="D47" s="2" t="s">
        <v>4022</v>
      </c>
      <c r="E47" s="2" t="s">
        <v>3458</v>
      </c>
      <c r="F47" s="7">
        <v>488651.55</v>
      </c>
      <c r="G47" s="13">
        <v>3</v>
      </c>
      <c r="H47" s="15">
        <f t="shared" si="0"/>
        <v>1465954.65</v>
      </c>
      <c r="I47" s="7">
        <f t="shared" si="1"/>
        <v>263871.837</v>
      </c>
      <c r="J47" s="7">
        <f t="shared" si="2"/>
        <v>1729826.487</v>
      </c>
    </row>
    <row r="48" spans="1:10" ht="15" customHeight="1" x14ac:dyDescent="0.3">
      <c r="A48" s="2">
        <v>32</v>
      </c>
      <c r="B48" s="2" t="s">
        <v>1667</v>
      </c>
      <c r="C48" s="2" t="s">
        <v>1668</v>
      </c>
      <c r="D48" s="2" t="s">
        <v>1668</v>
      </c>
      <c r="E48" s="2" t="s">
        <v>3458</v>
      </c>
      <c r="F48" s="7">
        <v>488651.55</v>
      </c>
      <c r="G48" s="13">
        <v>3</v>
      </c>
      <c r="H48" s="15">
        <f t="shared" si="0"/>
        <v>1465954.65</v>
      </c>
      <c r="I48" s="7">
        <f t="shared" si="1"/>
        <v>263871.837</v>
      </c>
      <c r="J48" s="7">
        <f t="shared" si="2"/>
        <v>1729826.487</v>
      </c>
    </row>
    <row r="49" spans="1:10" ht="15" customHeight="1" x14ac:dyDescent="0.3">
      <c r="A49" s="2">
        <v>33</v>
      </c>
      <c r="B49" s="2" t="s">
        <v>3459</v>
      </c>
      <c r="C49" s="2" t="s">
        <v>3464</v>
      </c>
      <c r="D49" s="2" t="s">
        <v>3464</v>
      </c>
      <c r="E49" s="2" t="s">
        <v>3458</v>
      </c>
      <c r="F49" s="7">
        <v>488651.55</v>
      </c>
      <c r="G49" s="13">
        <v>3</v>
      </c>
      <c r="H49" s="15">
        <f t="shared" si="0"/>
        <v>1465954.65</v>
      </c>
      <c r="I49" s="7">
        <f t="shared" si="1"/>
        <v>263871.837</v>
      </c>
      <c r="J49" s="7">
        <f t="shared" si="2"/>
        <v>1729826.487</v>
      </c>
    </row>
    <row r="50" spans="1:10" ht="15" customHeight="1" x14ac:dyDescent="0.3">
      <c r="A50" s="2">
        <v>34</v>
      </c>
      <c r="B50" s="2" t="s">
        <v>1916</v>
      </c>
      <c r="C50" s="2" t="s">
        <v>1917</v>
      </c>
      <c r="D50" s="2" t="s">
        <v>1917</v>
      </c>
      <c r="E50" s="2" t="s">
        <v>3458</v>
      </c>
      <c r="F50" s="7">
        <v>488651.55</v>
      </c>
      <c r="G50" s="13">
        <v>3</v>
      </c>
      <c r="H50" s="15">
        <f t="shared" si="0"/>
        <v>1465954.65</v>
      </c>
      <c r="I50" s="7">
        <f t="shared" si="1"/>
        <v>263871.837</v>
      </c>
      <c r="J50" s="7">
        <f t="shared" si="2"/>
        <v>1729826.487</v>
      </c>
    </row>
    <row r="51" spans="1:10" ht="15" customHeight="1" x14ac:dyDescent="0.3">
      <c r="A51" s="2">
        <v>35</v>
      </c>
      <c r="B51" s="2" t="s">
        <v>3509</v>
      </c>
      <c r="C51" s="2" t="s">
        <v>4023</v>
      </c>
      <c r="D51" s="2" t="s">
        <v>4023</v>
      </c>
      <c r="E51" s="2" t="s">
        <v>3458</v>
      </c>
      <c r="F51" s="7">
        <v>488651.55</v>
      </c>
      <c r="G51" s="13">
        <v>3</v>
      </c>
      <c r="H51" s="15">
        <f t="shared" si="0"/>
        <v>1465954.65</v>
      </c>
      <c r="I51" s="7">
        <f t="shared" si="1"/>
        <v>263871.837</v>
      </c>
      <c r="J51" s="7">
        <f t="shared" si="2"/>
        <v>1729826.487</v>
      </c>
    </row>
    <row r="52" spans="1:10" ht="15" customHeight="1" x14ac:dyDescent="0.3">
      <c r="A52" s="2">
        <v>36</v>
      </c>
      <c r="B52" s="2" t="s">
        <v>1842</v>
      </c>
      <c r="C52" s="2" t="s">
        <v>1843</v>
      </c>
      <c r="D52" s="2" t="s">
        <v>1843</v>
      </c>
      <c r="E52" s="2" t="s">
        <v>3458</v>
      </c>
      <c r="F52" s="7">
        <v>488651.55</v>
      </c>
      <c r="G52" s="13">
        <v>3</v>
      </c>
      <c r="H52" s="15">
        <f t="shared" si="0"/>
        <v>1465954.65</v>
      </c>
      <c r="I52" s="7">
        <f t="shared" si="1"/>
        <v>263871.837</v>
      </c>
      <c r="J52" s="7">
        <f t="shared" si="2"/>
        <v>1729826.487</v>
      </c>
    </row>
    <row r="53" spans="1:10" ht="15" customHeight="1" x14ac:dyDescent="0.3">
      <c r="A53" s="2">
        <v>37</v>
      </c>
      <c r="B53" s="2" t="s">
        <v>1732</v>
      </c>
      <c r="C53" s="2" t="s">
        <v>1733</v>
      </c>
      <c r="D53" s="2" t="s">
        <v>1733</v>
      </c>
      <c r="E53" s="2" t="s">
        <v>3458</v>
      </c>
      <c r="F53" s="7">
        <v>488651.55</v>
      </c>
      <c r="G53" s="13">
        <v>3</v>
      </c>
      <c r="H53" s="15">
        <f t="shared" si="0"/>
        <v>1465954.65</v>
      </c>
      <c r="I53" s="7">
        <f t="shared" si="1"/>
        <v>263871.837</v>
      </c>
      <c r="J53" s="7">
        <f t="shared" si="2"/>
        <v>1729826.487</v>
      </c>
    </row>
    <row r="54" spans="1:10" ht="15" customHeight="1" x14ac:dyDescent="0.3">
      <c r="A54" s="2">
        <v>38</v>
      </c>
      <c r="B54" s="2" t="s">
        <v>3510</v>
      </c>
      <c r="C54" s="2" t="s">
        <v>1680</v>
      </c>
      <c r="D54" s="2" t="s">
        <v>1680</v>
      </c>
      <c r="E54" s="2" t="s">
        <v>3458</v>
      </c>
      <c r="F54" s="7">
        <v>488651.55</v>
      </c>
      <c r="G54" s="13">
        <v>3</v>
      </c>
      <c r="H54" s="15">
        <f t="shared" si="0"/>
        <v>1465954.65</v>
      </c>
      <c r="I54" s="7">
        <f t="shared" si="1"/>
        <v>263871.837</v>
      </c>
      <c r="J54" s="7">
        <f t="shared" si="2"/>
        <v>1729826.487</v>
      </c>
    </row>
    <row r="55" spans="1:10" ht="15" customHeight="1" x14ac:dyDescent="0.3">
      <c r="A55" s="2">
        <v>39</v>
      </c>
      <c r="B55" s="2" t="s">
        <v>3511</v>
      </c>
      <c r="C55" s="2" t="s">
        <v>4024</v>
      </c>
      <c r="D55" s="2" t="s">
        <v>4024</v>
      </c>
      <c r="E55" s="2" t="s">
        <v>3458</v>
      </c>
      <c r="F55" s="7">
        <v>488651.55</v>
      </c>
      <c r="G55" s="13">
        <v>3</v>
      </c>
      <c r="H55" s="15">
        <f t="shared" si="0"/>
        <v>1465954.65</v>
      </c>
      <c r="I55" s="7">
        <f t="shared" si="1"/>
        <v>263871.837</v>
      </c>
      <c r="J55" s="7">
        <f t="shared" si="2"/>
        <v>1729826.487</v>
      </c>
    </row>
    <row r="56" spans="1:10" ht="15" customHeight="1" x14ac:dyDescent="0.3">
      <c r="A56" s="2">
        <v>40</v>
      </c>
      <c r="B56" s="2" t="s">
        <v>3512</v>
      </c>
      <c r="C56" s="2" t="s">
        <v>2085</v>
      </c>
      <c r="D56" s="2" t="s">
        <v>2085</v>
      </c>
      <c r="E56" s="2" t="s">
        <v>3458</v>
      </c>
      <c r="F56" s="7">
        <v>488651.55</v>
      </c>
      <c r="G56" s="13">
        <v>3</v>
      </c>
      <c r="H56" s="15">
        <f t="shared" si="0"/>
        <v>1465954.65</v>
      </c>
      <c r="I56" s="7">
        <f t="shared" si="1"/>
        <v>263871.837</v>
      </c>
      <c r="J56" s="7">
        <f t="shared" si="2"/>
        <v>1729826.487</v>
      </c>
    </row>
    <row r="57" spans="1:10" ht="15" customHeight="1" x14ac:dyDescent="0.3">
      <c r="A57" s="2">
        <v>41</v>
      </c>
      <c r="B57" s="2" t="s">
        <v>1738</v>
      </c>
      <c r="C57" s="2" t="s">
        <v>1739</v>
      </c>
      <c r="D57" s="2" t="s">
        <v>1739</v>
      </c>
      <c r="E57" s="2" t="s">
        <v>3458</v>
      </c>
      <c r="F57" s="7">
        <v>488651.55</v>
      </c>
      <c r="G57" s="13">
        <v>3</v>
      </c>
      <c r="H57" s="15">
        <f t="shared" si="0"/>
        <v>1465954.65</v>
      </c>
      <c r="I57" s="7">
        <f t="shared" si="1"/>
        <v>263871.837</v>
      </c>
      <c r="J57" s="7">
        <f t="shared" si="2"/>
        <v>1729826.487</v>
      </c>
    </row>
    <row r="58" spans="1:10" ht="15" customHeight="1" x14ac:dyDescent="0.3">
      <c r="A58" s="2">
        <v>42</v>
      </c>
      <c r="B58" s="2" t="s">
        <v>3513</v>
      </c>
      <c r="C58" s="2" t="s">
        <v>4025</v>
      </c>
      <c r="D58" s="2" t="s">
        <v>4025</v>
      </c>
      <c r="E58" s="2" t="s">
        <v>3458</v>
      </c>
      <c r="F58" s="7">
        <v>488651.55</v>
      </c>
      <c r="G58" s="13">
        <v>3</v>
      </c>
      <c r="H58" s="15">
        <f t="shared" si="0"/>
        <v>1465954.65</v>
      </c>
      <c r="I58" s="7">
        <f t="shared" si="1"/>
        <v>263871.837</v>
      </c>
      <c r="J58" s="7">
        <f t="shared" si="2"/>
        <v>1729826.487</v>
      </c>
    </row>
    <row r="59" spans="1:10" ht="15" customHeight="1" x14ac:dyDescent="0.3">
      <c r="A59" s="2">
        <v>43</v>
      </c>
      <c r="B59" s="2" t="s">
        <v>3514</v>
      </c>
      <c r="C59" s="2" t="s">
        <v>1251</v>
      </c>
      <c r="D59" s="2" t="s">
        <v>1251</v>
      </c>
      <c r="E59" s="2" t="s">
        <v>3458</v>
      </c>
      <c r="F59" s="7">
        <v>488651.55</v>
      </c>
      <c r="G59" s="13">
        <v>3</v>
      </c>
      <c r="H59" s="15">
        <f t="shared" si="0"/>
        <v>1465954.65</v>
      </c>
      <c r="I59" s="7">
        <f t="shared" si="1"/>
        <v>263871.837</v>
      </c>
      <c r="J59" s="7">
        <f t="shared" si="2"/>
        <v>1729826.487</v>
      </c>
    </row>
    <row r="60" spans="1:10" ht="15" customHeight="1" x14ac:dyDescent="0.3">
      <c r="A60" s="2">
        <v>44</v>
      </c>
      <c r="B60" s="2" t="s">
        <v>1993</v>
      </c>
      <c r="C60" s="2" t="s">
        <v>1994</v>
      </c>
      <c r="D60" s="2" t="s">
        <v>1994</v>
      </c>
      <c r="E60" s="2" t="s">
        <v>3458</v>
      </c>
      <c r="F60" s="7">
        <v>488651.55</v>
      </c>
      <c r="G60" s="13">
        <v>3</v>
      </c>
      <c r="H60" s="15">
        <f t="shared" si="0"/>
        <v>1465954.65</v>
      </c>
      <c r="I60" s="7">
        <f t="shared" si="1"/>
        <v>263871.837</v>
      </c>
      <c r="J60" s="7">
        <f t="shared" si="2"/>
        <v>1729826.487</v>
      </c>
    </row>
    <row r="61" spans="1:10" ht="15" customHeight="1" x14ac:dyDescent="0.3">
      <c r="A61" s="2">
        <v>45</v>
      </c>
      <c r="B61" s="2" t="s">
        <v>3515</v>
      </c>
      <c r="C61" s="2" t="s">
        <v>4026</v>
      </c>
      <c r="D61" s="2" t="s">
        <v>4026</v>
      </c>
      <c r="E61" s="2" t="s">
        <v>3458</v>
      </c>
      <c r="F61" s="7">
        <v>488651.55</v>
      </c>
      <c r="G61" s="13">
        <v>3</v>
      </c>
      <c r="H61" s="15">
        <f t="shared" si="0"/>
        <v>1465954.65</v>
      </c>
      <c r="I61" s="7">
        <f t="shared" si="1"/>
        <v>263871.837</v>
      </c>
      <c r="J61" s="7">
        <f t="shared" si="2"/>
        <v>1729826.487</v>
      </c>
    </row>
    <row r="62" spans="1:10" ht="15" customHeight="1" x14ac:dyDescent="0.3">
      <c r="A62" s="2">
        <v>46</v>
      </c>
      <c r="B62" s="2" t="s">
        <v>3516</v>
      </c>
      <c r="C62" s="2" t="s">
        <v>4027</v>
      </c>
      <c r="D62" s="2" t="s">
        <v>4027</v>
      </c>
      <c r="E62" s="2" t="s">
        <v>3458</v>
      </c>
      <c r="F62" s="7">
        <v>488651.55</v>
      </c>
      <c r="G62" s="13">
        <v>3</v>
      </c>
      <c r="H62" s="15">
        <f t="shared" si="0"/>
        <v>1465954.65</v>
      </c>
      <c r="I62" s="7">
        <f t="shared" si="1"/>
        <v>263871.837</v>
      </c>
      <c r="J62" s="7">
        <f t="shared" si="2"/>
        <v>1729826.487</v>
      </c>
    </row>
    <row r="63" spans="1:10" ht="15" customHeight="1" x14ac:dyDescent="0.3">
      <c r="A63" s="2">
        <v>47</v>
      </c>
      <c r="B63" s="2" t="s">
        <v>3517</v>
      </c>
      <c r="C63" s="2" t="s">
        <v>4028</v>
      </c>
      <c r="D63" s="2" t="s">
        <v>4028</v>
      </c>
      <c r="E63" s="2" t="s">
        <v>3458</v>
      </c>
      <c r="F63" s="7">
        <v>488651.55</v>
      </c>
      <c r="G63" s="13">
        <v>3</v>
      </c>
      <c r="H63" s="15">
        <f t="shared" si="0"/>
        <v>1465954.65</v>
      </c>
      <c r="I63" s="7">
        <f t="shared" si="1"/>
        <v>263871.837</v>
      </c>
      <c r="J63" s="7">
        <f t="shared" si="2"/>
        <v>1729826.487</v>
      </c>
    </row>
    <row r="64" spans="1:10" ht="15" customHeight="1" x14ac:dyDescent="0.3">
      <c r="A64" s="2">
        <v>48</v>
      </c>
      <c r="B64" s="2" t="s">
        <v>3518</v>
      </c>
      <c r="C64" s="2" t="s">
        <v>4029</v>
      </c>
      <c r="D64" s="2" t="s">
        <v>4029</v>
      </c>
      <c r="E64" s="2" t="s">
        <v>3458</v>
      </c>
      <c r="F64" s="7">
        <v>488651.55</v>
      </c>
      <c r="G64" s="13">
        <v>3</v>
      </c>
      <c r="H64" s="15">
        <f t="shared" si="0"/>
        <v>1465954.65</v>
      </c>
      <c r="I64" s="7">
        <f t="shared" si="1"/>
        <v>263871.837</v>
      </c>
      <c r="J64" s="7">
        <f t="shared" si="2"/>
        <v>1729826.487</v>
      </c>
    </row>
    <row r="65" spans="1:10" ht="15" customHeight="1" x14ac:dyDescent="0.3">
      <c r="A65" s="2">
        <v>49</v>
      </c>
      <c r="B65" s="2" t="s">
        <v>1481</v>
      </c>
      <c r="C65" s="2" t="s">
        <v>1482</v>
      </c>
      <c r="D65" s="2" t="s">
        <v>1482</v>
      </c>
      <c r="E65" s="2" t="s">
        <v>3458</v>
      </c>
      <c r="F65" s="7">
        <v>488651.55</v>
      </c>
      <c r="G65" s="13">
        <v>3</v>
      </c>
      <c r="H65" s="15">
        <f t="shared" si="0"/>
        <v>1465954.65</v>
      </c>
      <c r="I65" s="7">
        <f t="shared" si="1"/>
        <v>263871.837</v>
      </c>
      <c r="J65" s="7">
        <f t="shared" si="2"/>
        <v>1729826.487</v>
      </c>
    </row>
    <row r="66" spans="1:10" ht="15" customHeight="1" x14ac:dyDescent="0.3">
      <c r="A66" s="2">
        <v>50</v>
      </c>
      <c r="B66" s="2" t="s">
        <v>1289</v>
      </c>
      <c r="C66" s="2" t="s">
        <v>1290</v>
      </c>
      <c r="D66" s="2" t="s">
        <v>1290</v>
      </c>
      <c r="E66" s="2" t="s">
        <v>3458</v>
      </c>
      <c r="F66" s="7">
        <v>488651.55</v>
      </c>
      <c r="G66" s="13">
        <v>3</v>
      </c>
      <c r="H66" s="15">
        <f t="shared" si="0"/>
        <v>1465954.65</v>
      </c>
      <c r="I66" s="7">
        <f t="shared" si="1"/>
        <v>263871.837</v>
      </c>
      <c r="J66" s="7">
        <f t="shared" si="2"/>
        <v>1729826.487</v>
      </c>
    </row>
    <row r="67" spans="1:10" ht="15" customHeight="1" x14ac:dyDescent="0.3">
      <c r="A67" s="2">
        <v>51</v>
      </c>
      <c r="B67" s="2" t="s">
        <v>1902</v>
      </c>
      <c r="C67" s="2" t="s">
        <v>1903</v>
      </c>
      <c r="D67" s="2" t="s">
        <v>1903</v>
      </c>
      <c r="E67" s="2" t="s">
        <v>3458</v>
      </c>
      <c r="F67" s="7">
        <v>488651.55</v>
      </c>
      <c r="G67" s="13">
        <v>3</v>
      </c>
      <c r="H67" s="15">
        <f t="shared" si="0"/>
        <v>1465954.65</v>
      </c>
      <c r="I67" s="7">
        <f t="shared" si="1"/>
        <v>263871.837</v>
      </c>
      <c r="J67" s="7">
        <f t="shared" si="2"/>
        <v>1729826.487</v>
      </c>
    </row>
    <row r="68" spans="1:10" ht="15" customHeight="1" x14ac:dyDescent="0.3">
      <c r="A68" s="2">
        <v>52</v>
      </c>
      <c r="B68" s="2" t="s">
        <v>1657</v>
      </c>
      <c r="C68" s="2" t="s">
        <v>1658</v>
      </c>
      <c r="D68" s="2" t="s">
        <v>1658</v>
      </c>
      <c r="E68" s="2" t="s">
        <v>3458</v>
      </c>
      <c r="F68" s="7">
        <v>488651.55</v>
      </c>
      <c r="G68" s="13">
        <v>3</v>
      </c>
      <c r="H68" s="15">
        <f t="shared" si="0"/>
        <v>1465954.65</v>
      </c>
      <c r="I68" s="7">
        <f t="shared" si="1"/>
        <v>263871.837</v>
      </c>
      <c r="J68" s="7">
        <f t="shared" si="2"/>
        <v>1729826.487</v>
      </c>
    </row>
    <row r="69" spans="1:10" ht="15" customHeight="1" x14ac:dyDescent="0.3">
      <c r="A69" s="2">
        <v>53</v>
      </c>
      <c r="B69" s="2" t="s">
        <v>1204</v>
      </c>
      <c r="C69" s="2" t="s">
        <v>1205</v>
      </c>
      <c r="D69" s="2" t="s">
        <v>1205</v>
      </c>
      <c r="E69" s="2" t="s">
        <v>3458</v>
      </c>
      <c r="F69" s="7">
        <v>488651.55</v>
      </c>
      <c r="G69" s="13">
        <v>3</v>
      </c>
      <c r="H69" s="15">
        <f t="shared" si="0"/>
        <v>1465954.65</v>
      </c>
      <c r="I69" s="7">
        <f t="shared" si="1"/>
        <v>263871.837</v>
      </c>
      <c r="J69" s="7">
        <f t="shared" si="2"/>
        <v>1729826.487</v>
      </c>
    </row>
    <row r="70" spans="1:10" ht="15" customHeight="1" x14ac:dyDescent="0.3">
      <c r="A70" s="2">
        <v>54</v>
      </c>
      <c r="B70" s="2" t="s">
        <v>3519</v>
      </c>
      <c r="C70" s="2" t="s">
        <v>4030</v>
      </c>
      <c r="D70" s="2" t="s">
        <v>4030</v>
      </c>
      <c r="E70" s="2" t="s">
        <v>3458</v>
      </c>
      <c r="F70" s="7">
        <v>488651.55</v>
      </c>
      <c r="G70" s="13">
        <v>3</v>
      </c>
      <c r="H70" s="15">
        <f t="shared" si="0"/>
        <v>1465954.65</v>
      </c>
      <c r="I70" s="7">
        <f t="shared" si="1"/>
        <v>263871.837</v>
      </c>
      <c r="J70" s="7">
        <f t="shared" si="2"/>
        <v>1729826.487</v>
      </c>
    </row>
    <row r="71" spans="1:10" ht="15" customHeight="1" x14ac:dyDescent="0.3">
      <c r="A71" s="2">
        <v>55</v>
      </c>
      <c r="B71" s="2" t="s">
        <v>1283</v>
      </c>
      <c r="C71" s="2" t="s">
        <v>1284</v>
      </c>
      <c r="D71" s="2" t="s">
        <v>1284</v>
      </c>
      <c r="E71" s="2" t="s">
        <v>3458</v>
      </c>
      <c r="F71" s="7">
        <v>488651.55</v>
      </c>
      <c r="G71" s="13">
        <v>3</v>
      </c>
      <c r="H71" s="15">
        <f t="shared" si="0"/>
        <v>1465954.65</v>
      </c>
      <c r="I71" s="7">
        <f t="shared" si="1"/>
        <v>263871.837</v>
      </c>
      <c r="J71" s="7">
        <f t="shared" si="2"/>
        <v>1729826.487</v>
      </c>
    </row>
    <row r="72" spans="1:10" ht="15" customHeight="1" x14ac:dyDescent="0.3">
      <c r="A72" s="2">
        <v>56</v>
      </c>
      <c r="B72" s="2" t="s">
        <v>1631</v>
      </c>
      <c r="C72" s="2" t="s">
        <v>1632</v>
      </c>
      <c r="D72" s="2" t="s">
        <v>1632</v>
      </c>
      <c r="E72" s="2" t="s">
        <v>3458</v>
      </c>
      <c r="F72" s="7">
        <v>488651.55</v>
      </c>
      <c r="G72" s="13">
        <v>3</v>
      </c>
      <c r="H72" s="15">
        <f t="shared" si="0"/>
        <v>1465954.65</v>
      </c>
      <c r="I72" s="7">
        <f t="shared" si="1"/>
        <v>263871.837</v>
      </c>
      <c r="J72" s="7">
        <f t="shared" si="2"/>
        <v>1729826.487</v>
      </c>
    </row>
    <row r="73" spans="1:10" ht="15" customHeight="1" x14ac:dyDescent="0.3">
      <c r="A73" s="2">
        <v>57</v>
      </c>
      <c r="B73" s="2" t="s">
        <v>3520</v>
      </c>
      <c r="C73" s="2" t="s">
        <v>4031</v>
      </c>
      <c r="D73" s="2" t="s">
        <v>4031</v>
      </c>
      <c r="E73" s="2" t="s">
        <v>3458</v>
      </c>
      <c r="F73" s="7">
        <v>488651.55</v>
      </c>
      <c r="G73" s="13">
        <v>3</v>
      </c>
      <c r="H73" s="15">
        <f t="shared" si="0"/>
        <v>1465954.65</v>
      </c>
      <c r="I73" s="7">
        <f t="shared" si="1"/>
        <v>263871.837</v>
      </c>
      <c r="J73" s="7">
        <f t="shared" si="2"/>
        <v>1729826.487</v>
      </c>
    </row>
    <row r="74" spans="1:10" ht="15" customHeight="1" x14ac:dyDescent="0.3">
      <c r="A74" s="2">
        <v>58</v>
      </c>
      <c r="B74" s="2" t="s">
        <v>1377</v>
      </c>
      <c r="C74" s="2" t="s">
        <v>1378</v>
      </c>
      <c r="D74" s="2" t="s">
        <v>1378</v>
      </c>
      <c r="E74" s="2" t="s">
        <v>3458</v>
      </c>
      <c r="F74" s="7">
        <v>488651.55</v>
      </c>
      <c r="G74" s="13">
        <v>3</v>
      </c>
      <c r="H74" s="15">
        <f t="shared" si="0"/>
        <v>1465954.65</v>
      </c>
      <c r="I74" s="7">
        <f t="shared" si="1"/>
        <v>263871.837</v>
      </c>
      <c r="J74" s="7">
        <f t="shared" si="2"/>
        <v>1729826.487</v>
      </c>
    </row>
    <row r="75" spans="1:10" ht="15" customHeight="1" x14ac:dyDescent="0.3">
      <c r="A75" s="2">
        <v>59</v>
      </c>
      <c r="B75" s="2" t="s">
        <v>1092</v>
      </c>
      <c r="C75" s="2" t="s">
        <v>1093</v>
      </c>
      <c r="D75" s="2" t="s">
        <v>1093</v>
      </c>
      <c r="E75" s="2" t="s">
        <v>3458</v>
      </c>
      <c r="F75" s="7">
        <v>488651.55</v>
      </c>
      <c r="G75" s="13">
        <v>3</v>
      </c>
      <c r="H75" s="15">
        <f t="shared" si="0"/>
        <v>1465954.65</v>
      </c>
      <c r="I75" s="7">
        <f t="shared" si="1"/>
        <v>263871.837</v>
      </c>
      <c r="J75" s="7">
        <f t="shared" si="2"/>
        <v>1729826.487</v>
      </c>
    </row>
    <row r="76" spans="1:10" ht="15" customHeight="1" x14ac:dyDescent="0.3">
      <c r="A76" s="2">
        <v>60</v>
      </c>
      <c r="B76" s="2" t="s">
        <v>1363</v>
      </c>
      <c r="C76" s="2" t="s">
        <v>1364</v>
      </c>
      <c r="D76" s="2" t="s">
        <v>1364</v>
      </c>
      <c r="E76" s="2" t="s">
        <v>3458</v>
      </c>
      <c r="F76" s="7">
        <v>488651.55</v>
      </c>
      <c r="G76" s="13">
        <v>3</v>
      </c>
      <c r="H76" s="15">
        <f t="shared" si="0"/>
        <v>1465954.65</v>
      </c>
      <c r="I76" s="7">
        <f t="shared" si="1"/>
        <v>263871.837</v>
      </c>
      <c r="J76" s="7">
        <f t="shared" si="2"/>
        <v>1729826.487</v>
      </c>
    </row>
    <row r="77" spans="1:10" ht="15" customHeight="1" x14ac:dyDescent="0.3">
      <c r="A77" s="2">
        <v>61</v>
      </c>
      <c r="B77" s="2" t="s">
        <v>3521</v>
      </c>
      <c r="C77" s="2" t="s">
        <v>4032</v>
      </c>
      <c r="D77" s="2" t="s">
        <v>4032</v>
      </c>
      <c r="E77" s="2" t="s">
        <v>3458</v>
      </c>
      <c r="F77" s="7">
        <v>488651.55</v>
      </c>
      <c r="G77" s="13">
        <v>3</v>
      </c>
      <c r="H77" s="15">
        <f t="shared" si="0"/>
        <v>1465954.65</v>
      </c>
      <c r="I77" s="7">
        <f t="shared" si="1"/>
        <v>263871.837</v>
      </c>
      <c r="J77" s="7">
        <f t="shared" si="2"/>
        <v>1729826.487</v>
      </c>
    </row>
    <row r="78" spans="1:10" ht="15" customHeight="1" x14ac:dyDescent="0.3">
      <c r="A78" s="2">
        <v>62</v>
      </c>
      <c r="B78" s="2" t="s">
        <v>2038</v>
      </c>
      <c r="C78" s="2" t="s">
        <v>2039</v>
      </c>
      <c r="D78" s="2" t="s">
        <v>2039</v>
      </c>
      <c r="E78" s="2" t="s">
        <v>3458</v>
      </c>
      <c r="F78" s="7">
        <v>488651.55</v>
      </c>
      <c r="G78" s="13">
        <v>3</v>
      </c>
      <c r="H78" s="15">
        <f t="shared" si="0"/>
        <v>1465954.65</v>
      </c>
      <c r="I78" s="7">
        <f t="shared" si="1"/>
        <v>263871.837</v>
      </c>
      <c r="J78" s="7">
        <f t="shared" si="2"/>
        <v>1729826.487</v>
      </c>
    </row>
    <row r="79" spans="1:10" ht="15" customHeight="1" x14ac:dyDescent="0.3">
      <c r="A79" s="2">
        <v>63</v>
      </c>
      <c r="B79" s="2" t="s">
        <v>3522</v>
      </c>
      <c r="C79" s="2" t="s">
        <v>4033</v>
      </c>
      <c r="D79" s="2" t="s">
        <v>4033</v>
      </c>
      <c r="E79" s="2" t="s">
        <v>3458</v>
      </c>
      <c r="F79" s="7">
        <v>488651.55</v>
      </c>
      <c r="G79" s="13">
        <v>3</v>
      </c>
      <c r="H79" s="15">
        <f t="shared" si="0"/>
        <v>1465954.65</v>
      </c>
      <c r="I79" s="7">
        <f t="shared" si="1"/>
        <v>263871.837</v>
      </c>
      <c r="J79" s="7">
        <f t="shared" si="2"/>
        <v>1729826.487</v>
      </c>
    </row>
    <row r="80" spans="1:10" ht="15" customHeight="1" x14ac:dyDescent="0.3">
      <c r="A80" s="2">
        <v>64</v>
      </c>
      <c r="B80" s="2" t="s">
        <v>2104</v>
      </c>
      <c r="C80" s="2" t="s">
        <v>2105</v>
      </c>
      <c r="D80" s="2" t="s">
        <v>2105</v>
      </c>
      <c r="E80" s="2" t="s">
        <v>3458</v>
      </c>
      <c r="F80" s="7">
        <v>488651.55</v>
      </c>
      <c r="G80" s="13">
        <v>3</v>
      </c>
      <c r="H80" s="15">
        <f t="shared" si="0"/>
        <v>1465954.65</v>
      </c>
      <c r="I80" s="7">
        <f t="shared" si="1"/>
        <v>263871.837</v>
      </c>
      <c r="J80" s="7">
        <f t="shared" si="2"/>
        <v>1729826.487</v>
      </c>
    </row>
    <row r="81" spans="1:10" ht="15" customHeight="1" x14ac:dyDescent="0.3">
      <c r="A81" s="2">
        <v>65</v>
      </c>
      <c r="B81" s="2" t="s">
        <v>1393</v>
      </c>
      <c r="C81" s="2" t="s">
        <v>1394</v>
      </c>
      <c r="D81" s="2" t="s">
        <v>1394</v>
      </c>
      <c r="E81" s="2" t="s">
        <v>3458</v>
      </c>
      <c r="F81" s="7">
        <v>488651.55</v>
      </c>
      <c r="G81" s="13">
        <v>3</v>
      </c>
      <c r="H81" s="15">
        <f t="shared" si="0"/>
        <v>1465954.65</v>
      </c>
      <c r="I81" s="7">
        <f t="shared" si="1"/>
        <v>263871.837</v>
      </c>
      <c r="J81" s="7">
        <f t="shared" si="2"/>
        <v>1729826.487</v>
      </c>
    </row>
    <row r="82" spans="1:10" ht="15" customHeight="1" x14ac:dyDescent="0.3">
      <c r="A82" s="2">
        <v>66</v>
      </c>
      <c r="B82" s="2" t="s">
        <v>3523</v>
      </c>
      <c r="C82" s="2" t="s">
        <v>4034</v>
      </c>
      <c r="D82" s="2" t="s">
        <v>4034</v>
      </c>
      <c r="E82" s="2" t="s">
        <v>3458</v>
      </c>
      <c r="F82" s="7">
        <v>488651.55</v>
      </c>
      <c r="G82" s="13">
        <v>3</v>
      </c>
      <c r="H82" s="15">
        <f t="shared" ref="H82:H145" si="3">+F82*G82</f>
        <v>1465954.65</v>
      </c>
      <c r="I82" s="7">
        <f t="shared" ref="I82:I145" si="4">+H82*0.18</f>
        <v>263871.837</v>
      </c>
      <c r="J82" s="7">
        <f t="shared" ref="J82:J145" si="5">+H82+I82</f>
        <v>1729826.487</v>
      </c>
    </row>
    <row r="83" spans="1:10" ht="15" customHeight="1" x14ac:dyDescent="0.3">
      <c r="A83" s="2">
        <v>67</v>
      </c>
      <c r="B83" s="2" t="s">
        <v>3524</v>
      </c>
      <c r="C83" s="2" t="s">
        <v>4035</v>
      </c>
      <c r="D83" s="2" t="s">
        <v>4035</v>
      </c>
      <c r="E83" s="2" t="s">
        <v>3458</v>
      </c>
      <c r="F83" s="7">
        <v>488651.55</v>
      </c>
      <c r="G83" s="13">
        <v>3</v>
      </c>
      <c r="H83" s="15">
        <f t="shared" si="3"/>
        <v>1465954.65</v>
      </c>
      <c r="I83" s="7">
        <f t="shared" si="4"/>
        <v>263871.837</v>
      </c>
      <c r="J83" s="7">
        <f t="shared" si="5"/>
        <v>1729826.487</v>
      </c>
    </row>
    <row r="84" spans="1:10" ht="15" customHeight="1" x14ac:dyDescent="0.3">
      <c r="A84" s="2">
        <v>68</v>
      </c>
      <c r="B84" s="2" t="s">
        <v>3525</v>
      </c>
      <c r="C84" s="2" t="s">
        <v>4036</v>
      </c>
      <c r="D84" s="2" t="s">
        <v>4036</v>
      </c>
      <c r="E84" s="2" t="s">
        <v>3458</v>
      </c>
      <c r="F84" s="7">
        <v>488651.55</v>
      </c>
      <c r="G84" s="13">
        <v>3</v>
      </c>
      <c r="H84" s="15">
        <f t="shared" si="3"/>
        <v>1465954.65</v>
      </c>
      <c r="I84" s="7">
        <f t="shared" si="4"/>
        <v>263871.837</v>
      </c>
      <c r="J84" s="7">
        <f t="shared" si="5"/>
        <v>1729826.487</v>
      </c>
    </row>
    <row r="85" spans="1:10" ht="15" customHeight="1" x14ac:dyDescent="0.3">
      <c r="A85" s="2">
        <v>69</v>
      </c>
      <c r="B85" s="2" t="s">
        <v>3526</v>
      </c>
      <c r="C85" s="2" t="s">
        <v>4037</v>
      </c>
      <c r="D85" s="2" t="s">
        <v>4037</v>
      </c>
      <c r="E85" s="2" t="s">
        <v>3458</v>
      </c>
      <c r="F85" s="7">
        <v>488651.55</v>
      </c>
      <c r="G85" s="13">
        <v>3</v>
      </c>
      <c r="H85" s="15">
        <f t="shared" si="3"/>
        <v>1465954.65</v>
      </c>
      <c r="I85" s="7">
        <f t="shared" si="4"/>
        <v>263871.837</v>
      </c>
      <c r="J85" s="7">
        <f t="shared" si="5"/>
        <v>1729826.487</v>
      </c>
    </row>
    <row r="86" spans="1:10" ht="15" customHeight="1" x14ac:dyDescent="0.3">
      <c r="A86" s="2">
        <v>70</v>
      </c>
      <c r="B86" s="2" t="s">
        <v>1421</v>
      </c>
      <c r="C86" s="2" t="s">
        <v>1422</v>
      </c>
      <c r="D86" s="2" t="s">
        <v>1422</v>
      </c>
      <c r="E86" s="2" t="s">
        <v>3458</v>
      </c>
      <c r="F86" s="7">
        <v>488651.55</v>
      </c>
      <c r="G86" s="13">
        <v>3</v>
      </c>
      <c r="H86" s="15">
        <f t="shared" si="3"/>
        <v>1465954.65</v>
      </c>
      <c r="I86" s="7">
        <f t="shared" si="4"/>
        <v>263871.837</v>
      </c>
      <c r="J86" s="7">
        <f t="shared" si="5"/>
        <v>1729826.487</v>
      </c>
    </row>
    <row r="87" spans="1:10" ht="15" customHeight="1" x14ac:dyDescent="0.3">
      <c r="A87" s="2">
        <v>71</v>
      </c>
      <c r="B87" s="2" t="s">
        <v>1449</v>
      </c>
      <c r="C87" s="2" t="s">
        <v>1450</v>
      </c>
      <c r="D87" s="2" t="s">
        <v>1450</v>
      </c>
      <c r="E87" s="2" t="s">
        <v>3458</v>
      </c>
      <c r="F87" s="7">
        <v>488651.55</v>
      </c>
      <c r="G87" s="13">
        <v>3</v>
      </c>
      <c r="H87" s="15">
        <f t="shared" si="3"/>
        <v>1465954.65</v>
      </c>
      <c r="I87" s="7">
        <f t="shared" si="4"/>
        <v>263871.837</v>
      </c>
      <c r="J87" s="7">
        <f t="shared" si="5"/>
        <v>1729826.487</v>
      </c>
    </row>
    <row r="88" spans="1:10" ht="15" customHeight="1" x14ac:dyDescent="0.3">
      <c r="A88" s="2">
        <v>72</v>
      </c>
      <c r="B88" s="2" t="s">
        <v>3527</v>
      </c>
      <c r="C88" s="2" t="s">
        <v>4038</v>
      </c>
      <c r="D88" s="2" t="s">
        <v>4038</v>
      </c>
      <c r="E88" s="2" t="s">
        <v>3458</v>
      </c>
      <c r="F88" s="7">
        <v>488651.55</v>
      </c>
      <c r="G88" s="13">
        <v>3</v>
      </c>
      <c r="H88" s="15">
        <f t="shared" si="3"/>
        <v>1465954.65</v>
      </c>
      <c r="I88" s="7">
        <f t="shared" si="4"/>
        <v>263871.837</v>
      </c>
      <c r="J88" s="7">
        <f t="shared" si="5"/>
        <v>1729826.487</v>
      </c>
    </row>
    <row r="89" spans="1:10" ht="15" customHeight="1" x14ac:dyDescent="0.3">
      <c r="A89" s="2">
        <v>73</v>
      </c>
      <c r="B89" s="2" t="s">
        <v>1337</v>
      </c>
      <c r="C89" s="2" t="s">
        <v>1338</v>
      </c>
      <c r="D89" s="2" t="s">
        <v>1338</v>
      </c>
      <c r="E89" s="2" t="s">
        <v>3458</v>
      </c>
      <c r="F89" s="7">
        <v>488651.55</v>
      </c>
      <c r="G89" s="13">
        <v>3</v>
      </c>
      <c r="H89" s="15">
        <f t="shared" si="3"/>
        <v>1465954.65</v>
      </c>
      <c r="I89" s="7">
        <f t="shared" si="4"/>
        <v>263871.837</v>
      </c>
      <c r="J89" s="7">
        <f t="shared" si="5"/>
        <v>1729826.487</v>
      </c>
    </row>
    <row r="90" spans="1:10" ht="15" customHeight="1" x14ac:dyDescent="0.3">
      <c r="A90" s="2">
        <v>74</v>
      </c>
      <c r="B90" s="2" t="s">
        <v>3528</v>
      </c>
      <c r="C90" s="2" t="s">
        <v>4039</v>
      </c>
      <c r="D90" s="2" t="s">
        <v>4039</v>
      </c>
      <c r="E90" s="2" t="s">
        <v>3458</v>
      </c>
      <c r="F90" s="7">
        <v>488651.55</v>
      </c>
      <c r="G90" s="13">
        <v>3</v>
      </c>
      <c r="H90" s="15">
        <f t="shared" si="3"/>
        <v>1465954.65</v>
      </c>
      <c r="I90" s="7">
        <f t="shared" si="4"/>
        <v>263871.837</v>
      </c>
      <c r="J90" s="7">
        <f t="shared" si="5"/>
        <v>1729826.487</v>
      </c>
    </row>
    <row r="91" spans="1:10" ht="15" customHeight="1" x14ac:dyDescent="0.3">
      <c r="A91" s="2">
        <v>75</v>
      </c>
      <c r="B91" s="2" t="s">
        <v>3529</v>
      </c>
      <c r="C91" s="2" t="s">
        <v>4040</v>
      </c>
      <c r="D91" s="2" t="s">
        <v>4040</v>
      </c>
      <c r="E91" s="2" t="s">
        <v>3458</v>
      </c>
      <c r="F91" s="7">
        <v>488651.55</v>
      </c>
      <c r="G91" s="13">
        <v>3</v>
      </c>
      <c r="H91" s="15">
        <f t="shared" si="3"/>
        <v>1465954.65</v>
      </c>
      <c r="I91" s="7">
        <f t="shared" si="4"/>
        <v>263871.837</v>
      </c>
      <c r="J91" s="7">
        <f t="shared" si="5"/>
        <v>1729826.487</v>
      </c>
    </row>
    <row r="92" spans="1:10" ht="15" customHeight="1" x14ac:dyDescent="0.3">
      <c r="A92" s="2">
        <v>76</v>
      </c>
      <c r="B92" s="2" t="s">
        <v>3530</v>
      </c>
      <c r="C92" s="2" t="s">
        <v>4041</v>
      </c>
      <c r="D92" s="2" t="s">
        <v>4041</v>
      </c>
      <c r="E92" s="2" t="s">
        <v>3458</v>
      </c>
      <c r="F92" s="7">
        <v>488651.55</v>
      </c>
      <c r="G92" s="13">
        <v>3</v>
      </c>
      <c r="H92" s="15">
        <f t="shared" si="3"/>
        <v>1465954.65</v>
      </c>
      <c r="I92" s="7">
        <f t="shared" si="4"/>
        <v>263871.837</v>
      </c>
      <c r="J92" s="7">
        <f t="shared" si="5"/>
        <v>1729826.487</v>
      </c>
    </row>
    <row r="93" spans="1:10" ht="15" customHeight="1" x14ac:dyDescent="0.3">
      <c r="A93" s="2">
        <v>77</v>
      </c>
      <c r="B93" s="2" t="s">
        <v>3531</v>
      </c>
      <c r="C93" s="2" t="s">
        <v>2164</v>
      </c>
      <c r="D93" s="2" t="s">
        <v>2164</v>
      </c>
      <c r="E93" s="2" t="s">
        <v>3458</v>
      </c>
      <c r="F93" s="7">
        <v>488651.55</v>
      </c>
      <c r="G93" s="13">
        <v>3</v>
      </c>
      <c r="H93" s="15">
        <f t="shared" si="3"/>
        <v>1465954.65</v>
      </c>
      <c r="I93" s="7">
        <f t="shared" si="4"/>
        <v>263871.837</v>
      </c>
      <c r="J93" s="7">
        <f t="shared" si="5"/>
        <v>1729826.487</v>
      </c>
    </row>
    <row r="94" spans="1:10" ht="15" customHeight="1" x14ac:dyDescent="0.3">
      <c r="A94" s="2">
        <v>78</v>
      </c>
      <c r="B94" s="2" t="s">
        <v>1427</v>
      </c>
      <c r="C94" s="2" t="s">
        <v>1428</v>
      </c>
      <c r="D94" s="2" t="s">
        <v>1428</v>
      </c>
      <c r="E94" s="2" t="s">
        <v>3458</v>
      </c>
      <c r="F94" s="7">
        <v>488651.55</v>
      </c>
      <c r="G94" s="13">
        <v>3</v>
      </c>
      <c r="H94" s="15">
        <f t="shared" si="3"/>
        <v>1465954.65</v>
      </c>
      <c r="I94" s="7">
        <f t="shared" si="4"/>
        <v>263871.837</v>
      </c>
      <c r="J94" s="7">
        <f t="shared" si="5"/>
        <v>1729826.487</v>
      </c>
    </row>
    <row r="95" spans="1:10" ht="15" customHeight="1" x14ac:dyDescent="0.3">
      <c r="A95" s="2">
        <v>79</v>
      </c>
      <c r="B95" s="2" t="s">
        <v>1461</v>
      </c>
      <c r="C95" s="2" t="s">
        <v>1462</v>
      </c>
      <c r="D95" s="2" t="s">
        <v>1462</v>
      </c>
      <c r="E95" s="2" t="s">
        <v>3458</v>
      </c>
      <c r="F95" s="7">
        <v>488651.55</v>
      </c>
      <c r="G95" s="13">
        <v>3</v>
      </c>
      <c r="H95" s="15">
        <f t="shared" si="3"/>
        <v>1465954.65</v>
      </c>
      <c r="I95" s="7">
        <f t="shared" si="4"/>
        <v>263871.837</v>
      </c>
      <c r="J95" s="7">
        <f t="shared" si="5"/>
        <v>1729826.487</v>
      </c>
    </row>
    <row r="96" spans="1:10" ht="15" customHeight="1" x14ac:dyDescent="0.3">
      <c r="A96" s="2">
        <v>80</v>
      </c>
      <c r="B96" s="2" t="s">
        <v>1539</v>
      </c>
      <c r="C96" s="2" t="s">
        <v>1540</v>
      </c>
      <c r="D96" s="2" t="s">
        <v>1540</v>
      </c>
      <c r="E96" s="2" t="s">
        <v>3458</v>
      </c>
      <c r="F96" s="7">
        <v>488651.55</v>
      </c>
      <c r="G96" s="13">
        <v>3</v>
      </c>
      <c r="H96" s="15">
        <f t="shared" si="3"/>
        <v>1465954.65</v>
      </c>
      <c r="I96" s="7">
        <f t="shared" si="4"/>
        <v>263871.837</v>
      </c>
      <c r="J96" s="7">
        <f t="shared" si="5"/>
        <v>1729826.487</v>
      </c>
    </row>
    <row r="97" spans="1:10" ht="15" customHeight="1" x14ac:dyDescent="0.3">
      <c r="A97" s="2">
        <v>81</v>
      </c>
      <c r="B97" s="2" t="s">
        <v>1333</v>
      </c>
      <c r="C97" s="2" t="s">
        <v>1334</v>
      </c>
      <c r="D97" s="2" t="s">
        <v>1334</v>
      </c>
      <c r="E97" s="2" t="s">
        <v>3458</v>
      </c>
      <c r="F97" s="7">
        <v>488651.55</v>
      </c>
      <c r="G97" s="13">
        <v>3</v>
      </c>
      <c r="H97" s="15">
        <f t="shared" si="3"/>
        <v>1465954.65</v>
      </c>
      <c r="I97" s="7">
        <f t="shared" si="4"/>
        <v>263871.837</v>
      </c>
      <c r="J97" s="7">
        <f t="shared" si="5"/>
        <v>1729826.487</v>
      </c>
    </row>
    <row r="98" spans="1:10" ht="15" customHeight="1" x14ac:dyDescent="0.3">
      <c r="A98" s="2">
        <v>82</v>
      </c>
      <c r="B98" s="2" t="s">
        <v>1728</v>
      </c>
      <c r="C98" s="2" t="s">
        <v>1729</v>
      </c>
      <c r="D98" s="2" t="s">
        <v>1729</v>
      </c>
      <c r="E98" s="2" t="s">
        <v>3458</v>
      </c>
      <c r="F98" s="7">
        <v>488651.55</v>
      </c>
      <c r="G98" s="13">
        <v>3</v>
      </c>
      <c r="H98" s="15">
        <f t="shared" si="3"/>
        <v>1465954.65</v>
      </c>
      <c r="I98" s="7">
        <f t="shared" si="4"/>
        <v>263871.837</v>
      </c>
      <c r="J98" s="7">
        <f t="shared" si="5"/>
        <v>1729826.487</v>
      </c>
    </row>
    <row r="99" spans="1:10" ht="15" customHeight="1" x14ac:dyDescent="0.3">
      <c r="A99" s="2">
        <v>83</v>
      </c>
      <c r="B99" s="2" t="s">
        <v>1689</v>
      </c>
      <c r="C99" s="2" t="s">
        <v>1690</v>
      </c>
      <c r="D99" s="2" t="s">
        <v>1690</v>
      </c>
      <c r="E99" s="2" t="s">
        <v>3458</v>
      </c>
      <c r="F99" s="7">
        <v>488651.55</v>
      </c>
      <c r="G99" s="13">
        <v>3</v>
      </c>
      <c r="H99" s="15">
        <f t="shared" si="3"/>
        <v>1465954.65</v>
      </c>
      <c r="I99" s="7">
        <f t="shared" si="4"/>
        <v>263871.837</v>
      </c>
      <c r="J99" s="7">
        <f t="shared" si="5"/>
        <v>1729826.487</v>
      </c>
    </row>
    <row r="100" spans="1:10" ht="15" customHeight="1" x14ac:dyDescent="0.3">
      <c r="A100" s="2">
        <v>84</v>
      </c>
      <c r="B100" s="2" t="s">
        <v>1196</v>
      </c>
      <c r="C100" s="2" t="s">
        <v>1197</v>
      </c>
      <c r="D100" s="2" t="s">
        <v>1197</v>
      </c>
      <c r="E100" s="2" t="s">
        <v>3458</v>
      </c>
      <c r="F100" s="7">
        <v>488651.55</v>
      </c>
      <c r="G100" s="13">
        <v>3</v>
      </c>
      <c r="H100" s="15">
        <f t="shared" si="3"/>
        <v>1465954.65</v>
      </c>
      <c r="I100" s="7">
        <f t="shared" si="4"/>
        <v>263871.837</v>
      </c>
      <c r="J100" s="7">
        <f t="shared" si="5"/>
        <v>1729826.487</v>
      </c>
    </row>
    <row r="101" spans="1:10" ht="15" customHeight="1" x14ac:dyDescent="0.3">
      <c r="A101" s="2">
        <v>85</v>
      </c>
      <c r="B101" s="2" t="s">
        <v>1519</v>
      </c>
      <c r="C101" s="2" t="s">
        <v>1520</v>
      </c>
      <c r="D101" s="2" t="s">
        <v>1520</v>
      </c>
      <c r="E101" s="2" t="s">
        <v>3458</v>
      </c>
      <c r="F101" s="7">
        <v>488651.55</v>
      </c>
      <c r="G101" s="13">
        <v>3</v>
      </c>
      <c r="H101" s="15">
        <f t="shared" si="3"/>
        <v>1465954.65</v>
      </c>
      <c r="I101" s="7">
        <f t="shared" si="4"/>
        <v>263871.837</v>
      </c>
      <c r="J101" s="7">
        <f t="shared" si="5"/>
        <v>1729826.487</v>
      </c>
    </row>
    <row r="102" spans="1:10" ht="15" customHeight="1" x14ac:dyDescent="0.3">
      <c r="A102" s="2">
        <v>86</v>
      </c>
      <c r="B102" s="2" t="s">
        <v>3532</v>
      </c>
      <c r="C102" s="2" t="s">
        <v>4042</v>
      </c>
      <c r="D102" s="2" t="s">
        <v>4042</v>
      </c>
      <c r="E102" s="2" t="s">
        <v>3458</v>
      </c>
      <c r="F102" s="7">
        <v>488651.55</v>
      </c>
      <c r="G102" s="13">
        <v>3</v>
      </c>
      <c r="H102" s="15">
        <f t="shared" si="3"/>
        <v>1465954.65</v>
      </c>
      <c r="I102" s="7">
        <f t="shared" si="4"/>
        <v>263871.837</v>
      </c>
      <c r="J102" s="7">
        <f t="shared" si="5"/>
        <v>1729826.487</v>
      </c>
    </row>
    <row r="103" spans="1:10" ht="15" customHeight="1" x14ac:dyDescent="0.3">
      <c r="A103" s="2">
        <v>87</v>
      </c>
      <c r="B103" s="2" t="s">
        <v>3533</v>
      </c>
      <c r="C103" s="2" t="s">
        <v>4043</v>
      </c>
      <c r="D103" s="2" t="s">
        <v>4043</v>
      </c>
      <c r="E103" s="2" t="s">
        <v>3458</v>
      </c>
      <c r="F103" s="7">
        <v>488651.55</v>
      </c>
      <c r="G103" s="13">
        <v>3</v>
      </c>
      <c r="H103" s="15">
        <f t="shared" si="3"/>
        <v>1465954.65</v>
      </c>
      <c r="I103" s="7">
        <f t="shared" si="4"/>
        <v>263871.837</v>
      </c>
      <c r="J103" s="7">
        <f t="shared" si="5"/>
        <v>1729826.487</v>
      </c>
    </row>
    <row r="104" spans="1:10" ht="15" customHeight="1" x14ac:dyDescent="0.3">
      <c r="A104" s="2">
        <v>88</v>
      </c>
      <c r="B104" s="2" t="s">
        <v>3534</v>
      </c>
      <c r="C104" s="2" t="s">
        <v>4044</v>
      </c>
      <c r="D104" s="2" t="s">
        <v>4044</v>
      </c>
      <c r="E104" s="2" t="s">
        <v>3458</v>
      </c>
      <c r="F104" s="7">
        <v>488651.55</v>
      </c>
      <c r="G104" s="13">
        <v>3</v>
      </c>
      <c r="H104" s="15">
        <f t="shared" si="3"/>
        <v>1465954.65</v>
      </c>
      <c r="I104" s="7">
        <f t="shared" si="4"/>
        <v>263871.837</v>
      </c>
      <c r="J104" s="7">
        <f t="shared" si="5"/>
        <v>1729826.487</v>
      </c>
    </row>
    <row r="105" spans="1:10" ht="15" customHeight="1" x14ac:dyDescent="0.3">
      <c r="A105" s="2">
        <v>89</v>
      </c>
      <c r="B105" s="2" t="s">
        <v>2106</v>
      </c>
      <c r="C105" s="2" t="s">
        <v>2107</v>
      </c>
      <c r="D105" s="2" t="s">
        <v>2107</v>
      </c>
      <c r="E105" s="2" t="s">
        <v>3458</v>
      </c>
      <c r="F105" s="7">
        <v>488651.55</v>
      </c>
      <c r="G105" s="13">
        <v>3</v>
      </c>
      <c r="H105" s="15">
        <f t="shared" si="3"/>
        <v>1465954.65</v>
      </c>
      <c r="I105" s="7">
        <f t="shared" si="4"/>
        <v>263871.837</v>
      </c>
      <c r="J105" s="7">
        <f t="shared" si="5"/>
        <v>1729826.487</v>
      </c>
    </row>
    <row r="106" spans="1:10" ht="15" customHeight="1" x14ac:dyDescent="0.3">
      <c r="A106" s="2">
        <v>90</v>
      </c>
      <c r="B106" s="2" t="s">
        <v>3535</v>
      </c>
      <c r="C106" s="2" t="s">
        <v>4045</v>
      </c>
      <c r="D106" s="2" t="s">
        <v>4045</v>
      </c>
      <c r="E106" s="2" t="s">
        <v>3458</v>
      </c>
      <c r="F106" s="7">
        <v>488651.55</v>
      </c>
      <c r="G106" s="13">
        <v>3</v>
      </c>
      <c r="H106" s="15">
        <f t="shared" si="3"/>
        <v>1465954.65</v>
      </c>
      <c r="I106" s="7">
        <f t="shared" si="4"/>
        <v>263871.837</v>
      </c>
      <c r="J106" s="7">
        <f t="shared" si="5"/>
        <v>1729826.487</v>
      </c>
    </row>
    <row r="107" spans="1:10" ht="15" customHeight="1" x14ac:dyDescent="0.3">
      <c r="A107" s="2">
        <v>91</v>
      </c>
      <c r="B107" s="2" t="s">
        <v>3536</v>
      </c>
      <c r="C107" s="2" t="s">
        <v>4046</v>
      </c>
      <c r="D107" s="2" t="s">
        <v>4046</v>
      </c>
      <c r="E107" s="2" t="s">
        <v>3458</v>
      </c>
      <c r="F107" s="7">
        <v>488651.55</v>
      </c>
      <c r="G107" s="13">
        <v>3</v>
      </c>
      <c r="H107" s="15">
        <f t="shared" si="3"/>
        <v>1465954.65</v>
      </c>
      <c r="I107" s="7">
        <f t="shared" si="4"/>
        <v>263871.837</v>
      </c>
      <c r="J107" s="7">
        <f t="shared" si="5"/>
        <v>1729826.487</v>
      </c>
    </row>
    <row r="108" spans="1:10" ht="15" customHeight="1" x14ac:dyDescent="0.3">
      <c r="A108" s="2">
        <v>92</v>
      </c>
      <c r="B108" s="2" t="s">
        <v>1535</v>
      </c>
      <c r="C108" s="2" t="s">
        <v>1536</v>
      </c>
      <c r="D108" s="2" t="s">
        <v>1536</v>
      </c>
      <c r="E108" s="2" t="s">
        <v>3458</v>
      </c>
      <c r="F108" s="7">
        <v>488651.55</v>
      </c>
      <c r="G108" s="13">
        <v>3</v>
      </c>
      <c r="H108" s="15">
        <f t="shared" si="3"/>
        <v>1465954.65</v>
      </c>
      <c r="I108" s="7">
        <f t="shared" si="4"/>
        <v>263871.837</v>
      </c>
      <c r="J108" s="7">
        <f t="shared" si="5"/>
        <v>1729826.487</v>
      </c>
    </row>
    <row r="109" spans="1:10" ht="15" customHeight="1" x14ac:dyDescent="0.3">
      <c r="A109" s="2">
        <v>93</v>
      </c>
      <c r="B109" s="2" t="s">
        <v>1605</v>
      </c>
      <c r="C109" s="2" t="s">
        <v>1606</v>
      </c>
      <c r="D109" s="2" t="s">
        <v>1606</v>
      </c>
      <c r="E109" s="2" t="s">
        <v>3458</v>
      </c>
      <c r="F109" s="7">
        <v>488651.55</v>
      </c>
      <c r="G109" s="13">
        <v>3</v>
      </c>
      <c r="H109" s="15">
        <f t="shared" si="3"/>
        <v>1465954.65</v>
      </c>
      <c r="I109" s="7">
        <f t="shared" si="4"/>
        <v>263871.837</v>
      </c>
      <c r="J109" s="7">
        <f t="shared" si="5"/>
        <v>1729826.487</v>
      </c>
    </row>
    <row r="110" spans="1:10" ht="15" customHeight="1" x14ac:dyDescent="0.3">
      <c r="A110" s="2">
        <v>94</v>
      </c>
      <c r="B110" s="2" t="s">
        <v>3537</v>
      </c>
      <c r="C110" s="2" t="s">
        <v>4047</v>
      </c>
      <c r="D110" s="2" t="s">
        <v>4047</v>
      </c>
      <c r="E110" s="2" t="s">
        <v>3458</v>
      </c>
      <c r="F110" s="7">
        <v>488651.55</v>
      </c>
      <c r="G110" s="13">
        <v>3</v>
      </c>
      <c r="H110" s="15">
        <f t="shared" si="3"/>
        <v>1465954.65</v>
      </c>
      <c r="I110" s="7">
        <f t="shared" si="4"/>
        <v>263871.837</v>
      </c>
      <c r="J110" s="7">
        <f t="shared" si="5"/>
        <v>1729826.487</v>
      </c>
    </row>
    <row r="111" spans="1:10" ht="15" customHeight="1" x14ac:dyDescent="0.3">
      <c r="A111" s="2">
        <v>95</v>
      </c>
      <c r="B111" s="2" t="s">
        <v>1744</v>
      </c>
      <c r="C111" s="2" t="s">
        <v>1745</v>
      </c>
      <c r="D111" s="2" t="s">
        <v>1745</v>
      </c>
      <c r="E111" s="2" t="s">
        <v>3458</v>
      </c>
      <c r="F111" s="7">
        <v>488651.55</v>
      </c>
      <c r="G111" s="13">
        <v>3</v>
      </c>
      <c r="H111" s="15">
        <f t="shared" si="3"/>
        <v>1465954.65</v>
      </c>
      <c r="I111" s="7">
        <f t="shared" si="4"/>
        <v>263871.837</v>
      </c>
      <c r="J111" s="7">
        <f t="shared" si="5"/>
        <v>1729826.487</v>
      </c>
    </row>
    <row r="112" spans="1:10" ht="15" customHeight="1" x14ac:dyDescent="0.3">
      <c r="A112" s="2">
        <v>96</v>
      </c>
      <c r="B112" s="2" t="s">
        <v>3538</v>
      </c>
      <c r="C112" s="2" t="s">
        <v>4048</v>
      </c>
      <c r="D112" s="2" t="s">
        <v>4048</v>
      </c>
      <c r="E112" s="2" t="s">
        <v>3458</v>
      </c>
      <c r="F112" s="7">
        <v>488651.55</v>
      </c>
      <c r="G112" s="13">
        <v>3</v>
      </c>
      <c r="H112" s="15">
        <f t="shared" si="3"/>
        <v>1465954.65</v>
      </c>
      <c r="I112" s="7">
        <f t="shared" si="4"/>
        <v>263871.837</v>
      </c>
      <c r="J112" s="7">
        <f t="shared" si="5"/>
        <v>1729826.487</v>
      </c>
    </row>
    <row r="113" spans="1:10" ht="15" customHeight="1" x14ac:dyDescent="0.3">
      <c r="A113" s="2">
        <v>97</v>
      </c>
      <c r="B113" s="2" t="s">
        <v>2175</v>
      </c>
      <c r="C113" s="2" t="s">
        <v>2176</v>
      </c>
      <c r="D113" s="2" t="s">
        <v>2176</v>
      </c>
      <c r="E113" s="2" t="s">
        <v>3458</v>
      </c>
      <c r="F113" s="7">
        <v>488651.55</v>
      </c>
      <c r="G113" s="13">
        <v>3</v>
      </c>
      <c r="H113" s="15">
        <f t="shared" si="3"/>
        <v>1465954.65</v>
      </c>
      <c r="I113" s="7">
        <f t="shared" si="4"/>
        <v>263871.837</v>
      </c>
      <c r="J113" s="7">
        <f t="shared" si="5"/>
        <v>1729826.487</v>
      </c>
    </row>
    <row r="114" spans="1:10" ht="15" customHeight="1" x14ac:dyDescent="0.3">
      <c r="A114" s="2">
        <v>98</v>
      </c>
      <c r="B114" s="2" t="s">
        <v>3539</v>
      </c>
      <c r="C114" s="2" t="s">
        <v>4049</v>
      </c>
      <c r="D114" s="2" t="s">
        <v>4049</v>
      </c>
      <c r="E114" s="2" t="s">
        <v>3458</v>
      </c>
      <c r="F114" s="7">
        <v>488651.55</v>
      </c>
      <c r="G114" s="13">
        <v>3</v>
      </c>
      <c r="H114" s="15">
        <f t="shared" si="3"/>
        <v>1465954.65</v>
      </c>
      <c r="I114" s="7">
        <f t="shared" si="4"/>
        <v>263871.837</v>
      </c>
      <c r="J114" s="7">
        <f t="shared" si="5"/>
        <v>1729826.487</v>
      </c>
    </row>
    <row r="115" spans="1:10" ht="15" customHeight="1" x14ac:dyDescent="0.3">
      <c r="A115" s="2">
        <v>99</v>
      </c>
      <c r="B115" s="2" t="s">
        <v>1818</v>
      </c>
      <c r="C115" s="2" t="s">
        <v>1819</v>
      </c>
      <c r="D115" s="2" t="s">
        <v>1819</v>
      </c>
      <c r="E115" s="2" t="s">
        <v>3458</v>
      </c>
      <c r="F115" s="7">
        <v>488651.55</v>
      </c>
      <c r="G115" s="13">
        <v>3</v>
      </c>
      <c r="H115" s="15">
        <f t="shared" si="3"/>
        <v>1465954.65</v>
      </c>
      <c r="I115" s="7">
        <f t="shared" si="4"/>
        <v>263871.837</v>
      </c>
      <c r="J115" s="7">
        <f t="shared" si="5"/>
        <v>1729826.487</v>
      </c>
    </row>
    <row r="116" spans="1:10" ht="15" customHeight="1" x14ac:dyDescent="0.3">
      <c r="A116" s="2">
        <v>100</v>
      </c>
      <c r="B116" s="2" t="s">
        <v>3540</v>
      </c>
      <c r="C116" s="2" t="s">
        <v>4050</v>
      </c>
      <c r="D116" s="2" t="s">
        <v>4050</v>
      </c>
      <c r="E116" s="2" t="s">
        <v>3458</v>
      </c>
      <c r="F116" s="7">
        <v>488651.55</v>
      </c>
      <c r="G116" s="13">
        <v>3</v>
      </c>
      <c r="H116" s="15">
        <f t="shared" si="3"/>
        <v>1465954.65</v>
      </c>
      <c r="I116" s="7">
        <f t="shared" si="4"/>
        <v>263871.837</v>
      </c>
      <c r="J116" s="7">
        <f t="shared" si="5"/>
        <v>1729826.487</v>
      </c>
    </row>
    <row r="117" spans="1:10" ht="15" customHeight="1" x14ac:dyDescent="0.3">
      <c r="A117" s="2">
        <v>101</v>
      </c>
      <c r="B117" s="2" t="s">
        <v>2016</v>
      </c>
      <c r="C117" s="2" t="s">
        <v>2017</v>
      </c>
      <c r="D117" s="2" t="s">
        <v>2017</v>
      </c>
      <c r="E117" s="2" t="s">
        <v>3458</v>
      </c>
      <c r="F117" s="7">
        <v>488651.55</v>
      </c>
      <c r="G117" s="13">
        <v>3</v>
      </c>
      <c r="H117" s="15">
        <f t="shared" si="3"/>
        <v>1465954.65</v>
      </c>
      <c r="I117" s="7">
        <f t="shared" si="4"/>
        <v>263871.837</v>
      </c>
      <c r="J117" s="7">
        <f t="shared" si="5"/>
        <v>1729826.487</v>
      </c>
    </row>
    <row r="118" spans="1:10" ht="15" customHeight="1" x14ac:dyDescent="0.3">
      <c r="A118" s="2">
        <v>102</v>
      </c>
      <c r="B118" s="2" t="s">
        <v>1691</v>
      </c>
      <c r="C118" s="2" t="s">
        <v>1692</v>
      </c>
      <c r="D118" s="2" t="s">
        <v>1692</v>
      </c>
      <c r="E118" s="2" t="s">
        <v>3458</v>
      </c>
      <c r="F118" s="7">
        <v>488651.55</v>
      </c>
      <c r="G118" s="13">
        <v>3</v>
      </c>
      <c r="H118" s="15">
        <f t="shared" si="3"/>
        <v>1465954.65</v>
      </c>
      <c r="I118" s="7">
        <f t="shared" si="4"/>
        <v>263871.837</v>
      </c>
      <c r="J118" s="7">
        <f t="shared" si="5"/>
        <v>1729826.487</v>
      </c>
    </row>
    <row r="119" spans="1:10" ht="15" customHeight="1" x14ac:dyDescent="0.3">
      <c r="A119" s="2">
        <v>103</v>
      </c>
      <c r="B119" s="2" t="s">
        <v>3541</v>
      </c>
      <c r="C119" s="2" t="s">
        <v>4051</v>
      </c>
      <c r="D119" s="2" t="s">
        <v>4051</v>
      </c>
      <c r="E119" s="2" t="s">
        <v>3458</v>
      </c>
      <c r="F119" s="7">
        <v>488651.55</v>
      </c>
      <c r="G119" s="13">
        <v>3</v>
      </c>
      <c r="H119" s="15">
        <f t="shared" si="3"/>
        <v>1465954.65</v>
      </c>
      <c r="I119" s="7">
        <f t="shared" si="4"/>
        <v>263871.837</v>
      </c>
      <c r="J119" s="7">
        <f t="shared" si="5"/>
        <v>1729826.487</v>
      </c>
    </row>
    <row r="120" spans="1:10" ht="15" customHeight="1" x14ac:dyDescent="0.3">
      <c r="A120" s="2">
        <v>104</v>
      </c>
      <c r="B120" s="2" t="s">
        <v>1335</v>
      </c>
      <c r="C120" s="2" t="s">
        <v>1336</v>
      </c>
      <c r="D120" s="2" t="s">
        <v>1336</v>
      </c>
      <c r="E120" s="2" t="s">
        <v>3458</v>
      </c>
      <c r="F120" s="7">
        <v>488651.55</v>
      </c>
      <c r="G120" s="13">
        <v>3</v>
      </c>
      <c r="H120" s="15">
        <f t="shared" si="3"/>
        <v>1465954.65</v>
      </c>
      <c r="I120" s="7">
        <f t="shared" si="4"/>
        <v>263871.837</v>
      </c>
      <c r="J120" s="7">
        <f t="shared" si="5"/>
        <v>1729826.487</v>
      </c>
    </row>
    <row r="121" spans="1:10" ht="15" customHeight="1" x14ac:dyDescent="0.3">
      <c r="A121" s="2">
        <v>105</v>
      </c>
      <c r="B121" s="2" t="s">
        <v>1327</v>
      </c>
      <c r="C121" s="2" t="s">
        <v>1328</v>
      </c>
      <c r="D121" s="2" t="s">
        <v>1328</v>
      </c>
      <c r="E121" s="2" t="s">
        <v>3458</v>
      </c>
      <c r="F121" s="7">
        <v>488651.55</v>
      </c>
      <c r="G121" s="13">
        <v>3</v>
      </c>
      <c r="H121" s="15">
        <f t="shared" si="3"/>
        <v>1465954.65</v>
      </c>
      <c r="I121" s="7">
        <f t="shared" si="4"/>
        <v>263871.837</v>
      </c>
      <c r="J121" s="7">
        <f t="shared" si="5"/>
        <v>1729826.487</v>
      </c>
    </row>
    <row r="122" spans="1:10" ht="15" customHeight="1" x14ac:dyDescent="0.3">
      <c r="A122" s="2">
        <v>106</v>
      </c>
      <c r="B122" s="2" t="s">
        <v>1331</v>
      </c>
      <c r="C122" s="2" t="s">
        <v>1332</v>
      </c>
      <c r="D122" s="2" t="s">
        <v>1332</v>
      </c>
      <c r="E122" s="2" t="s">
        <v>3458</v>
      </c>
      <c r="F122" s="7">
        <v>488651.55</v>
      </c>
      <c r="G122" s="13">
        <v>3</v>
      </c>
      <c r="H122" s="15">
        <f t="shared" si="3"/>
        <v>1465954.65</v>
      </c>
      <c r="I122" s="7">
        <f t="shared" si="4"/>
        <v>263871.837</v>
      </c>
      <c r="J122" s="7">
        <f t="shared" si="5"/>
        <v>1729826.487</v>
      </c>
    </row>
    <row r="123" spans="1:10" ht="15" customHeight="1" x14ac:dyDescent="0.3">
      <c r="A123" s="2">
        <v>107</v>
      </c>
      <c r="B123" s="2" t="s">
        <v>3542</v>
      </c>
      <c r="C123" s="2" t="s">
        <v>4052</v>
      </c>
      <c r="D123" s="2" t="s">
        <v>4052</v>
      </c>
      <c r="E123" s="2" t="s">
        <v>3458</v>
      </c>
      <c r="F123" s="7">
        <v>488651.55</v>
      </c>
      <c r="G123" s="13">
        <v>3</v>
      </c>
      <c r="H123" s="15">
        <f t="shared" si="3"/>
        <v>1465954.65</v>
      </c>
      <c r="I123" s="7">
        <f t="shared" si="4"/>
        <v>263871.837</v>
      </c>
      <c r="J123" s="7">
        <f t="shared" si="5"/>
        <v>1729826.487</v>
      </c>
    </row>
    <row r="124" spans="1:10" ht="15" customHeight="1" x14ac:dyDescent="0.3">
      <c r="A124" s="2">
        <v>108</v>
      </c>
      <c r="B124" s="2" t="s">
        <v>1405</v>
      </c>
      <c r="C124" s="2" t="s">
        <v>1406</v>
      </c>
      <c r="D124" s="2" t="s">
        <v>1406</v>
      </c>
      <c r="E124" s="2" t="s">
        <v>3458</v>
      </c>
      <c r="F124" s="7">
        <v>488651.55</v>
      </c>
      <c r="G124" s="13">
        <v>3</v>
      </c>
      <c r="H124" s="15">
        <f t="shared" si="3"/>
        <v>1465954.65</v>
      </c>
      <c r="I124" s="7">
        <f t="shared" si="4"/>
        <v>263871.837</v>
      </c>
      <c r="J124" s="7">
        <f t="shared" si="5"/>
        <v>1729826.487</v>
      </c>
    </row>
    <row r="125" spans="1:10" ht="15" customHeight="1" x14ac:dyDescent="0.3">
      <c r="A125" s="2">
        <v>109</v>
      </c>
      <c r="B125" s="2" t="s">
        <v>3543</v>
      </c>
      <c r="C125" s="2" t="s">
        <v>4053</v>
      </c>
      <c r="D125" s="2" t="s">
        <v>4053</v>
      </c>
      <c r="E125" s="2" t="s">
        <v>3458</v>
      </c>
      <c r="F125" s="7">
        <v>488651.55</v>
      </c>
      <c r="G125" s="13">
        <v>3</v>
      </c>
      <c r="H125" s="15">
        <f t="shared" si="3"/>
        <v>1465954.65</v>
      </c>
      <c r="I125" s="7">
        <f t="shared" si="4"/>
        <v>263871.837</v>
      </c>
      <c r="J125" s="7">
        <f t="shared" si="5"/>
        <v>1729826.487</v>
      </c>
    </row>
    <row r="126" spans="1:10" ht="15" customHeight="1" x14ac:dyDescent="0.3">
      <c r="A126" s="2">
        <v>110</v>
      </c>
      <c r="B126" s="2" t="s">
        <v>3544</v>
      </c>
      <c r="C126" s="2" t="s">
        <v>4054</v>
      </c>
      <c r="D126" s="2" t="s">
        <v>4054</v>
      </c>
      <c r="E126" s="2" t="s">
        <v>3458</v>
      </c>
      <c r="F126" s="7">
        <v>488651.55</v>
      </c>
      <c r="G126" s="13">
        <v>3</v>
      </c>
      <c r="H126" s="15">
        <f t="shared" si="3"/>
        <v>1465954.65</v>
      </c>
      <c r="I126" s="7">
        <f t="shared" si="4"/>
        <v>263871.837</v>
      </c>
      <c r="J126" s="7">
        <f t="shared" si="5"/>
        <v>1729826.487</v>
      </c>
    </row>
    <row r="127" spans="1:10" ht="15" customHeight="1" x14ac:dyDescent="0.3">
      <c r="A127" s="2">
        <v>111</v>
      </c>
      <c r="B127" s="2" t="s">
        <v>3545</v>
      </c>
      <c r="C127" s="2" t="s">
        <v>4055</v>
      </c>
      <c r="D127" s="2" t="s">
        <v>4055</v>
      </c>
      <c r="E127" s="2" t="s">
        <v>3458</v>
      </c>
      <c r="F127" s="7">
        <v>488651.55</v>
      </c>
      <c r="G127" s="13">
        <v>3</v>
      </c>
      <c r="H127" s="15">
        <f t="shared" si="3"/>
        <v>1465954.65</v>
      </c>
      <c r="I127" s="7">
        <f t="shared" si="4"/>
        <v>263871.837</v>
      </c>
      <c r="J127" s="7">
        <f t="shared" si="5"/>
        <v>1729826.487</v>
      </c>
    </row>
    <row r="128" spans="1:10" ht="15" customHeight="1" x14ac:dyDescent="0.3">
      <c r="A128" s="2">
        <v>112</v>
      </c>
      <c r="B128" s="2" t="s">
        <v>1419</v>
      </c>
      <c r="C128" s="2" t="s">
        <v>1420</v>
      </c>
      <c r="D128" s="2" t="s">
        <v>1420</v>
      </c>
      <c r="E128" s="2" t="s">
        <v>3458</v>
      </c>
      <c r="F128" s="7">
        <v>488651.55</v>
      </c>
      <c r="G128" s="13">
        <v>3</v>
      </c>
      <c r="H128" s="15">
        <f t="shared" si="3"/>
        <v>1465954.65</v>
      </c>
      <c r="I128" s="7">
        <f t="shared" si="4"/>
        <v>263871.837</v>
      </c>
      <c r="J128" s="7">
        <f t="shared" si="5"/>
        <v>1729826.487</v>
      </c>
    </row>
    <row r="129" spans="1:10" ht="15" customHeight="1" x14ac:dyDescent="0.3">
      <c r="A129" s="2">
        <v>113</v>
      </c>
      <c r="B129" s="2" t="s">
        <v>1238</v>
      </c>
      <c r="C129" s="2" t="s">
        <v>4056</v>
      </c>
      <c r="D129" s="2" t="s">
        <v>4056</v>
      </c>
      <c r="E129" s="2" t="s">
        <v>3458</v>
      </c>
      <c r="F129" s="7">
        <v>488651.55</v>
      </c>
      <c r="G129" s="13">
        <v>3</v>
      </c>
      <c r="H129" s="15">
        <f t="shared" si="3"/>
        <v>1465954.65</v>
      </c>
      <c r="I129" s="7">
        <f t="shared" si="4"/>
        <v>263871.837</v>
      </c>
      <c r="J129" s="7">
        <f t="shared" si="5"/>
        <v>1729826.487</v>
      </c>
    </row>
    <row r="130" spans="1:10" ht="15" customHeight="1" x14ac:dyDescent="0.3">
      <c r="A130" s="2">
        <v>114</v>
      </c>
      <c r="B130" s="2" t="s">
        <v>3546</v>
      </c>
      <c r="C130" s="2" t="s">
        <v>2138</v>
      </c>
      <c r="D130" s="2" t="s">
        <v>2138</v>
      </c>
      <c r="E130" s="2" t="s">
        <v>3458</v>
      </c>
      <c r="F130" s="7">
        <v>488651.55</v>
      </c>
      <c r="G130" s="13">
        <v>3</v>
      </c>
      <c r="H130" s="15">
        <f t="shared" si="3"/>
        <v>1465954.65</v>
      </c>
      <c r="I130" s="7">
        <f t="shared" si="4"/>
        <v>263871.837</v>
      </c>
      <c r="J130" s="7">
        <f t="shared" si="5"/>
        <v>1729826.487</v>
      </c>
    </row>
    <row r="131" spans="1:10" ht="15" customHeight="1" x14ac:dyDescent="0.3">
      <c r="A131" s="2">
        <v>115</v>
      </c>
      <c r="B131" s="2" t="s">
        <v>3547</v>
      </c>
      <c r="C131" s="2" t="s">
        <v>4057</v>
      </c>
      <c r="D131" s="2" t="s">
        <v>4057</v>
      </c>
      <c r="E131" s="2" t="s">
        <v>3458</v>
      </c>
      <c r="F131" s="7">
        <v>488651.55</v>
      </c>
      <c r="G131" s="13">
        <v>3</v>
      </c>
      <c r="H131" s="15">
        <f t="shared" si="3"/>
        <v>1465954.65</v>
      </c>
      <c r="I131" s="7">
        <f t="shared" si="4"/>
        <v>263871.837</v>
      </c>
      <c r="J131" s="7">
        <f t="shared" si="5"/>
        <v>1729826.487</v>
      </c>
    </row>
    <row r="132" spans="1:10" ht="15" customHeight="1" x14ac:dyDescent="0.3">
      <c r="A132" s="2">
        <v>116</v>
      </c>
      <c r="B132" s="2" t="s">
        <v>1395</v>
      </c>
      <c r="C132" s="2" t="s">
        <v>1396</v>
      </c>
      <c r="D132" s="2" t="s">
        <v>1396</v>
      </c>
      <c r="E132" s="2" t="s">
        <v>3458</v>
      </c>
      <c r="F132" s="7">
        <v>488651.55</v>
      </c>
      <c r="G132" s="13">
        <v>3</v>
      </c>
      <c r="H132" s="15">
        <f t="shared" si="3"/>
        <v>1465954.65</v>
      </c>
      <c r="I132" s="7">
        <f t="shared" si="4"/>
        <v>263871.837</v>
      </c>
      <c r="J132" s="7">
        <f t="shared" si="5"/>
        <v>1729826.487</v>
      </c>
    </row>
    <row r="133" spans="1:10" ht="15" customHeight="1" x14ac:dyDescent="0.3">
      <c r="A133" s="2">
        <v>117</v>
      </c>
      <c r="B133" s="2" t="s">
        <v>1800</v>
      </c>
      <c r="C133" s="2" t="s">
        <v>1801</v>
      </c>
      <c r="D133" s="2" t="s">
        <v>1801</v>
      </c>
      <c r="E133" s="2" t="s">
        <v>3458</v>
      </c>
      <c r="F133" s="7">
        <v>488651.55</v>
      </c>
      <c r="G133" s="13">
        <v>3</v>
      </c>
      <c r="H133" s="15">
        <f t="shared" si="3"/>
        <v>1465954.65</v>
      </c>
      <c r="I133" s="7">
        <f t="shared" si="4"/>
        <v>263871.837</v>
      </c>
      <c r="J133" s="7">
        <f t="shared" si="5"/>
        <v>1729826.487</v>
      </c>
    </row>
    <row r="134" spans="1:10" ht="15" customHeight="1" x14ac:dyDescent="0.3">
      <c r="A134" s="2">
        <v>118</v>
      </c>
      <c r="B134" s="2" t="s">
        <v>3548</v>
      </c>
      <c r="C134" s="2" t="s">
        <v>4058</v>
      </c>
      <c r="D134" s="2" t="s">
        <v>4058</v>
      </c>
      <c r="E134" s="2" t="s">
        <v>3458</v>
      </c>
      <c r="F134" s="7">
        <v>488651.55</v>
      </c>
      <c r="G134" s="13">
        <v>3</v>
      </c>
      <c r="H134" s="15">
        <f t="shared" si="3"/>
        <v>1465954.65</v>
      </c>
      <c r="I134" s="7">
        <f t="shared" si="4"/>
        <v>263871.837</v>
      </c>
      <c r="J134" s="7">
        <f t="shared" si="5"/>
        <v>1729826.487</v>
      </c>
    </row>
    <row r="135" spans="1:10" ht="15" customHeight="1" x14ac:dyDescent="0.3">
      <c r="A135" s="2">
        <v>119</v>
      </c>
      <c r="B135" s="2" t="s">
        <v>3549</v>
      </c>
      <c r="C135" s="2" t="s">
        <v>2141</v>
      </c>
      <c r="D135" s="2" t="s">
        <v>2141</v>
      </c>
      <c r="E135" s="2" t="s">
        <v>3458</v>
      </c>
      <c r="F135" s="7">
        <v>488651.55</v>
      </c>
      <c r="G135" s="13">
        <v>3</v>
      </c>
      <c r="H135" s="15">
        <f t="shared" si="3"/>
        <v>1465954.65</v>
      </c>
      <c r="I135" s="7">
        <f t="shared" si="4"/>
        <v>263871.837</v>
      </c>
      <c r="J135" s="7">
        <f t="shared" si="5"/>
        <v>1729826.487</v>
      </c>
    </row>
    <row r="136" spans="1:10" ht="15" customHeight="1" x14ac:dyDescent="0.3">
      <c r="A136" s="2">
        <v>120</v>
      </c>
      <c r="B136" s="2" t="s">
        <v>2167</v>
      </c>
      <c r="C136" s="2" t="s">
        <v>2168</v>
      </c>
      <c r="D136" s="2" t="s">
        <v>2168</v>
      </c>
      <c r="E136" s="2" t="s">
        <v>3458</v>
      </c>
      <c r="F136" s="7">
        <v>488651.55</v>
      </c>
      <c r="G136" s="13">
        <v>3</v>
      </c>
      <c r="H136" s="15">
        <f t="shared" si="3"/>
        <v>1465954.65</v>
      </c>
      <c r="I136" s="7">
        <f t="shared" si="4"/>
        <v>263871.837</v>
      </c>
      <c r="J136" s="7">
        <f t="shared" si="5"/>
        <v>1729826.487</v>
      </c>
    </row>
    <row r="137" spans="1:10" ht="15" customHeight="1" x14ac:dyDescent="0.3">
      <c r="A137" s="2">
        <v>121</v>
      </c>
      <c r="B137" s="2" t="s">
        <v>1401</v>
      </c>
      <c r="C137" s="2" t="s">
        <v>1402</v>
      </c>
      <c r="D137" s="2" t="s">
        <v>1402</v>
      </c>
      <c r="E137" s="2" t="s">
        <v>3458</v>
      </c>
      <c r="F137" s="7">
        <v>488651.55</v>
      </c>
      <c r="G137" s="13">
        <v>3</v>
      </c>
      <c r="H137" s="15">
        <f t="shared" si="3"/>
        <v>1465954.65</v>
      </c>
      <c r="I137" s="7">
        <f t="shared" si="4"/>
        <v>263871.837</v>
      </c>
      <c r="J137" s="7">
        <f t="shared" si="5"/>
        <v>1729826.487</v>
      </c>
    </row>
    <row r="138" spans="1:10" ht="15" customHeight="1" x14ac:dyDescent="0.3">
      <c r="A138" s="2">
        <v>122</v>
      </c>
      <c r="B138" s="2" t="s">
        <v>1529</v>
      </c>
      <c r="C138" s="2" t="s">
        <v>1530</v>
      </c>
      <c r="D138" s="2" t="s">
        <v>1530</v>
      </c>
      <c r="E138" s="2" t="s">
        <v>3458</v>
      </c>
      <c r="F138" s="7">
        <v>488651.55</v>
      </c>
      <c r="G138" s="13">
        <v>3</v>
      </c>
      <c r="H138" s="15">
        <f t="shared" si="3"/>
        <v>1465954.65</v>
      </c>
      <c r="I138" s="7">
        <f t="shared" si="4"/>
        <v>263871.837</v>
      </c>
      <c r="J138" s="7">
        <f t="shared" si="5"/>
        <v>1729826.487</v>
      </c>
    </row>
    <row r="139" spans="1:10" ht="15" customHeight="1" x14ac:dyDescent="0.3">
      <c r="A139" s="2">
        <v>123</v>
      </c>
      <c r="B139" s="2" t="s">
        <v>3550</v>
      </c>
      <c r="C139" s="2" t="s">
        <v>4059</v>
      </c>
      <c r="D139" s="2" t="s">
        <v>4059</v>
      </c>
      <c r="E139" s="2" t="s">
        <v>3458</v>
      </c>
      <c r="F139" s="7">
        <v>488651.55</v>
      </c>
      <c r="G139" s="13">
        <v>3</v>
      </c>
      <c r="H139" s="15">
        <f t="shared" si="3"/>
        <v>1465954.65</v>
      </c>
      <c r="I139" s="7">
        <f t="shared" si="4"/>
        <v>263871.837</v>
      </c>
      <c r="J139" s="7">
        <f t="shared" si="5"/>
        <v>1729826.487</v>
      </c>
    </row>
    <row r="140" spans="1:10" ht="15" customHeight="1" x14ac:dyDescent="0.3">
      <c r="A140" s="2">
        <v>124</v>
      </c>
      <c r="B140" s="2" t="s">
        <v>3551</v>
      </c>
      <c r="C140" s="2" t="s">
        <v>4060</v>
      </c>
      <c r="D140" s="2" t="s">
        <v>4060</v>
      </c>
      <c r="E140" s="2" t="s">
        <v>3458</v>
      </c>
      <c r="F140" s="7">
        <v>488651.55</v>
      </c>
      <c r="G140" s="13">
        <v>3</v>
      </c>
      <c r="H140" s="15">
        <f t="shared" si="3"/>
        <v>1465954.65</v>
      </c>
      <c r="I140" s="7">
        <f t="shared" si="4"/>
        <v>263871.837</v>
      </c>
      <c r="J140" s="7">
        <f t="shared" si="5"/>
        <v>1729826.487</v>
      </c>
    </row>
    <row r="141" spans="1:10" ht="15" customHeight="1" x14ac:dyDescent="0.3">
      <c r="A141" s="2">
        <v>125</v>
      </c>
      <c r="B141" s="2" t="s">
        <v>3552</v>
      </c>
      <c r="C141" s="2" t="s">
        <v>1671</v>
      </c>
      <c r="D141" s="2" t="s">
        <v>1671</v>
      </c>
      <c r="E141" s="2" t="s">
        <v>3458</v>
      </c>
      <c r="F141" s="7">
        <v>488651.55</v>
      </c>
      <c r="G141" s="13">
        <v>3</v>
      </c>
      <c r="H141" s="15">
        <f t="shared" si="3"/>
        <v>1465954.65</v>
      </c>
      <c r="I141" s="7">
        <f t="shared" si="4"/>
        <v>263871.837</v>
      </c>
      <c r="J141" s="7">
        <f t="shared" si="5"/>
        <v>1729826.487</v>
      </c>
    </row>
    <row r="142" spans="1:10" ht="15" customHeight="1" x14ac:dyDescent="0.3">
      <c r="A142" s="2">
        <v>126</v>
      </c>
      <c r="B142" s="2" t="s">
        <v>1397</v>
      </c>
      <c r="C142" s="2" t="s">
        <v>1398</v>
      </c>
      <c r="D142" s="2" t="s">
        <v>1398</v>
      </c>
      <c r="E142" s="2" t="s">
        <v>3458</v>
      </c>
      <c r="F142" s="7">
        <v>488651.55</v>
      </c>
      <c r="G142" s="13">
        <v>3</v>
      </c>
      <c r="H142" s="15">
        <f t="shared" si="3"/>
        <v>1465954.65</v>
      </c>
      <c r="I142" s="7">
        <f t="shared" si="4"/>
        <v>263871.837</v>
      </c>
      <c r="J142" s="7">
        <f t="shared" si="5"/>
        <v>1729826.487</v>
      </c>
    </row>
    <row r="143" spans="1:10" ht="15" customHeight="1" x14ac:dyDescent="0.3">
      <c r="A143" s="2">
        <v>127</v>
      </c>
      <c r="B143" s="2" t="s">
        <v>1693</v>
      </c>
      <c r="C143" s="2" t="s">
        <v>1694</v>
      </c>
      <c r="D143" s="2" t="s">
        <v>1694</v>
      </c>
      <c r="E143" s="2" t="s">
        <v>3458</v>
      </c>
      <c r="F143" s="7">
        <v>488651.55</v>
      </c>
      <c r="G143" s="13">
        <v>3</v>
      </c>
      <c r="H143" s="15">
        <f t="shared" si="3"/>
        <v>1465954.65</v>
      </c>
      <c r="I143" s="7">
        <f t="shared" si="4"/>
        <v>263871.837</v>
      </c>
      <c r="J143" s="7">
        <f t="shared" si="5"/>
        <v>1729826.487</v>
      </c>
    </row>
    <row r="144" spans="1:10" ht="15" customHeight="1" x14ac:dyDescent="0.3">
      <c r="A144" s="2">
        <v>128</v>
      </c>
      <c r="B144" s="2" t="s">
        <v>3553</v>
      </c>
      <c r="C144" s="2" t="s">
        <v>4061</v>
      </c>
      <c r="D144" s="2" t="s">
        <v>4061</v>
      </c>
      <c r="E144" s="2" t="s">
        <v>3458</v>
      </c>
      <c r="F144" s="7">
        <v>488651.55</v>
      </c>
      <c r="G144" s="13">
        <v>3</v>
      </c>
      <c r="H144" s="15">
        <f t="shared" si="3"/>
        <v>1465954.65</v>
      </c>
      <c r="I144" s="7">
        <f t="shared" si="4"/>
        <v>263871.837</v>
      </c>
      <c r="J144" s="7">
        <f t="shared" si="5"/>
        <v>1729826.487</v>
      </c>
    </row>
    <row r="145" spans="1:10" ht="15" customHeight="1" x14ac:dyDescent="0.3">
      <c r="A145" s="2">
        <v>129</v>
      </c>
      <c r="B145" s="2" t="s">
        <v>3554</v>
      </c>
      <c r="C145" s="2" t="s">
        <v>4062</v>
      </c>
      <c r="D145" s="2" t="s">
        <v>4062</v>
      </c>
      <c r="E145" s="2" t="s">
        <v>3458</v>
      </c>
      <c r="F145" s="7">
        <v>488651.55</v>
      </c>
      <c r="G145" s="13">
        <v>3</v>
      </c>
      <c r="H145" s="15">
        <f t="shared" si="3"/>
        <v>1465954.65</v>
      </c>
      <c r="I145" s="7">
        <f t="shared" si="4"/>
        <v>263871.837</v>
      </c>
      <c r="J145" s="7">
        <f t="shared" si="5"/>
        <v>1729826.487</v>
      </c>
    </row>
    <row r="146" spans="1:10" ht="15" customHeight="1" x14ac:dyDescent="0.3">
      <c r="A146" s="2">
        <v>130</v>
      </c>
      <c r="B146" s="2" t="s">
        <v>2057</v>
      </c>
      <c r="C146" s="2" t="s">
        <v>2058</v>
      </c>
      <c r="D146" s="2" t="s">
        <v>2058</v>
      </c>
      <c r="E146" s="2" t="s">
        <v>3458</v>
      </c>
      <c r="F146" s="7">
        <v>488651.55</v>
      </c>
      <c r="G146" s="13">
        <v>3</v>
      </c>
      <c r="H146" s="15">
        <f t="shared" ref="H146:H209" si="6">+F146*G146</f>
        <v>1465954.65</v>
      </c>
      <c r="I146" s="7">
        <f t="shared" ref="I146:I209" si="7">+H146*0.18</f>
        <v>263871.837</v>
      </c>
      <c r="J146" s="7">
        <f t="shared" ref="J146:J209" si="8">+H146+I146</f>
        <v>1729826.487</v>
      </c>
    </row>
    <row r="147" spans="1:10" ht="15" customHeight="1" x14ac:dyDescent="0.3">
      <c r="A147" s="2">
        <v>131</v>
      </c>
      <c r="B147" s="2" t="s">
        <v>1457</v>
      </c>
      <c r="C147" s="2" t="s">
        <v>1458</v>
      </c>
      <c r="D147" s="2" t="s">
        <v>1458</v>
      </c>
      <c r="E147" s="2" t="s">
        <v>3458</v>
      </c>
      <c r="F147" s="7">
        <v>488651.55</v>
      </c>
      <c r="G147" s="13">
        <v>3</v>
      </c>
      <c r="H147" s="15">
        <f t="shared" si="6"/>
        <v>1465954.65</v>
      </c>
      <c r="I147" s="7">
        <f t="shared" si="7"/>
        <v>263871.837</v>
      </c>
      <c r="J147" s="7">
        <f t="shared" si="8"/>
        <v>1729826.487</v>
      </c>
    </row>
    <row r="148" spans="1:10" ht="15" customHeight="1" x14ac:dyDescent="0.3">
      <c r="A148" s="2">
        <v>132</v>
      </c>
      <c r="B148" s="2" t="s">
        <v>1663</v>
      </c>
      <c r="C148" s="2" t="s">
        <v>1664</v>
      </c>
      <c r="D148" s="2" t="s">
        <v>1664</v>
      </c>
      <c r="E148" s="2" t="s">
        <v>3458</v>
      </c>
      <c r="F148" s="7">
        <v>488651.55</v>
      </c>
      <c r="G148" s="13">
        <v>3</v>
      </c>
      <c r="H148" s="15">
        <f t="shared" si="6"/>
        <v>1465954.65</v>
      </c>
      <c r="I148" s="7">
        <f t="shared" si="7"/>
        <v>263871.837</v>
      </c>
      <c r="J148" s="7">
        <f t="shared" si="8"/>
        <v>1729826.487</v>
      </c>
    </row>
    <row r="149" spans="1:10" ht="15" customHeight="1" x14ac:dyDescent="0.3">
      <c r="A149" s="2">
        <v>133</v>
      </c>
      <c r="B149" s="2" t="s">
        <v>1655</v>
      </c>
      <c r="C149" s="2" t="s">
        <v>1656</v>
      </c>
      <c r="D149" s="2" t="s">
        <v>1656</v>
      </c>
      <c r="E149" s="2" t="s">
        <v>3458</v>
      </c>
      <c r="F149" s="7">
        <v>488651.55</v>
      </c>
      <c r="G149" s="13">
        <v>3</v>
      </c>
      <c r="H149" s="15">
        <f t="shared" si="6"/>
        <v>1465954.65</v>
      </c>
      <c r="I149" s="7">
        <f t="shared" si="7"/>
        <v>263871.837</v>
      </c>
      <c r="J149" s="7">
        <f t="shared" si="8"/>
        <v>1729826.487</v>
      </c>
    </row>
    <row r="150" spans="1:10" ht="15" customHeight="1" x14ac:dyDescent="0.3">
      <c r="A150" s="2">
        <v>134</v>
      </c>
      <c r="B150" s="2" t="s">
        <v>1896</v>
      </c>
      <c r="C150" s="2" t="s">
        <v>1897</v>
      </c>
      <c r="D150" s="2" t="s">
        <v>1897</v>
      </c>
      <c r="E150" s="2" t="s">
        <v>3458</v>
      </c>
      <c r="F150" s="7">
        <v>488651.55</v>
      </c>
      <c r="G150" s="13">
        <v>3</v>
      </c>
      <c r="H150" s="15">
        <f t="shared" si="6"/>
        <v>1465954.65</v>
      </c>
      <c r="I150" s="7">
        <f t="shared" si="7"/>
        <v>263871.837</v>
      </c>
      <c r="J150" s="7">
        <f t="shared" si="8"/>
        <v>1729826.487</v>
      </c>
    </row>
    <row r="151" spans="1:10" ht="15" customHeight="1" x14ac:dyDescent="0.3">
      <c r="A151" s="2">
        <v>135</v>
      </c>
      <c r="B151" s="2" t="s">
        <v>1423</v>
      </c>
      <c r="C151" s="2" t="s">
        <v>1424</v>
      </c>
      <c r="D151" s="2" t="s">
        <v>1424</v>
      </c>
      <c r="E151" s="2" t="s">
        <v>3458</v>
      </c>
      <c r="F151" s="7">
        <v>488651.55</v>
      </c>
      <c r="G151" s="13">
        <v>3</v>
      </c>
      <c r="H151" s="15">
        <f t="shared" si="6"/>
        <v>1465954.65</v>
      </c>
      <c r="I151" s="7">
        <f t="shared" si="7"/>
        <v>263871.837</v>
      </c>
      <c r="J151" s="7">
        <f t="shared" si="8"/>
        <v>1729826.487</v>
      </c>
    </row>
    <row r="152" spans="1:10" ht="15" customHeight="1" x14ac:dyDescent="0.3">
      <c r="A152" s="2">
        <v>136</v>
      </c>
      <c r="B152" s="2" t="s">
        <v>1559</v>
      </c>
      <c r="C152" s="2" t="s">
        <v>1560</v>
      </c>
      <c r="D152" s="2" t="s">
        <v>1560</v>
      </c>
      <c r="E152" s="2" t="s">
        <v>3458</v>
      </c>
      <c r="F152" s="7">
        <v>488651.55</v>
      </c>
      <c r="G152" s="13">
        <v>3</v>
      </c>
      <c r="H152" s="15">
        <f t="shared" si="6"/>
        <v>1465954.65</v>
      </c>
      <c r="I152" s="7">
        <f t="shared" si="7"/>
        <v>263871.837</v>
      </c>
      <c r="J152" s="7">
        <f t="shared" si="8"/>
        <v>1729826.487</v>
      </c>
    </row>
    <row r="153" spans="1:10" ht="15" customHeight="1" x14ac:dyDescent="0.3">
      <c r="A153" s="2">
        <v>137</v>
      </c>
      <c r="B153" s="2" t="s">
        <v>1683</v>
      </c>
      <c r="C153" s="2" t="s">
        <v>1684</v>
      </c>
      <c r="D153" s="2" t="s">
        <v>1684</v>
      </c>
      <c r="E153" s="2" t="s">
        <v>3458</v>
      </c>
      <c r="F153" s="7">
        <v>488651.55</v>
      </c>
      <c r="G153" s="13">
        <v>3</v>
      </c>
      <c r="H153" s="15">
        <f t="shared" si="6"/>
        <v>1465954.65</v>
      </c>
      <c r="I153" s="7">
        <f t="shared" si="7"/>
        <v>263871.837</v>
      </c>
      <c r="J153" s="7">
        <f t="shared" si="8"/>
        <v>1729826.487</v>
      </c>
    </row>
    <row r="154" spans="1:10" ht="15" customHeight="1" x14ac:dyDescent="0.3">
      <c r="A154" s="2">
        <v>138</v>
      </c>
      <c r="B154" s="2" t="s">
        <v>3555</v>
      </c>
      <c r="C154" s="2" t="s">
        <v>4063</v>
      </c>
      <c r="D154" s="2" t="s">
        <v>4063</v>
      </c>
      <c r="E154" s="2" t="s">
        <v>3458</v>
      </c>
      <c r="F154" s="7">
        <v>488651.55</v>
      </c>
      <c r="G154" s="13">
        <v>3</v>
      </c>
      <c r="H154" s="15">
        <f t="shared" si="6"/>
        <v>1465954.65</v>
      </c>
      <c r="I154" s="7">
        <f t="shared" si="7"/>
        <v>263871.837</v>
      </c>
      <c r="J154" s="7">
        <f t="shared" si="8"/>
        <v>1729826.487</v>
      </c>
    </row>
    <row r="155" spans="1:10" ht="15" customHeight="1" x14ac:dyDescent="0.3">
      <c r="A155" s="2">
        <v>139</v>
      </c>
      <c r="B155" s="2" t="s">
        <v>1726</v>
      </c>
      <c r="C155" s="2" t="s">
        <v>1727</v>
      </c>
      <c r="D155" s="2" t="s">
        <v>1727</v>
      </c>
      <c r="E155" s="2" t="s">
        <v>3458</v>
      </c>
      <c r="F155" s="7">
        <v>488651.55</v>
      </c>
      <c r="G155" s="13">
        <v>3</v>
      </c>
      <c r="H155" s="15">
        <f t="shared" si="6"/>
        <v>1465954.65</v>
      </c>
      <c r="I155" s="7">
        <f t="shared" si="7"/>
        <v>263871.837</v>
      </c>
      <c r="J155" s="7">
        <f t="shared" si="8"/>
        <v>1729826.487</v>
      </c>
    </row>
    <row r="156" spans="1:10" ht="15" customHeight="1" x14ac:dyDescent="0.3">
      <c r="A156" s="2">
        <v>140</v>
      </c>
      <c r="B156" s="2" t="s">
        <v>3556</v>
      </c>
      <c r="C156" s="2" t="s">
        <v>4064</v>
      </c>
      <c r="D156" s="2" t="s">
        <v>4064</v>
      </c>
      <c r="E156" s="2" t="s">
        <v>3458</v>
      </c>
      <c r="F156" s="7">
        <v>488651.55</v>
      </c>
      <c r="G156" s="13">
        <v>3</v>
      </c>
      <c r="H156" s="15">
        <f t="shared" si="6"/>
        <v>1465954.65</v>
      </c>
      <c r="I156" s="7">
        <f t="shared" si="7"/>
        <v>263871.837</v>
      </c>
      <c r="J156" s="7">
        <f t="shared" si="8"/>
        <v>1729826.487</v>
      </c>
    </row>
    <row r="157" spans="1:10" ht="15" customHeight="1" x14ac:dyDescent="0.3">
      <c r="A157" s="2">
        <v>141</v>
      </c>
      <c r="B157" s="2" t="s">
        <v>1561</v>
      </c>
      <c r="C157" s="2" t="s">
        <v>1562</v>
      </c>
      <c r="D157" s="2" t="s">
        <v>1562</v>
      </c>
      <c r="E157" s="2" t="s">
        <v>3458</v>
      </c>
      <c r="F157" s="7">
        <v>488651.55</v>
      </c>
      <c r="G157" s="13">
        <v>3</v>
      </c>
      <c r="H157" s="15">
        <f t="shared" si="6"/>
        <v>1465954.65</v>
      </c>
      <c r="I157" s="7">
        <f t="shared" si="7"/>
        <v>263871.837</v>
      </c>
      <c r="J157" s="7">
        <f t="shared" si="8"/>
        <v>1729826.487</v>
      </c>
    </row>
    <row r="158" spans="1:10" ht="15" customHeight="1" x14ac:dyDescent="0.3">
      <c r="A158" s="2">
        <v>142</v>
      </c>
      <c r="B158" s="2" t="s">
        <v>3557</v>
      </c>
      <c r="C158" s="2" t="s">
        <v>4065</v>
      </c>
      <c r="D158" s="2" t="s">
        <v>4065</v>
      </c>
      <c r="E158" s="2" t="s">
        <v>3458</v>
      </c>
      <c r="F158" s="7">
        <v>488651.55</v>
      </c>
      <c r="G158" s="13">
        <v>3</v>
      </c>
      <c r="H158" s="15">
        <f t="shared" si="6"/>
        <v>1465954.65</v>
      </c>
      <c r="I158" s="7">
        <f t="shared" si="7"/>
        <v>263871.837</v>
      </c>
      <c r="J158" s="7">
        <f t="shared" si="8"/>
        <v>1729826.487</v>
      </c>
    </row>
    <row r="159" spans="1:10" ht="15" customHeight="1" x14ac:dyDescent="0.3">
      <c r="A159" s="2">
        <v>143</v>
      </c>
      <c r="B159" s="2" t="s">
        <v>3558</v>
      </c>
      <c r="C159" s="2" t="s">
        <v>4066</v>
      </c>
      <c r="D159" s="2" t="s">
        <v>4066</v>
      </c>
      <c r="E159" s="2" t="s">
        <v>3458</v>
      </c>
      <c r="F159" s="7">
        <v>488651.55</v>
      </c>
      <c r="G159" s="13">
        <v>3</v>
      </c>
      <c r="H159" s="15">
        <f t="shared" si="6"/>
        <v>1465954.65</v>
      </c>
      <c r="I159" s="7">
        <f t="shared" si="7"/>
        <v>263871.837</v>
      </c>
      <c r="J159" s="7">
        <f t="shared" si="8"/>
        <v>1729826.487</v>
      </c>
    </row>
    <row r="160" spans="1:10" ht="15" customHeight="1" x14ac:dyDescent="0.3">
      <c r="A160" s="2">
        <v>144</v>
      </c>
      <c r="B160" s="2" t="s">
        <v>1417</v>
      </c>
      <c r="C160" s="2" t="s">
        <v>1418</v>
      </c>
      <c r="D160" s="2" t="s">
        <v>1418</v>
      </c>
      <c r="E160" s="2" t="s">
        <v>3458</v>
      </c>
      <c r="F160" s="7">
        <v>488651.55</v>
      </c>
      <c r="G160" s="13">
        <v>3</v>
      </c>
      <c r="H160" s="15">
        <f t="shared" si="6"/>
        <v>1465954.65</v>
      </c>
      <c r="I160" s="7">
        <f t="shared" si="7"/>
        <v>263871.837</v>
      </c>
      <c r="J160" s="7">
        <f t="shared" si="8"/>
        <v>1729826.487</v>
      </c>
    </row>
    <row r="161" spans="1:10" ht="15" customHeight="1" x14ac:dyDescent="0.3">
      <c r="A161" s="2">
        <v>145</v>
      </c>
      <c r="B161" s="2" t="s">
        <v>2047</v>
      </c>
      <c r="C161" s="2" t="s">
        <v>2048</v>
      </c>
      <c r="D161" s="2" t="s">
        <v>2048</v>
      </c>
      <c r="E161" s="2" t="s">
        <v>3458</v>
      </c>
      <c r="F161" s="7">
        <v>488651.55</v>
      </c>
      <c r="G161" s="13">
        <v>3</v>
      </c>
      <c r="H161" s="15">
        <f t="shared" si="6"/>
        <v>1465954.65</v>
      </c>
      <c r="I161" s="7">
        <f t="shared" si="7"/>
        <v>263871.837</v>
      </c>
      <c r="J161" s="7">
        <f t="shared" si="8"/>
        <v>1729826.487</v>
      </c>
    </row>
    <row r="162" spans="1:10" ht="15" customHeight="1" x14ac:dyDescent="0.3">
      <c r="A162" s="2">
        <v>146</v>
      </c>
      <c r="B162" s="2" t="s">
        <v>2095</v>
      </c>
      <c r="C162" s="2" t="s">
        <v>2096</v>
      </c>
      <c r="D162" s="2" t="s">
        <v>2096</v>
      </c>
      <c r="E162" s="2" t="s">
        <v>3458</v>
      </c>
      <c r="F162" s="7">
        <v>488651.55</v>
      </c>
      <c r="G162" s="13">
        <v>3</v>
      </c>
      <c r="H162" s="15">
        <f t="shared" si="6"/>
        <v>1465954.65</v>
      </c>
      <c r="I162" s="7">
        <f t="shared" si="7"/>
        <v>263871.837</v>
      </c>
      <c r="J162" s="7">
        <f t="shared" si="8"/>
        <v>1729826.487</v>
      </c>
    </row>
    <row r="163" spans="1:10" ht="15" customHeight="1" x14ac:dyDescent="0.3">
      <c r="A163" s="2">
        <v>147</v>
      </c>
      <c r="B163" s="2" t="s">
        <v>1513</v>
      </c>
      <c r="C163" s="2" t="s">
        <v>1514</v>
      </c>
      <c r="D163" s="2" t="s">
        <v>1514</v>
      </c>
      <c r="E163" s="2" t="s">
        <v>3458</v>
      </c>
      <c r="F163" s="7">
        <v>488651.55</v>
      </c>
      <c r="G163" s="13">
        <v>3</v>
      </c>
      <c r="H163" s="15">
        <f t="shared" si="6"/>
        <v>1465954.65</v>
      </c>
      <c r="I163" s="7">
        <f t="shared" si="7"/>
        <v>263871.837</v>
      </c>
      <c r="J163" s="7">
        <f t="shared" si="8"/>
        <v>1729826.487</v>
      </c>
    </row>
    <row r="164" spans="1:10" ht="15" customHeight="1" x14ac:dyDescent="0.3">
      <c r="A164" s="2">
        <v>148</v>
      </c>
      <c r="B164" s="2" t="s">
        <v>1188</v>
      </c>
      <c r="C164" s="2" t="s">
        <v>1189</v>
      </c>
      <c r="D164" s="2" t="s">
        <v>1189</v>
      </c>
      <c r="E164" s="2" t="s">
        <v>3458</v>
      </c>
      <c r="F164" s="7">
        <v>488651.55</v>
      </c>
      <c r="G164" s="13">
        <v>3</v>
      </c>
      <c r="H164" s="15">
        <f t="shared" si="6"/>
        <v>1465954.65</v>
      </c>
      <c r="I164" s="7">
        <f t="shared" si="7"/>
        <v>263871.837</v>
      </c>
      <c r="J164" s="7">
        <f t="shared" si="8"/>
        <v>1729826.487</v>
      </c>
    </row>
    <row r="165" spans="1:10" ht="15" customHeight="1" x14ac:dyDescent="0.3">
      <c r="A165" s="2">
        <v>149</v>
      </c>
      <c r="B165" s="2" t="s">
        <v>1445</v>
      </c>
      <c r="C165" s="2" t="s">
        <v>1446</v>
      </c>
      <c r="D165" s="2" t="s">
        <v>1446</v>
      </c>
      <c r="E165" s="2" t="s">
        <v>3458</v>
      </c>
      <c r="F165" s="7">
        <v>488651.55</v>
      </c>
      <c r="G165" s="13">
        <v>3</v>
      </c>
      <c r="H165" s="15">
        <f t="shared" si="6"/>
        <v>1465954.65</v>
      </c>
      <c r="I165" s="7">
        <f t="shared" si="7"/>
        <v>263871.837</v>
      </c>
      <c r="J165" s="7">
        <f t="shared" si="8"/>
        <v>1729826.487</v>
      </c>
    </row>
    <row r="166" spans="1:10" ht="15" customHeight="1" x14ac:dyDescent="0.3">
      <c r="A166" s="2">
        <v>150</v>
      </c>
      <c r="B166" s="2" t="s">
        <v>1908</v>
      </c>
      <c r="C166" s="2" t="s">
        <v>1909</v>
      </c>
      <c r="D166" s="2" t="s">
        <v>1909</v>
      </c>
      <c r="E166" s="2" t="s">
        <v>3458</v>
      </c>
      <c r="F166" s="7">
        <v>488651.55</v>
      </c>
      <c r="G166" s="13">
        <v>3</v>
      </c>
      <c r="H166" s="15">
        <f t="shared" si="6"/>
        <v>1465954.65</v>
      </c>
      <c r="I166" s="7">
        <f t="shared" si="7"/>
        <v>263871.837</v>
      </c>
      <c r="J166" s="7">
        <f t="shared" si="8"/>
        <v>1729826.487</v>
      </c>
    </row>
    <row r="167" spans="1:10" ht="15" customHeight="1" x14ac:dyDescent="0.3">
      <c r="A167" s="2">
        <v>151</v>
      </c>
      <c r="B167" s="2" t="s">
        <v>1870</v>
      </c>
      <c r="C167" s="2" t="s">
        <v>1871</v>
      </c>
      <c r="D167" s="2" t="s">
        <v>1871</v>
      </c>
      <c r="E167" s="2" t="s">
        <v>3458</v>
      </c>
      <c r="F167" s="7">
        <v>488651.55</v>
      </c>
      <c r="G167" s="13">
        <v>3</v>
      </c>
      <c r="H167" s="15">
        <f t="shared" si="6"/>
        <v>1465954.65</v>
      </c>
      <c r="I167" s="7">
        <f t="shared" si="7"/>
        <v>263871.837</v>
      </c>
      <c r="J167" s="7">
        <f t="shared" si="8"/>
        <v>1729826.487</v>
      </c>
    </row>
    <row r="168" spans="1:10" ht="15" customHeight="1" x14ac:dyDescent="0.3">
      <c r="A168" s="2">
        <v>152</v>
      </c>
      <c r="B168" s="2" t="s">
        <v>2212</v>
      </c>
      <c r="C168" s="2" t="s">
        <v>2213</v>
      </c>
      <c r="D168" s="2" t="s">
        <v>2213</v>
      </c>
      <c r="E168" s="2" t="s">
        <v>3458</v>
      </c>
      <c r="F168" s="7">
        <v>488651.55</v>
      </c>
      <c r="G168" s="13">
        <v>3</v>
      </c>
      <c r="H168" s="15">
        <f t="shared" si="6"/>
        <v>1465954.65</v>
      </c>
      <c r="I168" s="7">
        <f t="shared" si="7"/>
        <v>263871.837</v>
      </c>
      <c r="J168" s="7">
        <f t="shared" si="8"/>
        <v>1729826.487</v>
      </c>
    </row>
    <row r="169" spans="1:10" ht="15" customHeight="1" x14ac:dyDescent="0.3">
      <c r="A169" s="2">
        <v>153</v>
      </c>
      <c r="B169" s="2" t="s">
        <v>1263</v>
      </c>
      <c r="C169" s="2" t="s">
        <v>1264</v>
      </c>
      <c r="D169" s="2" t="s">
        <v>1264</v>
      </c>
      <c r="E169" s="2" t="s">
        <v>3458</v>
      </c>
      <c r="F169" s="7">
        <v>488651.55</v>
      </c>
      <c r="G169" s="13">
        <v>3</v>
      </c>
      <c r="H169" s="15">
        <f t="shared" si="6"/>
        <v>1465954.65</v>
      </c>
      <c r="I169" s="7">
        <f t="shared" si="7"/>
        <v>263871.837</v>
      </c>
      <c r="J169" s="7">
        <f t="shared" si="8"/>
        <v>1729826.487</v>
      </c>
    </row>
    <row r="170" spans="1:10" ht="15" customHeight="1" x14ac:dyDescent="0.3">
      <c r="A170" s="2">
        <v>154</v>
      </c>
      <c r="B170" s="2" t="s">
        <v>3559</v>
      </c>
      <c r="C170" s="2" t="s">
        <v>1262</v>
      </c>
      <c r="D170" s="2" t="s">
        <v>1262</v>
      </c>
      <c r="E170" s="2" t="s">
        <v>3458</v>
      </c>
      <c r="F170" s="7">
        <v>488651.55</v>
      </c>
      <c r="G170" s="13">
        <v>3</v>
      </c>
      <c r="H170" s="15">
        <f t="shared" si="6"/>
        <v>1465954.65</v>
      </c>
      <c r="I170" s="7">
        <f t="shared" si="7"/>
        <v>263871.837</v>
      </c>
      <c r="J170" s="7">
        <f t="shared" si="8"/>
        <v>1729826.487</v>
      </c>
    </row>
    <row r="171" spans="1:10" ht="15" customHeight="1" x14ac:dyDescent="0.3">
      <c r="A171" s="2">
        <v>155</v>
      </c>
      <c r="B171" s="2" t="s">
        <v>2043</v>
      </c>
      <c r="C171" s="2" t="s">
        <v>2044</v>
      </c>
      <c r="D171" s="2" t="s">
        <v>2044</v>
      </c>
      <c r="E171" s="2" t="s">
        <v>3458</v>
      </c>
      <c r="F171" s="7">
        <v>488651.55</v>
      </c>
      <c r="G171" s="13">
        <v>3</v>
      </c>
      <c r="H171" s="15">
        <f t="shared" si="6"/>
        <v>1465954.65</v>
      </c>
      <c r="I171" s="7">
        <f t="shared" si="7"/>
        <v>263871.837</v>
      </c>
      <c r="J171" s="7">
        <f t="shared" si="8"/>
        <v>1729826.487</v>
      </c>
    </row>
    <row r="172" spans="1:10" ht="15" customHeight="1" x14ac:dyDescent="0.3">
      <c r="A172" s="2">
        <v>156</v>
      </c>
      <c r="B172" s="2" t="s">
        <v>2002</v>
      </c>
      <c r="C172" s="2" t="s">
        <v>2003</v>
      </c>
      <c r="D172" s="2" t="s">
        <v>2003</v>
      </c>
      <c r="E172" s="2" t="s">
        <v>3458</v>
      </c>
      <c r="F172" s="7">
        <v>488651.55</v>
      </c>
      <c r="G172" s="13">
        <v>3</v>
      </c>
      <c r="H172" s="15">
        <f t="shared" si="6"/>
        <v>1465954.65</v>
      </c>
      <c r="I172" s="7">
        <f t="shared" si="7"/>
        <v>263871.837</v>
      </c>
      <c r="J172" s="7">
        <f t="shared" si="8"/>
        <v>1729826.487</v>
      </c>
    </row>
    <row r="173" spans="1:10" ht="15" customHeight="1" x14ac:dyDescent="0.3">
      <c r="A173" s="2">
        <v>157</v>
      </c>
      <c r="B173" s="2" t="s">
        <v>3560</v>
      </c>
      <c r="C173" s="2" t="s">
        <v>1592</v>
      </c>
      <c r="D173" s="2" t="s">
        <v>1592</v>
      </c>
      <c r="E173" s="2" t="s">
        <v>3458</v>
      </c>
      <c r="F173" s="7">
        <v>488651.55</v>
      </c>
      <c r="G173" s="13">
        <v>3</v>
      </c>
      <c r="H173" s="15">
        <f t="shared" si="6"/>
        <v>1465954.65</v>
      </c>
      <c r="I173" s="7">
        <f t="shared" si="7"/>
        <v>263871.837</v>
      </c>
      <c r="J173" s="7">
        <f t="shared" si="8"/>
        <v>1729826.487</v>
      </c>
    </row>
    <row r="174" spans="1:10" ht="15" customHeight="1" x14ac:dyDescent="0.3">
      <c r="A174" s="2">
        <v>158</v>
      </c>
      <c r="B174" s="2" t="s">
        <v>3470</v>
      </c>
      <c r="C174" s="2" t="s">
        <v>3483</v>
      </c>
      <c r="D174" s="2" t="s">
        <v>3483</v>
      </c>
      <c r="E174" s="2" t="s">
        <v>3458</v>
      </c>
      <c r="F174" s="7">
        <v>488651.55</v>
      </c>
      <c r="G174" s="13">
        <v>3</v>
      </c>
      <c r="H174" s="15">
        <f t="shared" si="6"/>
        <v>1465954.65</v>
      </c>
      <c r="I174" s="7">
        <f t="shared" si="7"/>
        <v>263871.837</v>
      </c>
      <c r="J174" s="7">
        <f t="shared" si="8"/>
        <v>1729826.487</v>
      </c>
    </row>
    <row r="175" spans="1:10" ht="15" customHeight="1" x14ac:dyDescent="0.3">
      <c r="A175" s="2">
        <v>159</v>
      </c>
      <c r="B175" s="2" t="s">
        <v>1557</v>
      </c>
      <c r="C175" s="2" t="s">
        <v>1558</v>
      </c>
      <c r="D175" s="2" t="s">
        <v>1558</v>
      </c>
      <c r="E175" s="2" t="s">
        <v>3458</v>
      </c>
      <c r="F175" s="7">
        <v>488651.55</v>
      </c>
      <c r="G175" s="13">
        <v>3</v>
      </c>
      <c r="H175" s="15">
        <f t="shared" si="6"/>
        <v>1465954.65</v>
      </c>
      <c r="I175" s="7">
        <f t="shared" si="7"/>
        <v>263871.837</v>
      </c>
      <c r="J175" s="7">
        <f t="shared" si="8"/>
        <v>1729826.487</v>
      </c>
    </row>
    <row r="176" spans="1:10" ht="15" customHeight="1" x14ac:dyDescent="0.3">
      <c r="A176" s="2">
        <v>160</v>
      </c>
      <c r="B176" s="2" t="s">
        <v>3561</v>
      </c>
      <c r="C176" s="2" t="s">
        <v>4067</v>
      </c>
      <c r="D176" s="2" t="s">
        <v>4067</v>
      </c>
      <c r="E176" s="2" t="s">
        <v>3458</v>
      </c>
      <c r="F176" s="7">
        <v>488651.55</v>
      </c>
      <c r="G176" s="13">
        <v>3</v>
      </c>
      <c r="H176" s="15">
        <f t="shared" si="6"/>
        <v>1465954.65</v>
      </c>
      <c r="I176" s="7">
        <f t="shared" si="7"/>
        <v>263871.837</v>
      </c>
      <c r="J176" s="7">
        <f t="shared" si="8"/>
        <v>1729826.487</v>
      </c>
    </row>
    <row r="177" spans="1:10" ht="15" customHeight="1" x14ac:dyDescent="0.3">
      <c r="A177" s="2">
        <v>161</v>
      </c>
      <c r="B177" s="2" t="s">
        <v>2193</v>
      </c>
      <c r="C177" s="2" t="s">
        <v>2194</v>
      </c>
      <c r="D177" s="2" t="s">
        <v>2194</v>
      </c>
      <c r="E177" s="2" t="s">
        <v>3458</v>
      </c>
      <c r="F177" s="7">
        <v>488651.55</v>
      </c>
      <c r="G177" s="13">
        <v>3</v>
      </c>
      <c r="H177" s="15">
        <f t="shared" si="6"/>
        <v>1465954.65</v>
      </c>
      <c r="I177" s="7">
        <f t="shared" si="7"/>
        <v>263871.837</v>
      </c>
      <c r="J177" s="7">
        <f t="shared" si="8"/>
        <v>1729826.487</v>
      </c>
    </row>
    <row r="178" spans="1:10" ht="15" customHeight="1" x14ac:dyDescent="0.3">
      <c r="A178" s="2">
        <v>162</v>
      </c>
      <c r="B178" s="2" t="s">
        <v>1593</v>
      </c>
      <c r="C178" s="2" t="s">
        <v>1594</v>
      </c>
      <c r="D178" s="2" t="s">
        <v>1594</v>
      </c>
      <c r="E178" s="2" t="s">
        <v>3458</v>
      </c>
      <c r="F178" s="7">
        <v>488651.55</v>
      </c>
      <c r="G178" s="13">
        <v>3</v>
      </c>
      <c r="H178" s="15">
        <f t="shared" si="6"/>
        <v>1465954.65</v>
      </c>
      <c r="I178" s="7">
        <f t="shared" si="7"/>
        <v>263871.837</v>
      </c>
      <c r="J178" s="7">
        <f t="shared" si="8"/>
        <v>1729826.487</v>
      </c>
    </row>
    <row r="179" spans="1:10" ht="15" customHeight="1" x14ac:dyDescent="0.3">
      <c r="A179" s="2">
        <v>163</v>
      </c>
      <c r="B179" s="2" t="s">
        <v>1814</v>
      </c>
      <c r="C179" s="2" t="s">
        <v>1815</v>
      </c>
      <c r="D179" s="2" t="s">
        <v>1815</v>
      </c>
      <c r="E179" s="2" t="s">
        <v>3458</v>
      </c>
      <c r="F179" s="7">
        <v>488651.55</v>
      </c>
      <c r="G179" s="13">
        <v>3</v>
      </c>
      <c r="H179" s="15">
        <f t="shared" si="6"/>
        <v>1465954.65</v>
      </c>
      <c r="I179" s="7">
        <f t="shared" si="7"/>
        <v>263871.837</v>
      </c>
      <c r="J179" s="7">
        <f t="shared" si="8"/>
        <v>1729826.487</v>
      </c>
    </row>
    <row r="180" spans="1:10" ht="15" customHeight="1" x14ac:dyDescent="0.3">
      <c r="A180" s="2">
        <v>164</v>
      </c>
      <c r="B180" s="2" t="s">
        <v>3562</v>
      </c>
      <c r="C180" s="2" t="s">
        <v>2097</v>
      </c>
      <c r="D180" s="2" t="s">
        <v>2097</v>
      </c>
      <c r="E180" s="2" t="s">
        <v>3458</v>
      </c>
      <c r="F180" s="7">
        <v>488651.55</v>
      </c>
      <c r="G180" s="13">
        <v>3</v>
      </c>
      <c r="H180" s="15">
        <f t="shared" si="6"/>
        <v>1465954.65</v>
      </c>
      <c r="I180" s="7">
        <f t="shared" si="7"/>
        <v>263871.837</v>
      </c>
      <c r="J180" s="7">
        <f t="shared" si="8"/>
        <v>1729826.487</v>
      </c>
    </row>
    <row r="181" spans="1:10" ht="15" customHeight="1" x14ac:dyDescent="0.3">
      <c r="A181" s="2">
        <v>165</v>
      </c>
      <c r="B181" s="2" t="s">
        <v>1531</v>
      </c>
      <c r="C181" s="2" t="s">
        <v>1532</v>
      </c>
      <c r="D181" s="2" t="s">
        <v>1532</v>
      </c>
      <c r="E181" s="2" t="s">
        <v>3458</v>
      </c>
      <c r="F181" s="7">
        <v>488651.55</v>
      </c>
      <c r="G181" s="13">
        <v>3</v>
      </c>
      <c r="H181" s="15">
        <f t="shared" si="6"/>
        <v>1465954.65</v>
      </c>
      <c r="I181" s="7">
        <f t="shared" si="7"/>
        <v>263871.837</v>
      </c>
      <c r="J181" s="7">
        <f t="shared" si="8"/>
        <v>1729826.487</v>
      </c>
    </row>
    <row r="182" spans="1:10" ht="15" customHeight="1" x14ac:dyDescent="0.3">
      <c r="A182" s="2">
        <v>166</v>
      </c>
      <c r="B182" s="2" t="s">
        <v>3563</v>
      </c>
      <c r="C182" s="2" t="s">
        <v>4068</v>
      </c>
      <c r="D182" s="2" t="s">
        <v>4068</v>
      </c>
      <c r="E182" s="2" t="s">
        <v>3458</v>
      </c>
      <c r="F182" s="7">
        <v>488651.55</v>
      </c>
      <c r="G182" s="13">
        <v>3</v>
      </c>
      <c r="H182" s="15">
        <f t="shared" si="6"/>
        <v>1465954.65</v>
      </c>
      <c r="I182" s="7">
        <f t="shared" si="7"/>
        <v>263871.837</v>
      </c>
      <c r="J182" s="7">
        <f t="shared" si="8"/>
        <v>1729826.487</v>
      </c>
    </row>
    <row r="183" spans="1:10" ht="15" customHeight="1" x14ac:dyDescent="0.3">
      <c r="A183" s="2">
        <v>167</v>
      </c>
      <c r="B183" s="2" t="s">
        <v>3564</v>
      </c>
      <c r="C183" s="2" t="s">
        <v>4069</v>
      </c>
      <c r="D183" s="2" t="s">
        <v>4069</v>
      </c>
      <c r="E183" s="2" t="s">
        <v>3458</v>
      </c>
      <c r="F183" s="7">
        <v>488651.55</v>
      </c>
      <c r="G183" s="13">
        <v>3</v>
      </c>
      <c r="H183" s="15">
        <f t="shared" si="6"/>
        <v>1465954.65</v>
      </c>
      <c r="I183" s="7">
        <f t="shared" si="7"/>
        <v>263871.837</v>
      </c>
      <c r="J183" s="7">
        <f t="shared" si="8"/>
        <v>1729826.487</v>
      </c>
    </row>
    <row r="184" spans="1:10" ht="15" customHeight="1" x14ac:dyDescent="0.3">
      <c r="A184" s="2">
        <v>168</v>
      </c>
      <c r="B184" s="2" t="s">
        <v>3565</v>
      </c>
      <c r="C184" s="2" t="s">
        <v>2090</v>
      </c>
      <c r="D184" s="2" t="s">
        <v>2090</v>
      </c>
      <c r="E184" s="2" t="s">
        <v>3458</v>
      </c>
      <c r="F184" s="7">
        <v>488651.55</v>
      </c>
      <c r="G184" s="13">
        <v>3</v>
      </c>
      <c r="H184" s="15">
        <f t="shared" si="6"/>
        <v>1465954.65</v>
      </c>
      <c r="I184" s="7">
        <f t="shared" si="7"/>
        <v>263871.837</v>
      </c>
      <c r="J184" s="7">
        <f t="shared" si="8"/>
        <v>1729826.487</v>
      </c>
    </row>
    <row r="185" spans="1:10" ht="15" customHeight="1" x14ac:dyDescent="0.3">
      <c r="A185" s="2">
        <v>169</v>
      </c>
      <c r="B185" s="2" t="s">
        <v>2071</v>
      </c>
      <c r="C185" s="2" t="s">
        <v>4070</v>
      </c>
      <c r="D185" s="2" t="s">
        <v>4070</v>
      </c>
      <c r="E185" s="2" t="s">
        <v>3458</v>
      </c>
      <c r="F185" s="7">
        <v>488651.55</v>
      </c>
      <c r="G185" s="13">
        <v>3</v>
      </c>
      <c r="H185" s="15">
        <f t="shared" si="6"/>
        <v>1465954.65</v>
      </c>
      <c r="I185" s="7">
        <f t="shared" si="7"/>
        <v>263871.837</v>
      </c>
      <c r="J185" s="7">
        <f t="shared" si="8"/>
        <v>1729826.487</v>
      </c>
    </row>
    <row r="186" spans="1:10" ht="15" customHeight="1" x14ac:dyDescent="0.3">
      <c r="A186" s="2">
        <v>170</v>
      </c>
      <c r="B186" s="2" t="s">
        <v>1956</v>
      </c>
      <c r="C186" s="2" t="s">
        <v>1957</v>
      </c>
      <c r="D186" s="2" t="s">
        <v>1957</v>
      </c>
      <c r="E186" s="2" t="s">
        <v>3458</v>
      </c>
      <c r="F186" s="7">
        <v>488651.55</v>
      </c>
      <c r="G186" s="13">
        <v>3</v>
      </c>
      <c r="H186" s="15">
        <f t="shared" si="6"/>
        <v>1465954.65</v>
      </c>
      <c r="I186" s="7">
        <f t="shared" si="7"/>
        <v>263871.837</v>
      </c>
      <c r="J186" s="7">
        <f t="shared" si="8"/>
        <v>1729826.487</v>
      </c>
    </row>
    <row r="187" spans="1:10" ht="15" customHeight="1" x14ac:dyDescent="0.3">
      <c r="A187" s="2">
        <v>171</v>
      </c>
      <c r="B187" s="2" t="s">
        <v>1232</v>
      </c>
      <c r="C187" s="2" t="s">
        <v>1233</v>
      </c>
      <c r="D187" s="2" t="s">
        <v>1233</v>
      </c>
      <c r="E187" s="2" t="s">
        <v>3458</v>
      </c>
      <c r="F187" s="7">
        <v>488651.55</v>
      </c>
      <c r="G187" s="13">
        <v>3</v>
      </c>
      <c r="H187" s="15">
        <f t="shared" si="6"/>
        <v>1465954.65</v>
      </c>
      <c r="I187" s="7">
        <f t="shared" si="7"/>
        <v>263871.837</v>
      </c>
      <c r="J187" s="7">
        <f t="shared" si="8"/>
        <v>1729826.487</v>
      </c>
    </row>
    <row r="188" spans="1:10" ht="15" customHeight="1" x14ac:dyDescent="0.3">
      <c r="A188" s="2">
        <v>172</v>
      </c>
      <c r="B188" s="2" t="s">
        <v>1746</v>
      </c>
      <c r="C188" s="2" t="s">
        <v>1747</v>
      </c>
      <c r="D188" s="2" t="s">
        <v>1747</v>
      </c>
      <c r="E188" s="2" t="s">
        <v>3458</v>
      </c>
      <c r="F188" s="7">
        <v>488651.55</v>
      </c>
      <c r="G188" s="13">
        <v>3</v>
      </c>
      <c r="H188" s="15">
        <f t="shared" si="6"/>
        <v>1465954.65</v>
      </c>
      <c r="I188" s="7">
        <f t="shared" si="7"/>
        <v>263871.837</v>
      </c>
      <c r="J188" s="7">
        <f t="shared" si="8"/>
        <v>1729826.487</v>
      </c>
    </row>
    <row r="189" spans="1:10" ht="15" customHeight="1" x14ac:dyDescent="0.3">
      <c r="A189" s="2">
        <v>173</v>
      </c>
      <c r="B189" s="2" t="s">
        <v>1768</v>
      </c>
      <c r="C189" s="2" t="s">
        <v>1769</v>
      </c>
      <c r="D189" s="2" t="s">
        <v>1769</v>
      </c>
      <c r="E189" s="2" t="s">
        <v>3458</v>
      </c>
      <c r="F189" s="7">
        <v>488651.55</v>
      </c>
      <c r="G189" s="13">
        <v>3</v>
      </c>
      <c r="H189" s="15">
        <f t="shared" si="6"/>
        <v>1465954.65</v>
      </c>
      <c r="I189" s="7">
        <f t="shared" si="7"/>
        <v>263871.837</v>
      </c>
      <c r="J189" s="7">
        <f t="shared" si="8"/>
        <v>1729826.487</v>
      </c>
    </row>
    <row r="190" spans="1:10" ht="15" customHeight="1" x14ac:dyDescent="0.3">
      <c r="A190" s="2">
        <v>174</v>
      </c>
      <c r="B190" s="2" t="s">
        <v>1906</v>
      </c>
      <c r="C190" s="2" t="s">
        <v>1907</v>
      </c>
      <c r="D190" s="2" t="s">
        <v>1907</v>
      </c>
      <c r="E190" s="2" t="s">
        <v>3458</v>
      </c>
      <c r="F190" s="7">
        <v>488651.55</v>
      </c>
      <c r="G190" s="13">
        <v>3</v>
      </c>
      <c r="H190" s="15">
        <f t="shared" si="6"/>
        <v>1465954.65</v>
      </c>
      <c r="I190" s="7">
        <f t="shared" si="7"/>
        <v>263871.837</v>
      </c>
      <c r="J190" s="7">
        <f t="shared" si="8"/>
        <v>1729826.487</v>
      </c>
    </row>
    <row r="191" spans="1:10" ht="15" customHeight="1" x14ac:dyDescent="0.3">
      <c r="A191" s="2">
        <v>175</v>
      </c>
      <c r="B191" s="2" t="s">
        <v>3566</v>
      </c>
      <c r="C191" s="2" t="s">
        <v>4071</v>
      </c>
      <c r="D191" s="2" t="s">
        <v>4071</v>
      </c>
      <c r="E191" s="2" t="s">
        <v>3458</v>
      </c>
      <c r="F191" s="7">
        <v>488651.55</v>
      </c>
      <c r="G191" s="13">
        <v>3</v>
      </c>
      <c r="H191" s="15">
        <f t="shared" si="6"/>
        <v>1465954.65</v>
      </c>
      <c r="I191" s="7">
        <f t="shared" si="7"/>
        <v>263871.837</v>
      </c>
      <c r="J191" s="7">
        <f t="shared" si="8"/>
        <v>1729826.487</v>
      </c>
    </row>
    <row r="192" spans="1:10" ht="15" customHeight="1" x14ac:dyDescent="0.3">
      <c r="A192" s="2">
        <v>176</v>
      </c>
      <c r="B192" s="2" t="s">
        <v>1625</v>
      </c>
      <c r="C192" s="2" t="s">
        <v>1626</v>
      </c>
      <c r="D192" s="2" t="s">
        <v>1626</v>
      </c>
      <c r="E192" s="2" t="s">
        <v>3458</v>
      </c>
      <c r="F192" s="7">
        <v>488651.55</v>
      </c>
      <c r="G192" s="13">
        <v>3</v>
      </c>
      <c r="H192" s="15">
        <f t="shared" si="6"/>
        <v>1465954.65</v>
      </c>
      <c r="I192" s="7">
        <f t="shared" si="7"/>
        <v>263871.837</v>
      </c>
      <c r="J192" s="7">
        <f t="shared" si="8"/>
        <v>1729826.487</v>
      </c>
    </row>
    <row r="193" spans="1:10" ht="15" customHeight="1" x14ac:dyDescent="0.3">
      <c r="A193" s="2">
        <v>177</v>
      </c>
      <c r="B193" s="2" t="s">
        <v>1900</v>
      </c>
      <c r="C193" s="2" t="s">
        <v>1901</v>
      </c>
      <c r="D193" s="2" t="s">
        <v>1901</v>
      </c>
      <c r="E193" s="2" t="s">
        <v>3458</v>
      </c>
      <c r="F193" s="7">
        <v>488651.55</v>
      </c>
      <c r="G193" s="13">
        <v>3</v>
      </c>
      <c r="H193" s="15">
        <f t="shared" si="6"/>
        <v>1465954.65</v>
      </c>
      <c r="I193" s="7">
        <f t="shared" si="7"/>
        <v>263871.837</v>
      </c>
      <c r="J193" s="7">
        <f t="shared" si="8"/>
        <v>1729826.487</v>
      </c>
    </row>
    <row r="194" spans="1:10" ht="15" customHeight="1" x14ac:dyDescent="0.3">
      <c r="A194" s="2">
        <v>178</v>
      </c>
      <c r="B194" s="2" t="s">
        <v>2183</v>
      </c>
      <c r="C194" s="2" t="s">
        <v>2184</v>
      </c>
      <c r="D194" s="2" t="s">
        <v>2184</v>
      </c>
      <c r="E194" s="2" t="s">
        <v>3458</v>
      </c>
      <c r="F194" s="7">
        <v>488651.55</v>
      </c>
      <c r="G194" s="13">
        <v>3</v>
      </c>
      <c r="H194" s="15">
        <f t="shared" si="6"/>
        <v>1465954.65</v>
      </c>
      <c r="I194" s="7">
        <f t="shared" si="7"/>
        <v>263871.837</v>
      </c>
      <c r="J194" s="7">
        <f t="shared" si="8"/>
        <v>1729826.487</v>
      </c>
    </row>
    <row r="195" spans="1:10" ht="15" customHeight="1" x14ac:dyDescent="0.3">
      <c r="A195" s="2">
        <v>179</v>
      </c>
      <c r="B195" s="2" t="s">
        <v>1808</v>
      </c>
      <c r="C195" s="2" t="s">
        <v>1809</v>
      </c>
      <c r="D195" s="2" t="s">
        <v>1809</v>
      </c>
      <c r="E195" s="2" t="s">
        <v>3458</v>
      </c>
      <c r="F195" s="7">
        <v>488651.55</v>
      </c>
      <c r="G195" s="13">
        <v>3</v>
      </c>
      <c r="H195" s="15">
        <f t="shared" si="6"/>
        <v>1465954.65</v>
      </c>
      <c r="I195" s="7">
        <f t="shared" si="7"/>
        <v>263871.837</v>
      </c>
      <c r="J195" s="7">
        <f t="shared" si="8"/>
        <v>1729826.487</v>
      </c>
    </row>
    <row r="196" spans="1:10" ht="15" customHeight="1" x14ac:dyDescent="0.3">
      <c r="A196" s="2">
        <v>180</v>
      </c>
      <c r="B196" s="2" t="s">
        <v>1888</v>
      </c>
      <c r="C196" s="2" t="s">
        <v>1889</v>
      </c>
      <c r="D196" s="2" t="s">
        <v>1889</v>
      </c>
      <c r="E196" s="2" t="s">
        <v>3458</v>
      </c>
      <c r="F196" s="7">
        <v>488651.55</v>
      </c>
      <c r="G196" s="13">
        <v>3</v>
      </c>
      <c r="H196" s="15">
        <f t="shared" si="6"/>
        <v>1465954.65</v>
      </c>
      <c r="I196" s="7">
        <f t="shared" si="7"/>
        <v>263871.837</v>
      </c>
      <c r="J196" s="7">
        <f t="shared" si="8"/>
        <v>1729826.487</v>
      </c>
    </row>
    <row r="197" spans="1:10" ht="15" customHeight="1" x14ac:dyDescent="0.3">
      <c r="A197" s="2">
        <v>181</v>
      </c>
      <c r="B197" s="2" t="s">
        <v>3567</v>
      </c>
      <c r="C197" s="2" t="s">
        <v>4072</v>
      </c>
      <c r="D197" s="2" t="s">
        <v>4072</v>
      </c>
      <c r="E197" s="2" t="s">
        <v>3458</v>
      </c>
      <c r="F197" s="7">
        <v>488651.55</v>
      </c>
      <c r="G197" s="13">
        <v>3</v>
      </c>
      <c r="H197" s="15">
        <f t="shared" si="6"/>
        <v>1465954.65</v>
      </c>
      <c r="I197" s="7">
        <f t="shared" si="7"/>
        <v>263871.837</v>
      </c>
      <c r="J197" s="7">
        <f t="shared" si="8"/>
        <v>1729826.487</v>
      </c>
    </row>
    <row r="198" spans="1:10" ht="15" customHeight="1" x14ac:dyDescent="0.3">
      <c r="A198" s="2">
        <v>182</v>
      </c>
      <c r="B198" s="2" t="s">
        <v>1415</v>
      </c>
      <c r="C198" s="2" t="s">
        <v>1416</v>
      </c>
      <c r="D198" s="2" t="s">
        <v>1416</v>
      </c>
      <c r="E198" s="2" t="s">
        <v>3458</v>
      </c>
      <c r="F198" s="7">
        <v>488651.55</v>
      </c>
      <c r="G198" s="13">
        <v>3</v>
      </c>
      <c r="H198" s="15">
        <f t="shared" si="6"/>
        <v>1465954.65</v>
      </c>
      <c r="I198" s="7">
        <f t="shared" si="7"/>
        <v>263871.837</v>
      </c>
      <c r="J198" s="7">
        <f t="shared" si="8"/>
        <v>1729826.487</v>
      </c>
    </row>
    <row r="199" spans="1:10" ht="15" customHeight="1" x14ac:dyDescent="0.3">
      <c r="A199" s="2">
        <v>183</v>
      </c>
      <c r="B199" s="2" t="s">
        <v>3568</v>
      </c>
      <c r="C199" s="2" t="s">
        <v>4073</v>
      </c>
      <c r="D199" s="2" t="s">
        <v>4073</v>
      </c>
      <c r="E199" s="2" t="s">
        <v>3458</v>
      </c>
      <c r="F199" s="7">
        <v>488651.55</v>
      </c>
      <c r="G199" s="13">
        <v>3</v>
      </c>
      <c r="H199" s="15">
        <f t="shared" si="6"/>
        <v>1465954.65</v>
      </c>
      <c r="I199" s="7">
        <f t="shared" si="7"/>
        <v>263871.837</v>
      </c>
      <c r="J199" s="7">
        <f t="shared" si="8"/>
        <v>1729826.487</v>
      </c>
    </row>
    <row r="200" spans="1:10" ht="15" customHeight="1" x14ac:dyDescent="0.3">
      <c r="A200" s="2">
        <v>184</v>
      </c>
      <c r="B200" s="2" t="s">
        <v>3569</v>
      </c>
      <c r="C200" s="2" t="s">
        <v>4074</v>
      </c>
      <c r="D200" s="2" t="s">
        <v>4074</v>
      </c>
      <c r="E200" s="2" t="s">
        <v>3458</v>
      </c>
      <c r="F200" s="7">
        <v>488651.55</v>
      </c>
      <c r="G200" s="13">
        <v>3</v>
      </c>
      <c r="H200" s="15">
        <f t="shared" si="6"/>
        <v>1465954.65</v>
      </c>
      <c r="I200" s="7">
        <f t="shared" si="7"/>
        <v>263871.837</v>
      </c>
      <c r="J200" s="7">
        <f t="shared" si="8"/>
        <v>1729826.487</v>
      </c>
    </row>
    <row r="201" spans="1:10" ht="15" customHeight="1" x14ac:dyDescent="0.3">
      <c r="A201" s="2">
        <v>185</v>
      </c>
      <c r="B201" s="2" t="s">
        <v>2152</v>
      </c>
      <c r="C201" s="2" t="s">
        <v>2153</v>
      </c>
      <c r="D201" s="2" t="s">
        <v>2153</v>
      </c>
      <c r="E201" s="2" t="s">
        <v>3458</v>
      </c>
      <c r="F201" s="7">
        <v>488651.55</v>
      </c>
      <c r="G201" s="13">
        <v>3</v>
      </c>
      <c r="H201" s="15">
        <f t="shared" si="6"/>
        <v>1465954.65</v>
      </c>
      <c r="I201" s="7">
        <f t="shared" si="7"/>
        <v>263871.837</v>
      </c>
      <c r="J201" s="7">
        <f t="shared" si="8"/>
        <v>1729826.487</v>
      </c>
    </row>
    <row r="202" spans="1:10" ht="15" customHeight="1" x14ac:dyDescent="0.3">
      <c r="A202" s="2">
        <v>186</v>
      </c>
      <c r="B202" s="2" t="s">
        <v>2076</v>
      </c>
      <c r="C202" s="2" t="s">
        <v>2077</v>
      </c>
      <c r="D202" s="2" t="s">
        <v>2077</v>
      </c>
      <c r="E202" s="2" t="s">
        <v>3458</v>
      </c>
      <c r="F202" s="7">
        <v>488651.55</v>
      </c>
      <c r="G202" s="13">
        <v>3</v>
      </c>
      <c r="H202" s="15">
        <f t="shared" si="6"/>
        <v>1465954.65</v>
      </c>
      <c r="I202" s="7">
        <f t="shared" si="7"/>
        <v>263871.837</v>
      </c>
      <c r="J202" s="7">
        <f t="shared" si="8"/>
        <v>1729826.487</v>
      </c>
    </row>
    <row r="203" spans="1:10" ht="15" customHeight="1" x14ac:dyDescent="0.3">
      <c r="A203" s="2">
        <v>187</v>
      </c>
      <c r="B203" s="2" t="s">
        <v>3570</v>
      </c>
      <c r="C203" s="2" t="s">
        <v>4075</v>
      </c>
      <c r="D203" s="2" t="s">
        <v>4075</v>
      </c>
      <c r="E203" s="2" t="s">
        <v>3458</v>
      </c>
      <c r="F203" s="7">
        <v>488651.55</v>
      </c>
      <c r="G203" s="13">
        <v>3</v>
      </c>
      <c r="H203" s="15">
        <f t="shared" si="6"/>
        <v>1465954.65</v>
      </c>
      <c r="I203" s="7">
        <f t="shared" si="7"/>
        <v>263871.837</v>
      </c>
      <c r="J203" s="7">
        <f t="shared" si="8"/>
        <v>1729826.487</v>
      </c>
    </row>
    <row r="204" spans="1:10" ht="15" customHeight="1" x14ac:dyDescent="0.3">
      <c r="A204" s="2">
        <v>188</v>
      </c>
      <c r="B204" s="2" t="s">
        <v>1190</v>
      </c>
      <c r="C204" s="2" t="s">
        <v>1191</v>
      </c>
      <c r="D204" s="2" t="s">
        <v>1191</v>
      </c>
      <c r="E204" s="2" t="s">
        <v>3458</v>
      </c>
      <c r="F204" s="7">
        <v>488651.55</v>
      </c>
      <c r="G204" s="13">
        <v>3</v>
      </c>
      <c r="H204" s="15">
        <f t="shared" si="6"/>
        <v>1465954.65</v>
      </c>
      <c r="I204" s="7">
        <f t="shared" si="7"/>
        <v>263871.837</v>
      </c>
      <c r="J204" s="7">
        <f t="shared" si="8"/>
        <v>1729826.487</v>
      </c>
    </row>
    <row r="205" spans="1:10" ht="15" customHeight="1" x14ac:dyDescent="0.3">
      <c r="A205" s="2">
        <v>189</v>
      </c>
      <c r="B205" s="2" t="s">
        <v>3571</v>
      </c>
      <c r="C205" s="2" t="s">
        <v>4076</v>
      </c>
      <c r="D205" s="2" t="s">
        <v>4076</v>
      </c>
      <c r="E205" s="2" t="s">
        <v>3458</v>
      </c>
      <c r="F205" s="7">
        <v>488651.55</v>
      </c>
      <c r="G205" s="13">
        <v>3</v>
      </c>
      <c r="H205" s="15">
        <f t="shared" si="6"/>
        <v>1465954.65</v>
      </c>
      <c r="I205" s="7">
        <f t="shared" si="7"/>
        <v>263871.837</v>
      </c>
      <c r="J205" s="7">
        <f t="shared" si="8"/>
        <v>1729826.487</v>
      </c>
    </row>
    <row r="206" spans="1:10" ht="15" customHeight="1" x14ac:dyDescent="0.3">
      <c r="A206" s="2">
        <v>190</v>
      </c>
      <c r="B206" s="2" t="s">
        <v>1980</v>
      </c>
      <c r="C206" s="2" t="s">
        <v>1981</v>
      </c>
      <c r="D206" s="2" t="s">
        <v>1981</v>
      </c>
      <c r="E206" s="2" t="s">
        <v>3458</v>
      </c>
      <c r="F206" s="7">
        <v>488651.55</v>
      </c>
      <c r="G206" s="13">
        <v>3</v>
      </c>
      <c r="H206" s="15">
        <f t="shared" si="6"/>
        <v>1465954.65</v>
      </c>
      <c r="I206" s="7">
        <f t="shared" si="7"/>
        <v>263871.837</v>
      </c>
      <c r="J206" s="7">
        <f t="shared" si="8"/>
        <v>1729826.487</v>
      </c>
    </row>
    <row r="207" spans="1:10" ht="15" customHeight="1" x14ac:dyDescent="0.3">
      <c r="A207" s="2">
        <v>191</v>
      </c>
      <c r="B207" s="2" t="s">
        <v>2787</v>
      </c>
      <c r="C207" s="2" t="s">
        <v>2788</v>
      </c>
      <c r="D207" s="2" t="s">
        <v>2788</v>
      </c>
      <c r="E207" s="2" t="s">
        <v>3458</v>
      </c>
      <c r="F207" s="7">
        <v>488651.55</v>
      </c>
      <c r="G207" s="13">
        <v>3</v>
      </c>
      <c r="H207" s="15">
        <f t="shared" si="6"/>
        <v>1465954.65</v>
      </c>
      <c r="I207" s="7">
        <f t="shared" si="7"/>
        <v>263871.837</v>
      </c>
      <c r="J207" s="7">
        <f t="shared" si="8"/>
        <v>1729826.487</v>
      </c>
    </row>
    <row r="208" spans="1:10" ht="15" customHeight="1" x14ac:dyDescent="0.3">
      <c r="A208" s="2">
        <v>192</v>
      </c>
      <c r="B208" s="2" t="s">
        <v>2110</v>
      </c>
      <c r="C208" s="2" t="s">
        <v>2111</v>
      </c>
      <c r="D208" s="2" t="s">
        <v>2111</v>
      </c>
      <c r="E208" s="2" t="s">
        <v>3458</v>
      </c>
      <c r="F208" s="7">
        <v>488651.55</v>
      </c>
      <c r="G208" s="13">
        <v>3</v>
      </c>
      <c r="H208" s="15">
        <f t="shared" si="6"/>
        <v>1465954.65</v>
      </c>
      <c r="I208" s="7">
        <f t="shared" si="7"/>
        <v>263871.837</v>
      </c>
      <c r="J208" s="7">
        <f t="shared" si="8"/>
        <v>1729826.487</v>
      </c>
    </row>
    <row r="209" spans="1:10" ht="15" customHeight="1" x14ac:dyDescent="0.3">
      <c r="A209" s="2">
        <v>193</v>
      </c>
      <c r="B209" s="2" t="s">
        <v>3572</v>
      </c>
      <c r="C209" s="2" t="s">
        <v>2028</v>
      </c>
      <c r="D209" s="2" t="s">
        <v>2028</v>
      </c>
      <c r="E209" s="2" t="s">
        <v>3458</v>
      </c>
      <c r="F209" s="7">
        <v>488651.55</v>
      </c>
      <c r="G209" s="13">
        <v>3</v>
      </c>
      <c r="H209" s="15">
        <f t="shared" si="6"/>
        <v>1465954.65</v>
      </c>
      <c r="I209" s="7">
        <f t="shared" si="7"/>
        <v>263871.837</v>
      </c>
      <c r="J209" s="7">
        <f t="shared" si="8"/>
        <v>1729826.487</v>
      </c>
    </row>
    <row r="210" spans="1:10" ht="15" customHeight="1" x14ac:dyDescent="0.3">
      <c r="A210" s="2">
        <v>194</v>
      </c>
      <c r="B210" s="2" t="s">
        <v>2053</v>
      </c>
      <c r="C210" s="2" t="s">
        <v>2054</v>
      </c>
      <c r="D210" s="2" t="s">
        <v>2054</v>
      </c>
      <c r="E210" s="2" t="s">
        <v>3458</v>
      </c>
      <c r="F210" s="7">
        <v>488651.55</v>
      </c>
      <c r="G210" s="13">
        <v>3</v>
      </c>
      <c r="H210" s="15">
        <f t="shared" ref="H210:H273" si="9">+F210*G210</f>
        <v>1465954.65</v>
      </c>
      <c r="I210" s="7">
        <f t="shared" ref="I210:I273" si="10">+H210*0.18</f>
        <v>263871.837</v>
      </c>
      <c r="J210" s="7">
        <f t="shared" ref="J210:J273" si="11">+H210+I210</f>
        <v>1729826.487</v>
      </c>
    </row>
    <row r="211" spans="1:10" ht="15" customHeight="1" x14ac:dyDescent="0.3">
      <c r="A211" s="2">
        <v>195</v>
      </c>
      <c r="B211" s="2" t="s">
        <v>3573</v>
      </c>
      <c r="C211" s="2" t="s">
        <v>4077</v>
      </c>
      <c r="D211" s="2" t="s">
        <v>4077</v>
      </c>
      <c r="E211" s="2" t="s">
        <v>3458</v>
      </c>
      <c r="F211" s="7">
        <v>488651.55</v>
      </c>
      <c r="G211" s="13">
        <v>3</v>
      </c>
      <c r="H211" s="15">
        <f t="shared" si="9"/>
        <v>1465954.65</v>
      </c>
      <c r="I211" s="7">
        <f t="shared" si="10"/>
        <v>263871.837</v>
      </c>
      <c r="J211" s="7">
        <f t="shared" si="11"/>
        <v>1729826.487</v>
      </c>
    </row>
    <row r="212" spans="1:10" ht="15" customHeight="1" x14ac:dyDescent="0.3">
      <c r="A212" s="2">
        <v>196</v>
      </c>
      <c r="B212" s="2" t="s">
        <v>3574</v>
      </c>
      <c r="C212" s="2" t="s">
        <v>4078</v>
      </c>
      <c r="D212" s="2" t="s">
        <v>4078</v>
      </c>
      <c r="E212" s="2" t="s">
        <v>3458</v>
      </c>
      <c r="F212" s="7">
        <v>488651.55</v>
      </c>
      <c r="G212" s="13">
        <v>3</v>
      </c>
      <c r="H212" s="15">
        <f t="shared" si="9"/>
        <v>1465954.65</v>
      </c>
      <c r="I212" s="7">
        <f t="shared" si="10"/>
        <v>263871.837</v>
      </c>
      <c r="J212" s="7">
        <f t="shared" si="11"/>
        <v>1729826.487</v>
      </c>
    </row>
    <row r="213" spans="1:10" ht="15" customHeight="1" x14ac:dyDescent="0.3">
      <c r="A213" s="2">
        <v>197</v>
      </c>
      <c r="B213" s="2" t="s">
        <v>1375</v>
      </c>
      <c r="C213" s="2" t="s">
        <v>1376</v>
      </c>
      <c r="D213" s="2" t="s">
        <v>1376</v>
      </c>
      <c r="E213" s="2" t="s">
        <v>3458</v>
      </c>
      <c r="F213" s="7">
        <v>488651.55</v>
      </c>
      <c r="G213" s="13">
        <v>3</v>
      </c>
      <c r="H213" s="15">
        <f t="shared" si="9"/>
        <v>1465954.65</v>
      </c>
      <c r="I213" s="7">
        <f t="shared" si="10"/>
        <v>263871.837</v>
      </c>
      <c r="J213" s="7">
        <f t="shared" si="11"/>
        <v>1729826.487</v>
      </c>
    </row>
    <row r="214" spans="1:10" ht="15" customHeight="1" x14ac:dyDescent="0.3">
      <c r="A214" s="2">
        <v>198</v>
      </c>
      <c r="B214" s="2" t="s">
        <v>2041</v>
      </c>
      <c r="C214" s="2" t="s">
        <v>2042</v>
      </c>
      <c r="D214" s="2" t="s">
        <v>2042</v>
      </c>
      <c r="E214" s="2" t="s">
        <v>3458</v>
      </c>
      <c r="F214" s="7">
        <v>488651.55</v>
      </c>
      <c r="G214" s="13">
        <v>3</v>
      </c>
      <c r="H214" s="15">
        <f t="shared" si="9"/>
        <v>1465954.65</v>
      </c>
      <c r="I214" s="7">
        <f t="shared" si="10"/>
        <v>263871.837</v>
      </c>
      <c r="J214" s="7">
        <f t="shared" si="11"/>
        <v>1729826.487</v>
      </c>
    </row>
    <row r="215" spans="1:10" ht="15" customHeight="1" x14ac:dyDescent="0.3">
      <c r="A215" s="2">
        <v>199</v>
      </c>
      <c r="B215" s="2" t="s">
        <v>3575</v>
      </c>
      <c r="C215" s="2" t="s">
        <v>4079</v>
      </c>
      <c r="D215" s="2" t="s">
        <v>4079</v>
      </c>
      <c r="E215" s="2" t="s">
        <v>3458</v>
      </c>
      <c r="F215" s="7">
        <v>488651.55</v>
      </c>
      <c r="G215" s="13">
        <v>3</v>
      </c>
      <c r="H215" s="15">
        <f t="shared" si="9"/>
        <v>1465954.65</v>
      </c>
      <c r="I215" s="7">
        <f t="shared" si="10"/>
        <v>263871.837</v>
      </c>
      <c r="J215" s="7">
        <f t="shared" si="11"/>
        <v>1729826.487</v>
      </c>
    </row>
    <row r="216" spans="1:10" ht="15" customHeight="1" x14ac:dyDescent="0.3">
      <c r="A216" s="2">
        <v>200</v>
      </c>
      <c r="B216" s="2" t="s">
        <v>3576</v>
      </c>
      <c r="C216" s="2" t="s">
        <v>4080</v>
      </c>
      <c r="D216" s="2" t="s">
        <v>4080</v>
      </c>
      <c r="E216" s="2" t="s">
        <v>3458</v>
      </c>
      <c r="F216" s="7">
        <v>488651.55</v>
      </c>
      <c r="G216" s="13">
        <v>3</v>
      </c>
      <c r="H216" s="15">
        <f t="shared" si="9"/>
        <v>1465954.65</v>
      </c>
      <c r="I216" s="7">
        <f t="shared" si="10"/>
        <v>263871.837</v>
      </c>
      <c r="J216" s="7">
        <f t="shared" si="11"/>
        <v>1729826.487</v>
      </c>
    </row>
    <row r="217" spans="1:10" ht="15" customHeight="1" x14ac:dyDescent="0.3">
      <c r="A217" s="2">
        <v>201</v>
      </c>
      <c r="B217" s="2" t="s">
        <v>3577</v>
      </c>
      <c r="C217" s="2" t="s">
        <v>4081</v>
      </c>
      <c r="D217" s="2" t="s">
        <v>4081</v>
      </c>
      <c r="E217" s="2" t="s">
        <v>3458</v>
      </c>
      <c r="F217" s="7">
        <v>488651.55</v>
      </c>
      <c r="G217" s="13">
        <v>3</v>
      </c>
      <c r="H217" s="15">
        <f t="shared" si="9"/>
        <v>1465954.65</v>
      </c>
      <c r="I217" s="7">
        <f t="shared" si="10"/>
        <v>263871.837</v>
      </c>
      <c r="J217" s="7">
        <f t="shared" si="11"/>
        <v>1729826.487</v>
      </c>
    </row>
    <row r="218" spans="1:10" ht="15" customHeight="1" x14ac:dyDescent="0.3">
      <c r="A218" s="2">
        <v>202</v>
      </c>
      <c r="B218" s="2" t="s">
        <v>3578</v>
      </c>
      <c r="C218" s="2" t="s">
        <v>4082</v>
      </c>
      <c r="D218" s="2" t="s">
        <v>4082</v>
      </c>
      <c r="E218" s="2" t="s">
        <v>3458</v>
      </c>
      <c r="F218" s="7">
        <v>488651.55</v>
      </c>
      <c r="G218" s="13">
        <v>3</v>
      </c>
      <c r="H218" s="15">
        <f t="shared" si="9"/>
        <v>1465954.65</v>
      </c>
      <c r="I218" s="7">
        <f t="shared" si="10"/>
        <v>263871.837</v>
      </c>
      <c r="J218" s="7">
        <f t="shared" si="11"/>
        <v>1729826.487</v>
      </c>
    </row>
    <row r="219" spans="1:10" ht="15" customHeight="1" x14ac:dyDescent="0.3">
      <c r="A219" s="2">
        <v>203</v>
      </c>
      <c r="B219" s="2" t="s">
        <v>3579</v>
      </c>
      <c r="C219" s="2" t="s">
        <v>4083</v>
      </c>
      <c r="D219" s="2" t="s">
        <v>4083</v>
      </c>
      <c r="E219" s="2" t="s">
        <v>3458</v>
      </c>
      <c r="F219" s="7">
        <v>488651.55</v>
      </c>
      <c r="G219" s="13">
        <v>3</v>
      </c>
      <c r="H219" s="15">
        <f t="shared" si="9"/>
        <v>1465954.65</v>
      </c>
      <c r="I219" s="7">
        <f t="shared" si="10"/>
        <v>263871.837</v>
      </c>
      <c r="J219" s="7">
        <f t="shared" si="11"/>
        <v>1729826.487</v>
      </c>
    </row>
    <row r="220" spans="1:10" ht="15" customHeight="1" x14ac:dyDescent="0.3">
      <c r="A220" s="2">
        <v>204</v>
      </c>
      <c r="B220" s="2" t="s">
        <v>1806</v>
      </c>
      <c r="C220" s="2" t="s">
        <v>1807</v>
      </c>
      <c r="D220" s="2" t="s">
        <v>1807</v>
      </c>
      <c r="E220" s="2" t="s">
        <v>3458</v>
      </c>
      <c r="F220" s="7">
        <v>488651.55</v>
      </c>
      <c r="G220" s="13">
        <v>3</v>
      </c>
      <c r="H220" s="15">
        <f t="shared" si="9"/>
        <v>1465954.65</v>
      </c>
      <c r="I220" s="7">
        <f t="shared" si="10"/>
        <v>263871.837</v>
      </c>
      <c r="J220" s="7">
        <f t="shared" si="11"/>
        <v>1729826.487</v>
      </c>
    </row>
    <row r="221" spans="1:10" ht="15" customHeight="1" x14ac:dyDescent="0.3">
      <c r="A221" s="2">
        <v>205</v>
      </c>
      <c r="B221" s="2" t="s">
        <v>1828</v>
      </c>
      <c r="C221" s="2" t="s">
        <v>1829</v>
      </c>
      <c r="D221" s="2" t="s">
        <v>1829</v>
      </c>
      <c r="E221" s="2" t="s">
        <v>3458</v>
      </c>
      <c r="F221" s="7">
        <v>488651.55</v>
      </c>
      <c r="G221" s="13">
        <v>3</v>
      </c>
      <c r="H221" s="15">
        <f t="shared" si="9"/>
        <v>1465954.65</v>
      </c>
      <c r="I221" s="7">
        <f t="shared" si="10"/>
        <v>263871.837</v>
      </c>
      <c r="J221" s="7">
        <f t="shared" si="11"/>
        <v>1729826.487</v>
      </c>
    </row>
    <row r="222" spans="1:10" ht="15" customHeight="1" x14ac:dyDescent="0.3">
      <c r="A222" s="2">
        <v>206</v>
      </c>
      <c r="B222" s="2" t="s">
        <v>3580</v>
      </c>
      <c r="C222" s="2" t="s">
        <v>4084</v>
      </c>
      <c r="D222" s="2" t="s">
        <v>4084</v>
      </c>
      <c r="E222" s="2" t="s">
        <v>3458</v>
      </c>
      <c r="F222" s="7">
        <v>488651.55</v>
      </c>
      <c r="G222" s="13">
        <v>3</v>
      </c>
      <c r="H222" s="15">
        <f t="shared" si="9"/>
        <v>1465954.65</v>
      </c>
      <c r="I222" s="7">
        <f t="shared" si="10"/>
        <v>263871.837</v>
      </c>
      <c r="J222" s="7">
        <f t="shared" si="11"/>
        <v>1729826.487</v>
      </c>
    </row>
    <row r="223" spans="1:10" ht="15" customHeight="1" x14ac:dyDescent="0.3">
      <c r="A223" s="2">
        <v>207</v>
      </c>
      <c r="B223" s="2" t="s">
        <v>1584</v>
      </c>
      <c r="C223" s="2" t="s">
        <v>1585</v>
      </c>
      <c r="D223" s="2" t="s">
        <v>1585</v>
      </c>
      <c r="E223" s="2" t="s">
        <v>3458</v>
      </c>
      <c r="F223" s="7">
        <v>488651.55</v>
      </c>
      <c r="G223" s="13">
        <v>3</v>
      </c>
      <c r="H223" s="15">
        <f t="shared" si="9"/>
        <v>1465954.65</v>
      </c>
      <c r="I223" s="7">
        <f t="shared" si="10"/>
        <v>263871.837</v>
      </c>
      <c r="J223" s="7">
        <f t="shared" si="11"/>
        <v>1729826.487</v>
      </c>
    </row>
    <row r="224" spans="1:10" ht="15" customHeight="1" x14ac:dyDescent="0.3">
      <c r="A224" s="2">
        <v>208</v>
      </c>
      <c r="B224" s="2" t="s">
        <v>3581</v>
      </c>
      <c r="C224" s="2" t="s">
        <v>4085</v>
      </c>
      <c r="D224" s="2" t="s">
        <v>4085</v>
      </c>
      <c r="E224" s="2" t="s">
        <v>3458</v>
      </c>
      <c r="F224" s="7">
        <v>488651.55</v>
      </c>
      <c r="G224" s="13">
        <v>3</v>
      </c>
      <c r="H224" s="15">
        <f t="shared" si="9"/>
        <v>1465954.65</v>
      </c>
      <c r="I224" s="7">
        <f t="shared" si="10"/>
        <v>263871.837</v>
      </c>
      <c r="J224" s="7">
        <f t="shared" si="11"/>
        <v>1729826.487</v>
      </c>
    </row>
    <row r="225" spans="1:10" ht="15" customHeight="1" x14ac:dyDescent="0.3">
      <c r="A225" s="2">
        <v>209</v>
      </c>
      <c r="B225" s="2" t="s">
        <v>2139</v>
      </c>
      <c r="C225" s="2" t="s">
        <v>2140</v>
      </c>
      <c r="D225" s="2" t="s">
        <v>2140</v>
      </c>
      <c r="E225" s="2" t="s">
        <v>3458</v>
      </c>
      <c r="F225" s="7">
        <v>488651.55</v>
      </c>
      <c r="G225" s="13">
        <v>3</v>
      </c>
      <c r="H225" s="15">
        <f t="shared" si="9"/>
        <v>1465954.65</v>
      </c>
      <c r="I225" s="7">
        <f t="shared" si="10"/>
        <v>263871.837</v>
      </c>
      <c r="J225" s="7">
        <f t="shared" si="11"/>
        <v>1729826.487</v>
      </c>
    </row>
    <row r="226" spans="1:10" ht="15" customHeight="1" x14ac:dyDescent="0.3">
      <c r="A226" s="2">
        <v>210</v>
      </c>
      <c r="B226" s="2" t="s">
        <v>1586</v>
      </c>
      <c r="C226" s="2" t="s">
        <v>1587</v>
      </c>
      <c r="D226" s="2" t="s">
        <v>1587</v>
      </c>
      <c r="E226" s="2" t="s">
        <v>3458</v>
      </c>
      <c r="F226" s="7">
        <v>488651.55</v>
      </c>
      <c r="G226" s="13">
        <v>3</v>
      </c>
      <c r="H226" s="15">
        <f t="shared" si="9"/>
        <v>1465954.65</v>
      </c>
      <c r="I226" s="7">
        <f t="shared" si="10"/>
        <v>263871.837</v>
      </c>
      <c r="J226" s="7">
        <f t="shared" si="11"/>
        <v>1729826.487</v>
      </c>
    </row>
    <row r="227" spans="1:10" ht="15" customHeight="1" x14ac:dyDescent="0.3">
      <c r="A227" s="2">
        <v>211</v>
      </c>
      <c r="B227" s="2" t="s">
        <v>3582</v>
      </c>
      <c r="C227" s="2" t="s">
        <v>4086</v>
      </c>
      <c r="D227" s="2" t="s">
        <v>4086</v>
      </c>
      <c r="E227" s="2" t="s">
        <v>3458</v>
      </c>
      <c r="F227" s="7">
        <v>488651.55</v>
      </c>
      <c r="G227" s="13">
        <v>3</v>
      </c>
      <c r="H227" s="15">
        <f t="shared" si="9"/>
        <v>1465954.65</v>
      </c>
      <c r="I227" s="7">
        <f t="shared" si="10"/>
        <v>263871.837</v>
      </c>
      <c r="J227" s="7">
        <f t="shared" si="11"/>
        <v>1729826.487</v>
      </c>
    </row>
    <row r="228" spans="1:10" ht="15" customHeight="1" x14ac:dyDescent="0.3">
      <c r="A228" s="2">
        <v>212</v>
      </c>
      <c r="B228" s="2" t="s">
        <v>3583</v>
      </c>
      <c r="C228" s="2" t="s">
        <v>4087</v>
      </c>
      <c r="D228" s="2" t="s">
        <v>4087</v>
      </c>
      <c r="E228" s="2" t="s">
        <v>3458</v>
      </c>
      <c r="F228" s="7">
        <v>488651.55</v>
      </c>
      <c r="G228" s="13">
        <v>3</v>
      </c>
      <c r="H228" s="15">
        <f t="shared" si="9"/>
        <v>1465954.65</v>
      </c>
      <c r="I228" s="7">
        <f t="shared" si="10"/>
        <v>263871.837</v>
      </c>
      <c r="J228" s="7">
        <f t="shared" si="11"/>
        <v>1729826.487</v>
      </c>
    </row>
    <row r="229" spans="1:10" ht="15" customHeight="1" x14ac:dyDescent="0.3">
      <c r="A229" s="2">
        <v>213</v>
      </c>
      <c r="B229" s="2" t="s">
        <v>1698</v>
      </c>
      <c r="C229" s="2" t="s">
        <v>1699</v>
      </c>
      <c r="D229" s="2" t="s">
        <v>1699</v>
      </c>
      <c r="E229" s="2" t="s">
        <v>3458</v>
      </c>
      <c r="F229" s="7">
        <v>488651.55</v>
      </c>
      <c r="G229" s="13">
        <v>3</v>
      </c>
      <c r="H229" s="15">
        <f t="shared" si="9"/>
        <v>1465954.65</v>
      </c>
      <c r="I229" s="7">
        <f t="shared" si="10"/>
        <v>263871.837</v>
      </c>
      <c r="J229" s="7">
        <f t="shared" si="11"/>
        <v>1729826.487</v>
      </c>
    </row>
    <row r="230" spans="1:10" ht="15" customHeight="1" x14ac:dyDescent="0.3">
      <c r="A230" s="2">
        <v>214</v>
      </c>
      <c r="B230" s="2" t="s">
        <v>1224</v>
      </c>
      <c r="C230" s="2" t="s">
        <v>1225</v>
      </c>
      <c r="D230" s="2" t="s">
        <v>1225</v>
      </c>
      <c r="E230" s="2" t="s">
        <v>3458</v>
      </c>
      <c r="F230" s="7">
        <v>488651.55</v>
      </c>
      <c r="G230" s="13">
        <v>3</v>
      </c>
      <c r="H230" s="15">
        <f t="shared" si="9"/>
        <v>1465954.65</v>
      </c>
      <c r="I230" s="7">
        <f t="shared" si="10"/>
        <v>263871.837</v>
      </c>
      <c r="J230" s="7">
        <f t="shared" si="11"/>
        <v>1729826.487</v>
      </c>
    </row>
    <row r="231" spans="1:10" ht="15" customHeight="1" x14ac:dyDescent="0.3">
      <c r="A231" s="2">
        <v>215</v>
      </c>
      <c r="B231" s="2" t="s">
        <v>3584</v>
      </c>
      <c r="C231" s="2" t="s">
        <v>1454</v>
      </c>
      <c r="D231" s="2" t="s">
        <v>1454</v>
      </c>
      <c r="E231" s="2" t="s">
        <v>3458</v>
      </c>
      <c r="F231" s="7">
        <v>488651.55</v>
      </c>
      <c r="G231" s="13">
        <v>3</v>
      </c>
      <c r="H231" s="15">
        <f t="shared" si="9"/>
        <v>1465954.65</v>
      </c>
      <c r="I231" s="7">
        <f t="shared" si="10"/>
        <v>263871.837</v>
      </c>
      <c r="J231" s="7">
        <f t="shared" si="11"/>
        <v>1729826.487</v>
      </c>
    </row>
    <row r="232" spans="1:10" ht="15" customHeight="1" x14ac:dyDescent="0.3">
      <c r="A232" s="2">
        <v>216</v>
      </c>
      <c r="B232" s="2" t="s">
        <v>3585</v>
      </c>
      <c r="C232" s="2" t="s">
        <v>4088</v>
      </c>
      <c r="D232" s="2" t="s">
        <v>4088</v>
      </c>
      <c r="E232" s="2" t="s">
        <v>3458</v>
      </c>
      <c r="F232" s="7">
        <v>488651.55</v>
      </c>
      <c r="G232" s="13">
        <v>3</v>
      </c>
      <c r="H232" s="15">
        <f t="shared" si="9"/>
        <v>1465954.65</v>
      </c>
      <c r="I232" s="7">
        <f t="shared" si="10"/>
        <v>263871.837</v>
      </c>
      <c r="J232" s="7">
        <f t="shared" si="11"/>
        <v>1729826.487</v>
      </c>
    </row>
    <row r="233" spans="1:10" ht="15" customHeight="1" x14ac:dyDescent="0.3">
      <c r="A233" s="2">
        <v>217</v>
      </c>
      <c r="B233" s="2" t="s">
        <v>3586</v>
      </c>
      <c r="C233" s="2" t="s">
        <v>4089</v>
      </c>
      <c r="D233" s="2" t="s">
        <v>4089</v>
      </c>
      <c r="E233" s="2" t="s">
        <v>3458</v>
      </c>
      <c r="F233" s="7">
        <v>488651.55</v>
      </c>
      <c r="G233" s="13">
        <v>3</v>
      </c>
      <c r="H233" s="15">
        <f t="shared" si="9"/>
        <v>1465954.65</v>
      </c>
      <c r="I233" s="7">
        <f t="shared" si="10"/>
        <v>263871.837</v>
      </c>
      <c r="J233" s="7">
        <f t="shared" si="11"/>
        <v>1729826.487</v>
      </c>
    </row>
    <row r="234" spans="1:10" ht="15" customHeight="1" x14ac:dyDescent="0.3">
      <c r="A234" s="2">
        <v>218</v>
      </c>
      <c r="B234" s="2" t="s">
        <v>3472</v>
      </c>
      <c r="C234" s="2" t="s">
        <v>3489</v>
      </c>
      <c r="D234" s="2" t="s">
        <v>3489</v>
      </c>
      <c r="E234" s="2" t="s">
        <v>3458</v>
      </c>
      <c r="F234" s="7">
        <v>488651.55</v>
      </c>
      <c r="G234" s="13">
        <v>3</v>
      </c>
      <c r="H234" s="15">
        <f t="shared" si="9"/>
        <v>1465954.65</v>
      </c>
      <c r="I234" s="7">
        <f t="shared" si="10"/>
        <v>263871.837</v>
      </c>
      <c r="J234" s="7">
        <f t="shared" si="11"/>
        <v>1729826.487</v>
      </c>
    </row>
    <row r="235" spans="1:10" ht="15" customHeight="1" x14ac:dyDescent="0.3">
      <c r="A235" s="2">
        <v>219</v>
      </c>
      <c r="B235" s="2" t="s">
        <v>1904</v>
      </c>
      <c r="C235" s="2" t="s">
        <v>1905</v>
      </c>
      <c r="D235" s="2" t="s">
        <v>1905</v>
      </c>
      <c r="E235" s="2" t="s">
        <v>3458</v>
      </c>
      <c r="F235" s="7">
        <v>488651.55</v>
      </c>
      <c r="G235" s="13">
        <v>3</v>
      </c>
      <c r="H235" s="15">
        <f t="shared" si="9"/>
        <v>1465954.65</v>
      </c>
      <c r="I235" s="7">
        <f t="shared" si="10"/>
        <v>263871.837</v>
      </c>
      <c r="J235" s="7">
        <f t="shared" si="11"/>
        <v>1729826.487</v>
      </c>
    </row>
    <row r="236" spans="1:10" ht="15" customHeight="1" x14ac:dyDescent="0.3">
      <c r="A236" s="2">
        <v>220</v>
      </c>
      <c r="B236" s="2" t="s">
        <v>2049</v>
      </c>
      <c r="C236" s="2" t="s">
        <v>2050</v>
      </c>
      <c r="D236" s="2" t="s">
        <v>2050</v>
      </c>
      <c r="E236" s="2" t="s">
        <v>3458</v>
      </c>
      <c r="F236" s="7">
        <v>488651.55</v>
      </c>
      <c r="G236" s="13">
        <v>3</v>
      </c>
      <c r="H236" s="15">
        <f t="shared" si="9"/>
        <v>1465954.65</v>
      </c>
      <c r="I236" s="7">
        <f t="shared" si="10"/>
        <v>263871.837</v>
      </c>
      <c r="J236" s="7">
        <f t="shared" si="11"/>
        <v>1729826.487</v>
      </c>
    </row>
    <row r="237" spans="1:10" ht="15" customHeight="1" x14ac:dyDescent="0.3">
      <c r="A237" s="2">
        <v>221</v>
      </c>
      <c r="B237" s="2" t="s">
        <v>3587</v>
      </c>
      <c r="C237" s="2" t="s">
        <v>4090</v>
      </c>
      <c r="D237" s="2" t="s">
        <v>4090</v>
      </c>
      <c r="E237" s="2" t="s">
        <v>3458</v>
      </c>
      <c r="F237" s="7">
        <v>488651.55</v>
      </c>
      <c r="G237" s="13">
        <v>3</v>
      </c>
      <c r="H237" s="15">
        <f t="shared" si="9"/>
        <v>1465954.65</v>
      </c>
      <c r="I237" s="7">
        <f t="shared" si="10"/>
        <v>263871.837</v>
      </c>
      <c r="J237" s="7">
        <f t="shared" si="11"/>
        <v>1729826.487</v>
      </c>
    </row>
    <row r="238" spans="1:10" ht="15" customHeight="1" x14ac:dyDescent="0.3">
      <c r="A238" s="2">
        <v>222</v>
      </c>
      <c r="B238" s="2" t="s">
        <v>1206</v>
      </c>
      <c r="C238" s="2" t="s">
        <v>1207</v>
      </c>
      <c r="D238" s="2" t="s">
        <v>1207</v>
      </c>
      <c r="E238" s="2" t="s">
        <v>3458</v>
      </c>
      <c r="F238" s="7">
        <v>488651.55</v>
      </c>
      <c r="G238" s="13">
        <v>3</v>
      </c>
      <c r="H238" s="15">
        <f t="shared" si="9"/>
        <v>1465954.65</v>
      </c>
      <c r="I238" s="7">
        <f t="shared" si="10"/>
        <v>263871.837</v>
      </c>
      <c r="J238" s="7">
        <f t="shared" si="11"/>
        <v>1729826.487</v>
      </c>
    </row>
    <row r="239" spans="1:10" ht="15" customHeight="1" x14ac:dyDescent="0.3">
      <c r="A239" s="2">
        <v>223</v>
      </c>
      <c r="B239" s="2" t="s">
        <v>1230</v>
      </c>
      <c r="C239" s="2" t="s">
        <v>1231</v>
      </c>
      <c r="D239" s="2" t="s">
        <v>1231</v>
      </c>
      <c r="E239" s="2" t="s">
        <v>3458</v>
      </c>
      <c r="F239" s="7">
        <v>488651.55</v>
      </c>
      <c r="G239" s="13">
        <v>3</v>
      </c>
      <c r="H239" s="15">
        <f t="shared" si="9"/>
        <v>1465954.65</v>
      </c>
      <c r="I239" s="7">
        <f t="shared" si="10"/>
        <v>263871.837</v>
      </c>
      <c r="J239" s="7">
        <f t="shared" si="11"/>
        <v>1729826.487</v>
      </c>
    </row>
    <row r="240" spans="1:10" ht="15" customHeight="1" x14ac:dyDescent="0.3">
      <c r="A240" s="2">
        <v>224</v>
      </c>
      <c r="B240" s="2" t="s">
        <v>1194</v>
      </c>
      <c r="C240" s="2" t="s">
        <v>1195</v>
      </c>
      <c r="D240" s="2" t="s">
        <v>1195</v>
      </c>
      <c r="E240" s="2" t="s">
        <v>3458</v>
      </c>
      <c r="F240" s="7">
        <v>488651.55</v>
      </c>
      <c r="G240" s="13">
        <v>3</v>
      </c>
      <c r="H240" s="15">
        <f t="shared" si="9"/>
        <v>1465954.65</v>
      </c>
      <c r="I240" s="7">
        <f t="shared" si="10"/>
        <v>263871.837</v>
      </c>
      <c r="J240" s="7">
        <f t="shared" si="11"/>
        <v>1729826.487</v>
      </c>
    </row>
    <row r="241" spans="1:10" ht="15" customHeight="1" x14ac:dyDescent="0.3">
      <c r="A241" s="2">
        <v>225</v>
      </c>
      <c r="B241" s="2" t="s">
        <v>1256</v>
      </c>
      <c r="C241" s="2" t="s">
        <v>1257</v>
      </c>
      <c r="D241" s="2" t="s">
        <v>1257</v>
      </c>
      <c r="E241" s="2" t="s">
        <v>3458</v>
      </c>
      <c r="F241" s="7">
        <v>488651.55</v>
      </c>
      <c r="G241" s="13">
        <v>3</v>
      </c>
      <c r="H241" s="15">
        <f t="shared" si="9"/>
        <v>1465954.65</v>
      </c>
      <c r="I241" s="7">
        <f t="shared" si="10"/>
        <v>263871.837</v>
      </c>
      <c r="J241" s="7">
        <f t="shared" si="11"/>
        <v>1729826.487</v>
      </c>
    </row>
    <row r="242" spans="1:10" ht="15" customHeight="1" x14ac:dyDescent="0.3">
      <c r="A242" s="2">
        <v>226</v>
      </c>
      <c r="B242" s="2" t="s">
        <v>1222</v>
      </c>
      <c r="C242" s="2" t="s">
        <v>1223</v>
      </c>
      <c r="D242" s="2" t="s">
        <v>1223</v>
      </c>
      <c r="E242" s="2" t="s">
        <v>3458</v>
      </c>
      <c r="F242" s="7">
        <v>488651.55</v>
      </c>
      <c r="G242" s="13">
        <v>3</v>
      </c>
      <c r="H242" s="15">
        <f t="shared" si="9"/>
        <v>1465954.65</v>
      </c>
      <c r="I242" s="7">
        <f t="shared" si="10"/>
        <v>263871.837</v>
      </c>
      <c r="J242" s="7">
        <f t="shared" si="11"/>
        <v>1729826.487</v>
      </c>
    </row>
    <row r="243" spans="1:10" ht="15" customHeight="1" x14ac:dyDescent="0.3">
      <c r="A243" s="2">
        <v>227</v>
      </c>
      <c r="B243" s="2" t="s">
        <v>1962</v>
      </c>
      <c r="C243" s="2" t="s">
        <v>1963</v>
      </c>
      <c r="D243" s="2" t="s">
        <v>1963</v>
      </c>
      <c r="E243" s="2" t="s">
        <v>3458</v>
      </c>
      <c r="F243" s="7">
        <v>488651.55</v>
      </c>
      <c r="G243" s="13">
        <v>3</v>
      </c>
      <c r="H243" s="15">
        <f t="shared" si="9"/>
        <v>1465954.65</v>
      </c>
      <c r="I243" s="7">
        <f t="shared" si="10"/>
        <v>263871.837</v>
      </c>
      <c r="J243" s="7">
        <f t="shared" si="11"/>
        <v>1729826.487</v>
      </c>
    </row>
    <row r="244" spans="1:10" ht="15" customHeight="1" x14ac:dyDescent="0.3">
      <c r="A244" s="2">
        <v>228</v>
      </c>
      <c r="B244" s="2" t="s">
        <v>3588</v>
      </c>
      <c r="C244" s="2" t="s">
        <v>4091</v>
      </c>
      <c r="D244" s="2" t="s">
        <v>4091</v>
      </c>
      <c r="E244" s="2" t="s">
        <v>3458</v>
      </c>
      <c r="F244" s="7">
        <v>488651.55</v>
      </c>
      <c r="G244" s="13">
        <v>3</v>
      </c>
      <c r="H244" s="15">
        <f t="shared" si="9"/>
        <v>1465954.65</v>
      </c>
      <c r="I244" s="7">
        <f t="shared" si="10"/>
        <v>263871.837</v>
      </c>
      <c r="J244" s="7">
        <f t="shared" si="11"/>
        <v>1729826.487</v>
      </c>
    </row>
    <row r="245" spans="1:10" ht="15" customHeight="1" x14ac:dyDescent="0.3">
      <c r="A245" s="2">
        <v>229</v>
      </c>
      <c r="B245" s="2" t="s">
        <v>3589</v>
      </c>
      <c r="C245" s="2" t="s">
        <v>4092</v>
      </c>
      <c r="D245" s="2" t="s">
        <v>4092</v>
      </c>
      <c r="E245" s="2" t="s">
        <v>3458</v>
      </c>
      <c r="F245" s="7">
        <v>488651.55</v>
      </c>
      <c r="G245" s="13">
        <v>3</v>
      </c>
      <c r="H245" s="15">
        <f t="shared" si="9"/>
        <v>1465954.65</v>
      </c>
      <c r="I245" s="7">
        <f t="shared" si="10"/>
        <v>263871.837</v>
      </c>
      <c r="J245" s="7">
        <f t="shared" si="11"/>
        <v>1729826.487</v>
      </c>
    </row>
    <row r="246" spans="1:10" ht="15" customHeight="1" x14ac:dyDescent="0.3">
      <c r="A246" s="2">
        <v>230</v>
      </c>
      <c r="B246" s="2" t="s">
        <v>2022</v>
      </c>
      <c r="C246" s="2" t="s">
        <v>2023</v>
      </c>
      <c r="D246" s="2" t="s">
        <v>2023</v>
      </c>
      <c r="E246" s="2" t="s">
        <v>3458</v>
      </c>
      <c r="F246" s="7">
        <v>488651.55</v>
      </c>
      <c r="G246" s="13">
        <v>3</v>
      </c>
      <c r="H246" s="15">
        <f t="shared" si="9"/>
        <v>1465954.65</v>
      </c>
      <c r="I246" s="7">
        <f t="shared" si="10"/>
        <v>263871.837</v>
      </c>
      <c r="J246" s="7">
        <f t="shared" si="11"/>
        <v>1729826.487</v>
      </c>
    </row>
    <row r="247" spans="1:10" ht="15" customHeight="1" x14ac:dyDescent="0.3">
      <c r="A247" s="2">
        <v>231</v>
      </c>
      <c r="B247" s="2" t="s">
        <v>3473</v>
      </c>
      <c r="C247" s="2" t="s">
        <v>3490</v>
      </c>
      <c r="D247" s="2" t="s">
        <v>3490</v>
      </c>
      <c r="E247" s="2" t="s">
        <v>3458</v>
      </c>
      <c r="F247" s="7">
        <v>488651.55</v>
      </c>
      <c r="G247" s="13">
        <v>3</v>
      </c>
      <c r="H247" s="15">
        <f t="shared" si="9"/>
        <v>1465954.65</v>
      </c>
      <c r="I247" s="7">
        <f t="shared" si="10"/>
        <v>263871.837</v>
      </c>
      <c r="J247" s="7">
        <f t="shared" si="11"/>
        <v>1729826.487</v>
      </c>
    </row>
    <row r="248" spans="1:10" ht="15" customHeight="1" x14ac:dyDescent="0.3">
      <c r="A248" s="2">
        <v>232</v>
      </c>
      <c r="B248" s="2" t="s">
        <v>3590</v>
      </c>
      <c r="C248" s="2" t="s">
        <v>4093</v>
      </c>
      <c r="D248" s="2" t="s">
        <v>4093</v>
      </c>
      <c r="E248" s="2" t="s">
        <v>3458</v>
      </c>
      <c r="F248" s="7">
        <v>488651.55</v>
      </c>
      <c r="G248" s="13">
        <v>3</v>
      </c>
      <c r="H248" s="15">
        <f t="shared" si="9"/>
        <v>1465954.65</v>
      </c>
      <c r="I248" s="7">
        <f t="shared" si="10"/>
        <v>263871.837</v>
      </c>
      <c r="J248" s="7">
        <f t="shared" si="11"/>
        <v>1729826.487</v>
      </c>
    </row>
    <row r="249" spans="1:10" ht="15" customHeight="1" x14ac:dyDescent="0.3">
      <c r="A249" s="2">
        <v>233</v>
      </c>
      <c r="B249" s="2" t="s">
        <v>3591</v>
      </c>
      <c r="C249" s="2" t="s">
        <v>4094</v>
      </c>
      <c r="D249" s="2" t="s">
        <v>4094</v>
      </c>
      <c r="E249" s="2" t="s">
        <v>3458</v>
      </c>
      <c r="F249" s="7">
        <v>488651.55</v>
      </c>
      <c r="G249" s="13">
        <v>3</v>
      </c>
      <c r="H249" s="15">
        <f t="shared" si="9"/>
        <v>1465954.65</v>
      </c>
      <c r="I249" s="7">
        <f t="shared" si="10"/>
        <v>263871.837</v>
      </c>
      <c r="J249" s="7">
        <f t="shared" si="11"/>
        <v>1729826.487</v>
      </c>
    </row>
    <row r="250" spans="1:10" ht="15" customHeight="1" x14ac:dyDescent="0.3">
      <c r="A250" s="2">
        <v>234</v>
      </c>
      <c r="B250" s="2" t="s">
        <v>1134</v>
      </c>
      <c r="C250" s="2" t="s">
        <v>1135</v>
      </c>
      <c r="D250" s="2" t="s">
        <v>1135</v>
      </c>
      <c r="E250" s="2" t="s">
        <v>3458</v>
      </c>
      <c r="F250" s="7">
        <v>488651.55</v>
      </c>
      <c r="G250" s="13">
        <v>3</v>
      </c>
      <c r="H250" s="15">
        <f t="shared" si="9"/>
        <v>1465954.65</v>
      </c>
      <c r="I250" s="7">
        <f t="shared" si="10"/>
        <v>263871.837</v>
      </c>
      <c r="J250" s="7">
        <f t="shared" si="11"/>
        <v>1729826.487</v>
      </c>
    </row>
    <row r="251" spans="1:10" ht="15" customHeight="1" x14ac:dyDescent="0.3">
      <c r="A251" s="2">
        <v>235</v>
      </c>
      <c r="B251" s="2" t="s">
        <v>1876</v>
      </c>
      <c r="C251" s="2" t="s">
        <v>1877</v>
      </c>
      <c r="D251" s="2" t="s">
        <v>1877</v>
      </c>
      <c r="E251" s="2" t="s">
        <v>3458</v>
      </c>
      <c r="F251" s="7">
        <v>488651.55</v>
      </c>
      <c r="G251" s="13">
        <v>3</v>
      </c>
      <c r="H251" s="15">
        <f t="shared" si="9"/>
        <v>1465954.65</v>
      </c>
      <c r="I251" s="7">
        <f t="shared" si="10"/>
        <v>263871.837</v>
      </c>
      <c r="J251" s="7">
        <f t="shared" si="11"/>
        <v>1729826.487</v>
      </c>
    </row>
    <row r="252" spans="1:10" ht="15" customHeight="1" x14ac:dyDescent="0.3">
      <c r="A252" s="2">
        <v>236</v>
      </c>
      <c r="B252" s="2" t="s">
        <v>3592</v>
      </c>
      <c r="C252" s="2" t="s">
        <v>4095</v>
      </c>
      <c r="D252" s="2" t="s">
        <v>4095</v>
      </c>
      <c r="E252" s="2" t="s">
        <v>3458</v>
      </c>
      <c r="F252" s="7">
        <v>488651.55</v>
      </c>
      <c r="G252" s="13">
        <v>3</v>
      </c>
      <c r="H252" s="15">
        <f t="shared" si="9"/>
        <v>1465954.65</v>
      </c>
      <c r="I252" s="7">
        <f t="shared" si="10"/>
        <v>263871.837</v>
      </c>
      <c r="J252" s="7">
        <f t="shared" si="11"/>
        <v>1729826.487</v>
      </c>
    </row>
    <row r="253" spans="1:10" ht="15" customHeight="1" x14ac:dyDescent="0.3">
      <c r="A253" s="2">
        <v>237</v>
      </c>
      <c r="B253" s="2" t="s">
        <v>3593</v>
      </c>
      <c r="C253" s="2" t="s">
        <v>4096</v>
      </c>
      <c r="D253" s="2" t="s">
        <v>4096</v>
      </c>
      <c r="E253" s="2" t="s">
        <v>3458</v>
      </c>
      <c r="F253" s="7">
        <v>488651.55</v>
      </c>
      <c r="G253" s="13">
        <v>3</v>
      </c>
      <c r="H253" s="15">
        <f t="shared" si="9"/>
        <v>1465954.65</v>
      </c>
      <c r="I253" s="7">
        <f t="shared" si="10"/>
        <v>263871.837</v>
      </c>
      <c r="J253" s="7">
        <f t="shared" si="11"/>
        <v>1729826.487</v>
      </c>
    </row>
    <row r="254" spans="1:10" ht="15" customHeight="1" x14ac:dyDescent="0.3">
      <c r="A254" s="2">
        <v>238</v>
      </c>
      <c r="B254" s="2" t="s">
        <v>1884</v>
      </c>
      <c r="C254" s="2" t="s">
        <v>1885</v>
      </c>
      <c r="D254" s="2" t="s">
        <v>1885</v>
      </c>
      <c r="E254" s="2" t="s">
        <v>3458</v>
      </c>
      <c r="F254" s="7">
        <v>488651.55</v>
      </c>
      <c r="G254" s="13">
        <v>3</v>
      </c>
      <c r="H254" s="15">
        <f t="shared" si="9"/>
        <v>1465954.65</v>
      </c>
      <c r="I254" s="7">
        <f t="shared" si="10"/>
        <v>263871.837</v>
      </c>
      <c r="J254" s="7">
        <f t="shared" si="11"/>
        <v>1729826.487</v>
      </c>
    </row>
    <row r="255" spans="1:10" ht="15" customHeight="1" x14ac:dyDescent="0.3">
      <c r="A255" s="2">
        <v>239</v>
      </c>
      <c r="B255" s="2" t="s">
        <v>2086</v>
      </c>
      <c r="C255" s="2" t="s">
        <v>2087</v>
      </c>
      <c r="D255" s="2" t="s">
        <v>2087</v>
      </c>
      <c r="E255" s="2" t="s">
        <v>3458</v>
      </c>
      <c r="F255" s="7">
        <v>488651.55</v>
      </c>
      <c r="G255" s="13">
        <v>3</v>
      </c>
      <c r="H255" s="15">
        <f t="shared" si="9"/>
        <v>1465954.65</v>
      </c>
      <c r="I255" s="7">
        <f t="shared" si="10"/>
        <v>263871.837</v>
      </c>
      <c r="J255" s="7">
        <f t="shared" si="11"/>
        <v>1729826.487</v>
      </c>
    </row>
    <row r="256" spans="1:10" ht="15" customHeight="1" x14ac:dyDescent="0.3">
      <c r="A256" s="2">
        <v>240</v>
      </c>
      <c r="B256" s="2" t="s">
        <v>3594</v>
      </c>
      <c r="C256" s="2" t="s">
        <v>4097</v>
      </c>
      <c r="D256" s="2" t="s">
        <v>4097</v>
      </c>
      <c r="E256" s="2" t="s">
        <v>3458</v>
      </c>
      <c r="F256" s="7">
        <v>488651.55</v>
      </c>
      <c r="G256" s="13">
        <v>3</v>
      </c>
      <c r="H256" s="15">
        <f t="shared" si="9"/>
        <v>1465954.65</v>
      </c>
      <c r="I256" s="7">
        <f t="shared" si="10"/>
        <v>263871.837</v>
      </c>
      <c r="J256" s="7">
        <f t="shared" si="11"/>
        <v>1729826.487</v>
      </c>
    </row>
    <row r="257" spans="1:10" ht="15" customHeight="1" x14ac:dyDescent="0.3">
      <c r="A257" s="2">
        <v>241</v>
      </c>
      <c r="B257" s="2" t="s">
        <v>3595</v>
      </c>
      <c r="C257" s="2" t="s">
        <v>4098</v>
      </c>
      <c r="D257" s="2" t="s">
        <v>4098</v>
      </c>
      <c r="E257" s="2" t="s">
        <v>3458</v>
      </c>
      <c r="F257" s="7">
        <v>488651.55</v>
      </c>
      <c r="G257" s="13">
        <v>3</v>
      </c>
      <c r="H257" s="15">
        <f t="shared" si="9"/>
        <v>1465954.65</v>
      </c>
      <c r="I257" s="7">
        <f t="shared" si="10"/>
        <v>263871.837</v>
      </c>
      <c r="J257" s="7">
        <f t="shared" si="11"/>
        <v>1729826.487</v>
      </c>
    </row>
    <row r="258" spans="1:10" ht="15" customHeight="1" x14ac:dyDescent="0.3">
      <c r="A258" s="2">
        <v>242</v>
      </c>
      <c r="B258" s="2" t="s">
        <v>1766</v>
      </c>
      <c r="C258" s="2" t="s">
        <v>1767</v>
      </c>
      <c r="D258" s="2" t="s">
        <v>1767</v>
      </c>
      <c r="E258" s="2" t="s">
        <v>3458</v>
      </c>
      <c r="F258" s="7">
        <v>488651.55</v>
      </c>
      <c r="G258" s="13">
        <v>3</v>
      </c>
      <c r="H258" s="15">
        <f t="shared" si="9"/>
        <v>1465954.65</v>
      </c>
      <c r="I258" s="7">
        <f t="shared" si="10"/>
        <v>263871.837</v>
      </c>
      <c r="J258" s="7">
        <f t="shared" si="11"/>
        <v>1729826.487</v>
      </c>
    </row>
    <row r="259" spans="1:10" ht="15" customHeight="1" x14ac:dyDescent="0.3">
      <c r="A259" s="2">
        <v>243</v>
      </c>
      <c r="B259" s="2" t="s">
        <v>1804</v>
      </c>
      <c r="C259" s="2" t="s">
        <v>1805</v>
      </c>
      <c r="D259" s="2" t="s">
        <v>1805</v>
      </c>
      <c r="E259" s="2" t="s">
        <v>3458</v>
      </c>
      <c r="F259" s="7">
        <v>488651.55</v>
      </c>
      <c r="G259" s="13">
        <v>3</v>
      </c>
      <c r="H259" s="15">
        <f t="shared" si="9"/>
        <v>1465954.65</v>
      </c>
      <c r="I259" s="7">
        <f t="shared" si="10"/>
        <v>263871.837</v>
      </c>
      <c r="J259" s="7">
        <f t="shared" si="11"/>
        <v>1729826.487</v>
      </c>
    </row>
    <row r="260" spans="1:10" ht="15" customHeight="1" x14ac:dyDescent="0.3">
      <c r="A260" s="2">
        <v>244</v>
      </c>
      <c r="B260" s="2" t="s">
        <v>1543</v>
      </c>
      <c r="C260" s="2" t="s">
        <v>1544</v>
      </c>
      <c r="D260" s="2" t="s">
        <v>1544</v>
      </c>
      <c r="E260" s="2" t="s">
        <v>3458</v>
      </c>
      <c r="F260" s="7">
        <v>488651.55</v>
      </c>
      <c r="G260" s="13">
        <v>3</v>
      </c>
      <c r="H260" s="15">
        <f t="shared" si="9"/>
        <v>1465954.65</v>
      </c>
      <c r="I260" s="7">
        <f t="shared" si="10"/>
        <v>263871.837</v>
      </c>
      <c r="J260" s="7">
        <f t="shared" si="11"/>
        <v>1729826.487</v>
      </c>
    </row>
    <row r="261" spans="1:10" ht="15" customHeight="1" x14ac:dyDescent="0.3">
      <c r="A261" s="2">
        <v>245</v>
      </c>
      <c r="B261" s="2" t="s">
        <v>3596</v>
      </c>
      <c r="C261" s="2" t="s">
        <v>4099</v>
      </c>
      <c r="D261" s="2" t="s">
        <v>4099</v>
      </c>
      <c r="E261" s="2" t="s">
        <v>3458</v>
      </c>
      <c r="F261" s="7">
        <v>488651.55</v>
      </c>
      <c r="G261" s="13">
        <v>3</v>
      </c>
      <c r="H261" s="15">
        <f t="shared" si="9"/>
        <v>1465954.65</v>
      </c>
      <c r="I261" s="7">
        <f t="shared" si="10"/>
        <v>263871.837</v>
      </c>
      <c r="J261" s="7">
        <f t="shared" si="11"/>
        <v>1729826.487</v>
      </c>
    </row>
    <row r="262" spans="1:10" ht="15" customHeight="1" x14ac:dyDescent="0.3">
      <c r="A262" s="2">
        <v>246</v>
      </c>
      <c r="B262" s="2" t="s">
        <v>1687</v>
      </c>
      <c r="C262" s="2" t="s">
        <v>1688</v>
      </c>
      <c r="D262" s="2" t="s">
        <v>1688</v>
      </c>
      <c r="E262" s="2" t="s">
        <v>3458</v>
      </c>
      <c r="F262" s="7">
        <v>488651.55</v>
      </c>
      <c r="G262" s="13">
        <v>3</v>
      </c>
      <c r="H262" s="15">
        <f t="shared" si="9"/>
        <v>1465954.65</v>
      </c>
      <c r="I262" s="7">
        <f t="shared" si="10"/>
        <v>263871.837</v>
      </c>
      <c r="J262" s="7">
        <f t="shared" si="11"/>
        <v>1729826.487</v>
      </c>
    </row>
    <row r="263" spans="1:10" ht="15" customHeight="1" x14ac:dyDescent="0.3">
      <c r="A263" s="2">
        <v>247</v>
      </c>
      <c r="B263" s="2" t="s">
        <v>1838</v>
      </c>
      <c r="C263" s="2" t="s">
        <v>1839</v>
      </c>
      <c r="D263" s="2" t="s">
        <v>1839</v>
      </c>
      <c r="E263" s="2" t="s">
        <v>3458</v>
      </c>
      <c r="F263" s="7">
        <v>488651.55</v>
      </c>
      <c r="G263" s="13">
        <v>3</v>
      </c>
      <c r="H263" s="15">
        <f t="shared" si="9"/>
        <v>1465954.65</v>
      </c>
      <c r="I263" s="7">
        <f t="shared" si="10"/>
        <v>263871.837</v>
      </c>
      <c r="J263" s="7">
        <f t="shared" si="11"/>
        <v>1729826.487</v>
      </c>
    </row>
    <row r="264" spans="1:10" ht="15" customHeight="1" x14ac:dyDescent="0.3">
      <c r="A264" s="2">
        <v>248</v>
      </c>
      <c r="B264" s="2" t="s">
        <v>1894</v>
      </c>
      <c r="C264" s="2" t="s">
        <v>1895</v>
      </c>
      <c r="D264" s="2" t="s">
        <v>1895</v>
      </c>
      <c r="E264" s="2" t="s">
        <v>3458</v>
      </c>
      <c r="F264" s="7">
        <v>488651.55</v>
      </c>
      <c r="G264" s="13">
        <v>3</v>
      </c>
      <c r="H264" s="15">
        <f t="shared" si="9"/>
        <v>1465954.65</v>
      </c>
      <c r="I264" s="7">
        <f t="shared" si="10"/>
        <v>263871.837</v>
      </c>
      <c r="J264" s="7">
        <f t="shared" si="11"/>
        <v>1729826.487</v>
      </c>
    </row>
    <row r="265" spans="1:10" ht="15" customHeight="1" x14ac:dyDescent="0.3">
      <c r="A265" s="2">
        <v>249</v>
      </c>
      <c r="B265" s="2" t="s">
        <v>1399</v>
      </c>
      <c r="C265" s="2" t="s">
        <v>1400</v>
      </c>
      <c r="D265" s="2" t="s">
        <v>1400</v>
      </c>
      <c r="E265" s="2" t="s">
        <v>3458</v>
      </c>
      <c r="F265" s="7">
        <v>488651.55</v>
      </c>
      <c r="G265" s="13">
        <v>3</v>
      </c>
      <c r="H265" s="15">
        <f t="shared" si="9"/>
        <v>1465954.65</v>
      </c>
      <c r="I265" s="7">
        <f t="shared" si="10"/>
        <v>263871.837</v>
      </c>
      <c r="J265" s="7">
        <f t="shared" si="11"/>
        <v>1729826.487</v>
      </c>
    </row>
    <row r="266" spans="1:10" ht="15" customHeight="1" x14ac:dyDescent="0.3">
      <c r="A266" s="2">
        <v>250</v>
      </c>
      <c r="B266" s="2" t="s">
        <v>3597</v>
      </c>
      <c r="C266" s="2" t="s">
        <v>4100</v>
      </c>
      <c r="D266" s="2" t="s">
        <v>4100</v>
      </c>
      <c r="E266" s="2" t="s">
        <v>3458</v>
      </c>
      <c r="F266" s="7">
        <v>488651.55</v>
      </c>
      <c r="G266" s="13">
        <v>3</v>
      </c>
      <c r="H266" s="15">
        <f t="shared" si="9"/>
        <v>1465954.65</v>
      </c>
      <c r="I266" s="7">
        <f t="shared" si="10"/>
        <v>263871.837</v>
      </c>
      <c r="J266" s="7">
        <f t="shared" si="11"/>
        <v>1729826.487</v>
      </c>
    </row>
    <row r="267" spans="1:10" ht="15" customHeight="1" x14ac:dyDescent="0.3">
      <c r="A267" s="2">
        <v>251</v>
      </c>
      <c r="B267" s="2" t="s">
        <v>1391</v>
      </c>
      <c r="C267" s="2" t="s">
        <v>1392</v>
      </c>
      <c r="D267" s="2" t="s">
        <v>1392</v>
      </c>
      <c r="E267" s="2" t="s">
        <v>3458</v>
      </c>
      <c r="F267" s="7">
        <v>488651.55</v>
      </c>
      <c r="G267" s="13">
        <v>3</v>
      </c>
      <c r="H267" s="15">
        <f t="shared" si="9"/>
        <v>1465954.65</v>
      </c>
      <c r="I267" s="7">
        <f t="shared" si="10"/>
        <v>263871.837</v>
      </c>
      <c r="J267" s="7">
        <f t="shared" si="11"/>
        <v>1729826.487</v>
      </c>
    </row>
    <row r="268" spans="1:10" ht="15" customHeight="1" x14ac:dyDescent="0.3">
      <c r="A268" s="2">
        <v>252</v>
      </c>
      <c r="B268" s="2" t="s">
        <v>3598</v>
      </c>
      <c r="C268" s="2" t="s">
        <v>4101</v>
      </c>
      <c r="D268" s="2" t="s">
        <v>4101</v>
      </c>
      <c r="E268" s="2" t="s">
        <v>3458</v>
      </c>
      <c r="F268" s="7">
        <v>488651.55</v>
      </c>
      <c r="G268" s="13">
        <v>3</v>
      </c>
      <c r="H268" s="15">
        <f t="shared" si="9"/>
        <v>1465954.65</v>
      </c>
      <c r="I268" s="7">
        <f t="shared" si="10"/>
        <v>263871.837</v>
      </c>
      <c r="J268" s="7">
        <f t="shared" si="11"/>
        <v>1729826.487</v>
      </c>
    </row>
    <row r="269" spans="1:10" ht="15" customHeight="1" x14ac:dyDescent="0.3">
      <c r="A269" s="2">
        <v>253</v>
      </c>
      <c r="B269" s="2" t="s">
        <v>2045</v>
      </c>
      <c r="C269" s="2" t="s">
        <v>2046</v>
      </c>
      <c r="D269" s="2" t="s">
        <v>2046</v>
      </c>
      <c r="E269" s="2" t="s">
        <v>3458</v>
      </c>
      <c r="F269" s="7">
        <v>488651.55</v>
      </c>
      <c r="G269" s="13">
        <v>3</v>
      </c>
      <c r="H269" s="15">
        <f t="shared" si="9"/>
        <v>1465954.65</v>
      </c>
      <c r="I269" s="7">
        <f t="shared" si="10"/>
        <v>263871.837</v>
      </c>
      <c r="J269" s="7">
        <f t="shared" si="11"/>
        <v>1729826.487</v>
      </c>
    </row>
    <row r="270" spans="1:10" ht="15" customHeight="1" x14ac:dyDescent="0.3">
      <c r="A270" s="2">
        <v>254</v>
      </c>
      <c r="B270" s="2" t="s">
        <v>3599</v>
      </c>
      <c r="C270" s="2" t="s">
        <v>4102</v>
      </c>
      <c r="D270" s="2" t="s">
        <v>4102</v>
      </c>
      <c r="E270" s="2" t="s">
        <v>3458</v>
      </c>
      <c r="F270" s="7">
        <v>488651.55</v>
      </c>
      <c r="G270" s="13">
        <v>3</v>
      </c>
      <c r="H270" s="15">
        <f t="shared" si="9"/>
        <v>1465954.65</v>
      </c>
      <c r="I270" s="7">
        <f t="shared" si="10"/>
        <v>263871.837</v>
      </c>
      <c r="J270" s="7">
        <f t="shared" si="11"/>
        <v>1729826.487</v>
      </c>
    </row>
    <row r="271" spans="1:10" ht="15" customHeight="1" x14ac:dyDescent="0.3">
      <c r="A271" s="2">
        <v>255</v>
      </c>
      <c r="B271" s="2" t="s">
        <v>1431</v>
      </c>
      <c r="C271" s="2" t="s">
        <v>1432</v>
      </c>
      <c r="D271" s="2" t="s">
        <v>1432</v>
      </c>
      <c r="E271" s="2" t="s">
        <v>3458</v>
      </c>
      <c r="F271" s="7">
        <v>488651.55</v>
      </c>
      <c r="G271" s="13">
        <v>3</v>
      </c>
      <c r="H271" s="15">
        <f t="shared" si="9"/>
        <v>1465954.65</v>
      </c>
      <c r="I271" s="7">
        <f t="shared" si="10"/>
        <v>263871.837</v>
      </c>
      <c r="J271" s="7">
        <f t="shared" si="11"/>
        <v>1729826.487</v>
      </c>
    </row>
    <row r="272" spans="1:10" ht="15" customHeight="1" x14ac:dyDescent="0.3">
      <c r="A272" s="2">
        <v>256</v>
      </c>
      <c r="B272" s="2" t="s">
        <v>2214</v>
      </c>
      <c r="C272" s="2" t="s">
        <v>2215</v>
      </c>
      <c r="D272" s="2" t="s">
        <v>2215</v>
      </c>
      <c r="E272" s="2" t="s">
        <v>3458</v>
      </c>
      <c r="F272" s="7">
        <v>488651.55</v>
      </c>
      <c r="G272" s="13">
        <v>3</v>
      </c>
      <c r="H272" s="15">
        <f t="shared" si="9"/>
        <v>1465954.65</v>
      </c>
      <c r="I272" s="7">
        <f t="shared" si="10"/>
        <v>263871.837</v>
      </c>
      <c r="J272" s="7">
        <f t="shared" si="11"/>
        <v>1729826.487</v>
      </c>
    </row>
    <row r="273" spans="1:10" ht="15" customHeight="1" x14ac:dyDescent="0.3">
      <c r="A273" s="2">
        <v>257</v>
      </c>
      <c r="B273" s="2" t="s">
        <v>2210</v>
      </c>
      <c r="C273" s="2" t="s">
        <v>2211</v>
      </c>
      <c r="D273" s="2" t="s">
        <v>2211</v>
      </c>
      <c r="E273" s="2" t="s">
        <v>3458</v>
      </c>
      <c r="F273" s="7">
        <v>488651.55</v>
      </c>
      <c r="G273" s="13">
        <v>3</v>
      </c>
      <c r="H273" s="15">
        <f t="shared" si="9"/>
        <v>1465954.65</v>
      </c>
      <c r="I273" s="7">
        <f t="shared" si="10"/>
        <v>263871.837</v>
      </c>
      <c r="J273" s="7">
        <f t="shared" si="11"/>
        <v>1729826.487</v>
      </c>
    </row>
    <row r="274" spans="1:10" ht="15" customHeight="1" x14ac:dyDescent="0.3">
      <c r="A274" s="2">
        <v>258</v>
      </c>
      <c r="B274" s="2" t="s">
        <v>1982</v>
      </c>
      <c r="C274" s="2" t="s">
        <v>1983</v>
      </c>
      <c r="D274" s="2" t="s">
        <v>1983</v>
      </c>
      <c r="E274" s="2" t="s">
        <v>3458</v>
      </c>
      <c r="F274" s="7">
        <v>488651.55</v>
      </c>
      <c r="G274" s="13">
        <v>3</v>
      </c>
      <c r="H274" s="15">
        <f t="shared" ref="H274:H337" si="12">+F274*G274</f>
        <v>1465954.65</v>
      </c>
      <c r="I274" s="7">
        <f t="shared" ref="I274:I337" si="13">+H274*0.18</f>
        <v>263871.837</v>
      </c>
      <c r="J274" s="7">
        <f t="shared" ref="J274:J337" si="14">+H274+I274</f>
        <v>1729826.487</v>
      </c>
    </row>
    <row r="275" spans="1:10" ht="15" customHeight="1" x14ac:dyDescent="0.3">
      <c r="A275" s="2">
        <v>259</v>
      </c>
      <c r="B275" s="2" t="s">
        <v>3600</v>
      </c>
      <c r="C275" s="2" t="s">
        <v>1992</v>
      </c>
      <c r="D275" s="2" t="s">
        <v>1992</v>
      </c>
      <c r="E275" s="2" t="s">
        <v>3458</v>
      </c>
      <c r="F275" s="7">
        <v>488651.55</v>
      </c>
      <c r="G275" s="13">
        <v>3</v>
      </c>
      <c r="H275" s="15">
        <f t="shared" si="12"/>
        <v>1465954.65</v>
      </c>
      <c r="I275" s="7">
        <f t="shared" si="13"/>
        <v>263871.837</v>
      </c>
      <c r="J275" s="7">
        <f t="shared" si="14"/>
        <v>1729826.487</v>
      </c>
    </row>
    <row r="276" spans="1:10" ht="15" customHeight="1" x14ac:dyDescent="0.3">
      <c r="A276" s="2">
        <v>260</v>
      </c>
      <c r="B276" s="2" t="s">
        <v>3601</v>
      </c>
      <c r="C276" s="2" t="s">
        <v>1575</v>
      </c>
      <c r="D276" s="2" t="s">
        <v>1575</v>
      </c>
      <c r="E276" s="2" t="s">
        <v>3458</v>
      </c>
      <c r="F276" s="7">
        <v>488651.55</v>
      </c>
      <c r="G276" s="13">
        <v>3</v>
      </c>
      <c r="H276" s="15">
        <f t="shared" si="12"/>
        <v>1465954.65</v>
      </c>
      <c r="I276" s="7">
        <f t="shared" si="13"/>
        <v>263871.837</v>
      </c>
      <c r="J276" s="7">
        <f t="shared" si="14"/>
        <v>1729826.487</v>
      </c>
    </row>
    <row r="277" spans="1:10" ht="15" customHeight="1" x14ac:dyDescent="0.3">
      <c r="A277" s="2">
        <v>261</v>
      </c>
      <c r="B277" s="2" t="s">
        <v>1258</v>
      </c>
      <c r="C277" s="2" t="s">
        <v>1259</v>
      </c>
      <c r="D277" s="2" t="s">
        <v>1259</v>
      </c>
      <c r="E277" s="2" t="s">
        <v>3458</v>
      </c>
      <c r="F277" s="7">
        <v>488651.55</v>
      </c>
      <c r="G277" s="13">
        <v>3</v>
      </c>
      <c r="H277" s="15">
        <f t="shared" si="12"/>
        <v>1465954.65</v>
      </c>
      <c r="I277" s="7">
        <f t="shared" si="13"/>
        <v>263871.837</v>
      </c>
      <c r="J277" s="7">
        <f t="shared" si="14"/>
        <v>1729826.487</v>
      </c>
    </row>
    <row r="278" spans="1:10" ht="15" customHeight="1" x14ac:dyDescent="0.3">
      <c r="A278" s="2">
        <v>262</v>
      </c>
      <c r="B278" s="2" t="s">
        <v>1964</v>
      </c>
      <c r="C278" s="2" t="s">
        <v>1965</v>
      </c>
      <c r="D278" s="2" t="s">
        <v>1965</v>
      </c>
      <c r="E278" s="2" t="s">
        <v>3458</v>
      </c>
      <c r="F278" s="7">
        <v>488651.55</v>
      </c>
      <c r="G278" s="13">
        <v>3</v>
      </c>
      <c r="H278" s="15">
        <f t="shared" si="12"/>
        <v>1465954.65</v>
      </c>
      <c r="I278" s="7">
        <f t="shared" si="13"/>
        <v>263871.837</v>
      </c>
      <c r="J278" s="7">
        <f t="shared" si="14"/>
        <v>1729826.487</v>
      </c>
    </row>
    <row r="279" spans="1:10" ht="15" customHeight="1" x14ac:dyDescent="0.3">
      <c r="A279" s="2">
        <v>263</v>
      </c>
      <c r="B279" s="2" t="s">
        <v>1910</v>
      </c>
      <c r="C279" s="2" t="s">
        <v>1911</v>
      </c>
      <c r="D279" s="2" t="s">
        <v>1911</v>
      </c>
      <c r="E279" s="2" t="s">
        <v>3458</v>
      </c>
      <c r="F279" s="7">
        <v>488651.55</v>
      </c>
      <c r="G279" s="13">
        <v>3</v>
      </c>
      <c r="H279" s="15">
        <f t="shared" si="12"/>
        <v>1465954.65</v>
      </c>
      <c r="I279" s="7">
        <f t="shared" si="13"/>
        <v>263871.837</v>
      </c>
      <c r="J279" s="7">
        <f t="shared" si="14"/>
        <v>1729826.487</v>
      </c>
    </row>
    <row r="280" spans="1:10" ht="15" customHeight="1" x14ac:dyDescent="0.3">
      <c r="A280" s="2">
        <v>264</v>
      </c>
      <c r="B280" s="2" t="s">
        <v>1220</v>
      </c>
      <c r="C280" s="2" t="s">
        <v>1221</v>
      </c>
      <c r="D280" s="2" t="s">
        <v>1221</v>
      </c>
      <c r="E280" s="2" t="s">
        <v>3458</v>
      </c>
      <c r="F280" s="7">
        <v>488651.55</v>
      </c>
      <c r="G280" s="13">
        <v>3</v>
      </c>
      <c r="H280" s="15">
        <f t="shared" si="12"/>
        <v>1465954.65</v>
      </c>
      <c r="I280" s="7">
        <f t="shared" si="13"/>
        <v>263871.837</v>
      </c>
      <c r="J280" s="7">
        <f t="shared" si="14"/>
        <v>1729826.487</v>
      </c>
    </row>
    <row r="281" spans="1:10" ht="15" customHeight="1" x14ac:dyDescent="0.3">
      <c r="A281" s="2">
        <v>265</v>
      </c>
      <c r="B281" s="2" t="s">
        <v>3602</v>
      </c>
      <c r="C281" s="2" t="s">
        <v>2040</v>
      </c>
      <c r="D281" s="2" t="s">
        <v>2040</v>
      </c>
      <c r="E281" s="2" t="s">
        <v>3458</v>
      </c>
      <c r="F281" s="7">
        <v>488651.55</v>
      </c>
      <c r="G281" s="13">
        <v>3</v>
      </c>
      <c r="H281" s="15">
        <f t="shared" si="12"/>
        <v>1465954.65</v>
      </c>
      <c r="I281" s="7">
        <f t="shared" si="13"/>
        <v>263871.837</v>
      </c>
      <c r="J281" s="7">
        <f t="shared" si="14"/>
        <v>1729826.487</v>
      </c>
    </row>
    <row r="282" spans="1:10" ht="15" customHeight="1" x14ac:dyDescent="0.3">
      <c r="A282" s="2">
        <v>266</v>
      </c>
      <c r="B282" s="2" t="s">
        <v>3603</v>
      </c>
      <c r="C282" s="2" t="s">
        <v>4103</v>
      </c>
      <c r="D282" s="2" t="s">
        <v>4103</v>
      </c>
      <c r="E282" s="2" t="s">
        <v>3458</v>
      </c>
      <c r="F282" s="7">
        <v>488651.55</v>
      </c>
      <c r="G282" s="13">
        <v>3</v>
      </c>
      <c r="H282" s="15">
        <f t="shared" si="12"/>
        <v>1465954.65</v>
      </c>
      <c r="I282" s="7">
        <f t="shared" si="13"/>
        <v>263871.837</v>
      </c>
      <c r="J282" s="7">
        <f t="shared" si="14"/>
        <v>1729826.487</v>
      </c>
    </row>
    <row r="283" spans="1:10" ht="15" customHeight="1" x14ac:dyDescent="0.3">
      <c r="A283" s="2">
        <v>267</v>
      </c>
      <c r="B283" s="2" t="s">
        <v>3604</v>
      </c>
      <c r="C283" s="2" t="s">
        <v>4104</v>
      </c>
      <c r="D283" s="2" t="s">
        <v>4104</v>
      </c>
      <c r="E283" s="2" t="s">
        <v>3458</v>
      </c>
      <c r="F283" s="7">
        <v>488651.55</v>
      </c>
      <c r="G283" s="13">
        <v>3</v>
      </c>
      <c r="H283" s="15">
        <f t="shared" si="12"/>
        <v>1465954.65</v>
      </c>
      <c r="I283" s="7">
        <f t="shared" si="13"/>
        <v>263871.837</v>
      </c>
      <c r="J283" s="7">
        <f t="shared" si="14"/>
        <v>1729826.487</v>
      </c>
    </row>
    <row r="284" spans="1:10" ht="15" customHeight="1" x14ac:dyDescent="0.3">
      <c r="A284" s="2">
        <v>268</v>
      </c>
      <c r="B284" s="2" t="s">
        <v>3605</v>
      </c>
      <c r="C284" s="2" t="s">
        <v>4105</v>
      </c>
      <c r="D284" s="2" t="s">
        <v>4105</v>
      </c>
      <c r="E284" s="2" t="s">
        <v>3458</v>
      </c>
      <c r="F284" s="7">
        <v>488651.55</v>
      </c>
      <c r="G284" s="13">
        <v>3</v>
      </c>
      <c r="H284" s="15">
        <f t="shared" si="12"/>
        <v>1465954.65</v>
      </c>
      <c r="I284" s="7">
        <f t="shared" si="13"/>
        <v>263871.837</v>
      </c>
      <c r="J284" s="7">
        <f t="shared" si="14"/>
        <v>1729826.487</v>
      </c>
    </row>
    <row r="285" spans="1:10" ht="15" customHeight="1" x14ac:dyDescent="0.3">
      <c r="A285" s="2">
        <v>269</v>
      </c>
      <c r="B285" s="2" t="s">
        <v>1260</v>
      </c>
      <c r="C285" s="2" t="s">
        <v>1261</v>
      </c>
      <c r="D285" s="2" t="s">
        <v>1261</v>
      </c>
      <c r="E285" s="2" t="s">
        <v>3458</v>
      </c>
      <c r="F285" s="7">
        <v>488651.55</v>
      </c>
      <c r="G285" s="13">
        <v>3</v>
      </c>
      <c r="H285" s="15">
        <f t="shared" si="12"/>
        <v>1465954.65</v>
      </c>
      <c r="I285" s="7">
        <f t="shared" si="13"/>
        <v>263871.837</v>
      </c>
      <c r="J285" s="7">
        <f t="shared" si="14"/>
        <v>1729826.487</v>
      </c>
    </row>
    <row r="286" spans="1:10" ht="15" customHeight="1" x14ac:dyDescent="0.3">
      <c r="A286" s="2">
        <v>270</v>
      </c>
      <c r="B286" s="2" t="s">
        <v>1966</v>
      </c>
      <c r="C286" s="2" t="s">
        <v>1967</v>
      </c>
      <c r="D286" s="2" t="s">
        <v>1967</v>
      </c>
      <c r="E286" s="2" t="s">
        <v>3458</v>
      </c>
      <c r="F286" s="7">
        <v>488651.55</v>
      </c>
      <c r="G286" s="13">
        <v>3</v>
      </c>
      <c r="H286" s="15">
        <f t="shared" si="12"/>
        <v>1465954.65</v>
      </c>
      <c r="I286" s="7">
        <f t="shared" si="13"/>
        <v>263871.837</v>
      </c>
      <c r="J286" s="7">
        <f t="shared" si="14"/>
        <v>1729826.487</v>
      </c>
    </row>
    <row r="287" spans="1:10" ht="15" customHeight="1" x14ac:dyDescent="0.3">
      <c r="A287" s="2">
        <v>271</v>
      </c>
      <c r="B287" s="2" t="s">
        <v>3606</v>
      </c>
      <c r="C287" s="2" t="s">
        <v>4106</v>
      </c>
      <c r="D287" s="2" t="s">
        <v>4106</v>
      </c>
      <c r="E287" s="2" t="s">
        <v>3458</v>
      </c>
      <c r="F287" s="7">
        <v>488651.55</v>
      </c>
      <c r="G287" s="13">
        <v>3</v>
      </c>
      <c r="H287" s="15">
        <f t="shared" si="12"/>
        <v>1465954.65</v>
      </c>
      <c r="I287" s="7">
        <f t="shared" si="13"/>
        <v>263871.837</v>
      </c>
      <c r="J287" s="7">
        <f t="shared" si="14"/>
        <v>1729826.487</v>
      </c>
    </row>
    <row r="288" spans="1:10" ht="15" customHeight="1" x14ac:dyDescent="0.3">
      <c r="A288" s="2">
        <v>272</v>
      </c>
      <c r="B288" s="2" t="s">
        <v>1178</v>
      </c>
      <c r="C288" s="2" t="s">
        <v>1179</v>
      </c>
      <c r="D288" s="2" t="s">
        <v>1179</v>
      </c>
      <c r="E288" s="2" t="s">
        <v>3458</v>
      </c>
      <c r="F288" s="7">
        <v>488651.55</v>
      </c>
      <c r="G288" s="13">
        <v>3</v>
      </c>
      <c r="H288" s="15">
        <f t="shared" si="12"/>
        <v>1465954.65</v>
      </c>
      <c r="I288" s="7">
        <f t="shared" si="13"/>
        <v>263871.837</v>
      </c>
      <c r="J288" s="7">
        <f t="shared" si="14"/>
        <v>1729826.487</v>
      </c>
    </row>
    <row r="289" spans="1:10" ht="15" customHeight="1" x14ac:dyDescent="0.3">
      <c r="A289" s="2">
        <v>273</v>
      </c>
      <c r="B289" s="2" t="s">
        <v>3476</v>
      </c>
      <c r="C289" s="2" t="s">
        <v>4107</v>
      </c>
      <c r="D289" s="2" t="s">
        <v>4107</v>
      </c>
      <c r="E289" s="2" t="s">
        <v>3458</v>
      </c>
      <c r="F289" s="7">
        <v>488651.55</v>
      </c>
      <c r="G289" s="13">
        <v>3</v>
      </c>
      <c r="H289" s="15">
        <f t="shared" si="12"/>
        <v>1465954.65</v>
      </c>
      <c r="I289" s="7">
        <f t="shared" si="13"/>
        <v>263871.837</v>
      </c>
      <c r="J289" s="7">
        <f t="shared" si="14"/>
        <v>1729826.487</v>
      </c>
    </row>
    <row r="290" spans="1:10" ht="15" customHeight="1" x14ac:dyDescent="0.3">
      <c r="A290" s="2">
        <v>274</v>
      </c>
      <c r="B290" s="2" t="s">
        <v>3607</v>
      </c>
      <c r="C290" s="2" t="s">
        <v>4108</v>
      </c>
      <c r="D290" s="2" t="s">
        <v>4108</v>
      </c>
      <c r="E290" s="2" t="s">
        <v>3458</v>
      </c>
      <c r="F290" s="7">
        <v>488651.55</v>
      </c>
      <c r="G290" s="13">
        <v>3</v>
      </c>
      <c r="H290" s="15">
        <f t="shared" si="12"/>
        <v>1465954.65</v>
      </c>
      <c r="I290" s="7">
        <f t="shared" si="13"/>
        <v>263871.837</v>
      </c>
      <c r="J290" s="7">
        <f t="shared" si="14"/>
        <v>1729826.487</v>
      </c>
    </row>
    <row r="291" spans="1:10" ht="15" customHeight="1" x14ac:dyDescent="0.3">
      <c r="A291" s="2">
        <v>275</v>
      </c>
      <c r="B291" s="2" t="s">
        <v>3608</v>
      </c>
      <c r="C291" s="2" t="s">
        <v>2151</v>
      </c>
      <c r="D291" s="2" t="s">
        <v>2151</v>
      </c>
      <c r="E291" s="2" t="s">
        <v>3458</v>
      </c>
      <c r="F291" s="7">
        <v>488651.55</v>
      </c>
      <c r="G291" s="13">
        <v>3</v>
      </c>
      <c r="H291" s="15">
        <f t="shared" si="12"/>
        <v>1465954.65</v>
      </c>
      <c r="I291" s="7">
        <f t="shared" si="13"/>
        <v>263871.837</v>
      </c>
      <c r="J291" s="7">
        <f t="shared" si="14"/>
        <v>1729826.487</v>
      </c>
    </row>
    <row r="292" spans="1:10" ht="15" customHeight="1" x14ac:dyDescent="0.3">
      <c r="A292" s="2">
        <v>276</v>
      </c>
      <c r="B292" s="2" t="s">
        <v>1912</v>
      </c>
      <c r="C292" s="2" t="s">
        <v>1913</v>
      </c>
      <c r="D292" s="2" t="s">
        <v>1913</v>
      </c>
      <c r="E292" s="2" t="s">
        <v>3458</v>
      </c>
      <c r="F292" s="7">
        <v>488651.55</v>
      </c>
      <c r="G292" s="13">
        <v>3</v>
      </c>
      <c r="H292" s="15">
        <f t="shared" si="12"/>
        <v>1465954.65</v>
      </c>
      <c r="I292" s="7">
        <f t="shared" si="13"/>
        <v>263871.837</v>
      </c>
      <c r="J292" s="7">
        <f t="shared" si="14"/>
        <v>1729826.487</v>
      </c>
    </row>
    <row r="293" spans="1:10" ht="15" customHeight="1" x14ac:dyDescent="0.3">
      <c r="A293" s="2">
        <v>277</v>
      </c>
      <c r="B293" s="2" t="s">
        <v>1756</v>
      </c>
      <c r="C293" s="2" t="s">
        <v>1757</v>
      </c>
      <c r="D293" s="2" t="s">
        <v>1757</v>
      </c>
      <c r="E293" s="2" t="s">
        <v>3458</v>
      </c>
      <c r="F293" s="7">
        <v>488651.55</v>
      </c>
      <c r="G293" s="13">
        <v>3</v>
      </c>
      <c r="H293" s="15">
        <f t="shared" si="12"/>
        <v>1465954.65</v>
      </c>
      <c r="I293" s="7">
        <f t="shared" si="13"/>
        <v>263871.837</v>
      </c>
      <c r="J293" s="7">
        <f t="shared" si="14"/>
        <v>1729826.487</v>
      </c>
    </row>
    <row r="294" spans="1:10" ht="15" customHeight="1" x14ac:dyDescent="0.3">
      <c r="A294" s="2">
        <v>278</v>
      </c>
      <c r="B294" s="2" t="s">
        <v>1305</v>
      </c>
      <c r="C294" s="2" t="s">
        <v>1306</v>
      </c>
      <c r="D294" s="2" t="s">
        <v>1306</v>
      </c>
      <c r="E294" s="2" t="s">
        <v>3458</v>
      </c>
      <c r="F294" s="7">
        <v>488651.55</v>
      </c>
      <c r="G294" s="13">
        <v>3</v>
      </c>
      <c r="H294" s="15">
        <f t="shared" si="12"/>
        <v>1465954.65</v>
      </c>
      <c r="I294" s="7">
        <f t="shared" si="13"/>
        <v>263871.837</v>
      </c>
      <c r="J294" s="7">
        <f t="shared" si="14"/>
        <v>1729826.487</v>
      </c>
    </row>
    <row r="295" spans="1:10" ht="15" customHeight="1" x14ac:dyDescent="0.3">
      <c r="A295" s="2">
        <v>279</v>
      </c>
      <c r="B295" s="2" t="s">
        <v>1621</v>
      </c>
      <c r="C295" s="2" t="s">
        <v>1622</v>
      </c>
      <c r="D295" s="2" t="s">
        <v>1622</v>
      </c>
      <c r="E295" s="2" t="s">
        <v>3458</v>
      </c>
      <c r="F295" s="7">
        <v>488651.55</v>
      </c>
      <c r="G295" s="13">
        <v>3</v>
      </c>
      <c r="H295" s="15">
        <f t="shared" si="12"/>
        <v>1465954.65</v>
      </c>
      <c r="I295" s="7">
        <f t="shared" si="13"/>
        <v>263871.837</v>
      </c>
      <c r="J295" s="7">
        <f t="shared" si="14"/>
        <v>1729826.487</v>
      </c>
    </row>
    <row r="296" spans="1:10" ht="15" customHeight="1" x14ac:dyDescent="0.3">
      <c r="A296" s="2">
        <v>280</v>
      </c>
      <c r="B296" s="2" t="s">
        <v>1573</v>
      </c>
      <c r="C296" s="2" t="s">
        <v>1574</v>
      </c>
      <c r="D296" s="2" t="s">
        <v>1574</v>
      </c>
      <c r="E296" s="2" t="s">
        <v>3458</v>
      </c>
      <c r="F296" s="7">
        <v>488651.55</v>
      </c>
      <c r="G296" s="13">
        <v>3</v>
      </c>
      <c r="H296" s="15">
        <f t="shared" si="12"/>
        <v>1465954.65</v>
      </c>
      <c r="I296" s="7">
        <f t="shared" si="13"/>
        <v>263871.837</v>
      </c>
      <c r="J296" s="7">
        <f t="shared" si="14"/>
        <v>1729826.487</v>
      </c>
    </row>
    <row r="297" spans="1:10" ht="15" customHeight="1" x14ac:dyDescent="0.3">
      <c r="A297" s="2">
        <v>281</v>
      </c>
      <c r="B297" s="2" t="s">
        <v>3609</v>
      </c>
      <c r="C297" s="2" t="s">
        <v>4109</v>
      </c>
      <c r="D297" s="2" t="s">
        <v>4109</v>
      </c>
      <c r="E297" s="2" t="s">
        <v>3458</v>
      </c>
      <c r="F297" s="7">
        <v>488651.55</v>
      </c>
      <c r="G297" s="13">
        <v>3</v>
      </c>
      <c r="H297" s="15">
        <f t="shared" si="12"/>
        <v>1465954.65</v>
      </c>
      <c r="I297" s="7">
        <f t="shared" si="13"/>
        <v>263871.837</v>
      </c>
      <c r="J297" s="7">
        <f t="shared" si="14"/>
        <v>1729826.487</v>
      </c>
    </row>
    <row r="298" spans="1:10" ht="15" customHeight="1" x14ac:dyDescent="0.3">
      <c r="A298" s="2">
        <v>282</v>
      </c>
      <c r="B298" s="2" t="s">
        <v>1742</v>
      </c>
      <c r="C298" s="2" t="s">
        <v>1743</v>
      </c>
      <c r="D298" s="2" t="s">
        <v>1743</v>
      </c>
      <c r="E298" s="2" t="s">
        <v>3458</v>
      </c>
      <c r="F298" s="7">
        <v>488651.55</v>
      </c>
      <c r="G298" s="13">
        <v>3</v>
      </c>
      <c r="H298" s="15">
        <f t="shared" si="12"/>
        <v>1465954.65</v>
      </c>
      <c r="I298" s="7">
        <f t="shared" si="13"/>
        <v>263871.837</v>
      </c>
      <c r="J298" s="7">
        <f t="shared" si="14"/>
        <v>1729826.487</v>
      </c>
    </row>
    <row r="299" spans="1:10" ht="15" customHeight="1" x14ac:dyDescent="0.3">
      <c r="A299" s="2">
        <v>283</v>
      </c>
      <c r="B299" s="2" t="s">
        <v>3610</v>
      </c>
      <c r="C299" s="2" t="s">
        <v>4110</v>
      </c>
      <c r="D299" s="2" t="s">
        <v>4110</v>
      </c>
      <c r="E299" s="2" t="s">
        <v>3458</v>
      </c>
      <c r="F299" s="7">
        <v>488651.55</v>
      </c>
      <c r="G299" s="13">
        <v>3</v>
      </c>
      <c r="H299" s="15">
        <f t="shared" si="12"/>
        <v>1465954.65</v>
      </c>
      <c r="I299" s="7">
        <f t="shared" si="13"/>
        <v>263871.837</v>
      </c>
      <c r="J299" s="7">
        <f t="shared" si="14"/>
        <v>1729826.487</v>
      </c>
    </row>
    <row r="300" spans="1:10" ht="15" customHeight="1" x14ac:dyDescent="0.3">
      <c r="A300" s="2">
        <v>284</v>
      </c>
      <c r="B300" s="2" t="s">
        <v>1389</v>
      </c>
      <c r="C300" s="2" t="s">
        <v>1390</v>
      </c>
      <c r="D300" s="2" t="s">
        <v>1390</v>
      </c>
      <c r="E300" s="2" t="s">
        <v>3458</v>
      </c>
      <c r="F300" s="7">
        <v>488651.55</v>
      </c>
      <c r="G300" s="13">
        <v>3</v>
      </c>
      <c r="H300" s="15">
        <f t="shared" si="12"/>
        <v>1465954.65</v>
      </c>
      <c r="I300" s="7">
        <f t="shared" si="13"/>
        <v>263871.837</v>
      </c>
      <c r="J300" s="7">
        <f t="shared" si="14"/>
        <v>1729826.487</v>
      </c>
    </row>
    <row r="301" spans="1:10" ht="15" customHeight="1" x14ac:dyDescent="0.3">
      <c r="A301" s="2">
        <v>285</v>
      </c>
      <c r="B301" s="2" t="s">
        <v>3611</v>
      </c>
      <c r="C301" s="2" t="s">
        <v>4111</v>
      </c>
      <c r="D301" s="2" t="s">
        <v>4111</v>
      </c>
      <c r="E301" s="2" t="s">
        <v>3458</v>
      </c>
      <c r="F301" s="7">
        <v>488651.55</v>
      </c>
      <c r="G301" s="13">
        <v>3</v>
      </c>
      <c r="H301" s="15">
        <f t="shared" si="12"/>
        <v>1465954.65</v>
      </c>
      <c r="I301" s="7">
        <f t="shared" si="13"/>
        <v>263871.837</v>
      </c>
      <c r="J301" s="7">
        <f t="shared" si="14"/>
        <v>1729826.487</v>
      </c>
    </row>
    <row r="302" spans="1:10" ht="15" customHeight="1" x14ac:dyDescent="0.3">
      <c r="A302" s="2">
        <v>286</v>
      </c>
      <c r="B302" s="2" t="s">
        <v>3612</v>
      </c>
      <c r="C302" s="2" t="s">
        <v>4112</v>
      </c>
      <c r="D302" s="2" t="s">
        <v>4112</v>
      </c>
      <c r="E302" s="2" t="s">
        <v>3458</v>
      </c>
      <c r="F302" s="7">
        <v>488651.55</v>
      </c>
      <c r="G302" s="13">
        <v>3</v>
      </c>
      <c r="H302" s="15">
        <f t="shared" si="12"/>
        <v>1465954.65</v>
      </c>
      <c r="I302" s="7">
        <f t="shared" si="13"/>
        <v>263871.837</v>
      </c>
      <c r="J302" s="7">
        <f t="shared" si="14"/>
        <v>1729826.487</v>
      </c>
    </row>
    <row r="303" spans="1:10" ht="15" customHeight="1" x14ac:dyDescent="0.3">
      <c r="A303" s="2">
        <v>287</v>
      </c>
      <c r="B303" s="2" t="s">
        <v>2201</v>
      </c>
      <c r="C303" s="2" t="s">
        <v>2202</v>
      </c>
      <c r="D303" s="2" t="s">
        <v>2202</v>
      </c>
      <c r="E303" s="2" t="s">
        <v>3458</v>
      </c>
      <c r="F303" s="7">
        <v>488651.55</v>
      </c>
      <c r="G303" s="13">
        <v>3</v>
      </c>
      <c r="H303" s="15">
        <f t="shared" si="12"/>
        <v>1465954.65</v>
      </c>
      <c r="I303" s="7">
        <f t="shared" si="13"/>
        <v>263871.837</v>
      </c>
      <c r="J303" s="7">
        <f t="shared" si="14"/>
        <v>1729826.487</v>
      </c>
    </row>
    <row r="304" spans="1:10" ht="15" customHeight="1" x14ac:dyDescent="0.3">
      <c r="A304" s="2">
        <v>288</v>
      </c>
      <c r="B304" s="2" t="s">
        <v>3613</v>
      </c>
      <c r="C304" s="2" t="s">
        <v>1451</v>
      </c>
      <c r="D304" s="2" t="s">
        <v>1451</v>
      </c>
      <c r="E304" s="2" t="s">
        <v>3458</v>
      </c>
      <c r="F304" s="7">
        <v>488651.55</v>
      </c>
      <c r="G304" s="13">
        <v>3</v>
      </c>
      <c r="H304" s="15">
        <f t="shared" si="12"/>
        <v>1465954.65</v>
      </c>
      <c r="I304" s="7">
        <f t="shared" si="13"/>
        <v>263871.837</v>
      </c>
      <c r="J304" s="7">
        <f t="shared" si="14"/>
        <v>1729826.487</v>
      </c>
    </row>
    <row r="305" spans="1:10" ht="15" customHeight="1" x14ac:dyDescent="0.3">
      <c r="A305" s="2">
        <v>289</v>
      </c>
      <c r="B305" s="2" t="s">
        <v>3477</v>
      </c>
      <c r="C305" s="2" t="s">
        <v>3491</v>
      </c>
      <c r="D305" s="2" t="s">
        <v>3491</v>
      </c>
      <c r="E305" s="2" t="s">
        <v>3458</v>
      </c>
      <c r="F305" s="7">
        <v>488651.55</v>
      </c>
      <c r="G305" s="13">
        <v>3</v>
      </c>
      <c r="H305" s="15">
        <f t="shared" si="12"/>
        <v>1465954.65</v>
      </c>
      <c r="I305" s="7">
        <f t="shared" si="13"/>
        <v>263871.837</v>
      </c>
      <c r="J305" s="7">
        <f t="shared" si="14"/>
        <v>1729826.487</v>
      </c>
    </row>
    <row r="306" spans="1:10" ht="15" customHeight="1" x14ac:dyDescent="0.3">
      <c r="A306" s="2">
        <v>290</v>
      </c>
      <c r="B306" s="2" t="s">
        <v>3614</v>
      </c>
      <c r="C306" s="2" t="s">
        <v>4113</v>
      </c>
      <c r="D306" s="2" t="s">
        <v>4113</v>
      </c>
      <c r="E306" s="2" t="s">
        <v>3458</v>
      </c>
      <c r="F306" s="7">
        <v>488651.55</v>
      </c>
      <c r="G306" s="13">
        <v>3</v>
      </c>
      <c r="H306" s="15">
        <f t="shared" si="12"/>
        <v>1465954.65</v>
      </c>
      <c r="I306" s="7">
        <f t="shared" si="13"/>
        <v>263871.837</v>
      </c>
      <c r="J306" s="7">
        <f t="shared" si="14"/>
        <v>1729826.487</v>
      </c>
    </row>
    <row r="307" spans="1:10" ht="15" customHeight="1" x14ac:dyDescent="0.3">
      <c r="A307" s="2">
        <v>291</v>
      </c>
      <c r="B307" s="2" t="s">
        <v>1228</v>
      </c>
      <c r="C307" s="2" t="s">
        <v>1229</v>
      </c>
      <c r="D307" s="2" t="s">
        <v>1229</v>
      </c>
      <c r="E307" s="2" t="s">
        <v>3458</v>
      </c>
      <c r="F307" s="7">
        <v>488651.55</v>
      </c>
      <c r="G307" s="13">
        <v>3</v>
      </c>
      <c r="H307" s="15">
        <f t="shared" si="12"/>
        <v>1465954.65</v>
      </c>
      <c r="I307" s="7">
        <f t="shared" si="13"/>
        <v>263871.837</v>
      </c>
      <c r="J307" s="7">
        <f t="shared" si="14"/>
        <v>1729826.487</v>
      </c>
    </row>
    <row r="308" spans="1:10" ht="15" customHeight="1" x14ac:dyDescent="0.3">
      <c r="A308" s="2">
        <v>292</v>
      </c>
      <c r="B308" s="2" t="s">
        <v>1236</v>
      </c>
      <c r="C308" s="2" t="s">
        <v>1237</v>
      </c>
      <c r="D308" s="2" t="s">
        <v>1237</v>
      </c>
      <c r="E308" s="2" t="s">
        <v>3458</v>
      </c>
      <c r="F308" s="7">
        <v>488651.55</v>
      </c>
      <c r="G308" s="13">
        <v>3</v>
      </c>
      <c r="H308" s="15">
        <f t="shared" si="12"/>
        <v>1465954.65</v>
      </c>
      <c r="I308" s="7">
        <f t="shared" si="13"/>
        <v>263871.837</v>
      </c>
      <c r="J308" s="7">
        <f t="shared" si="14"/>
        <v>1729826.487</v>
      </c>
    </row>
    <row r="309" spans="1:10" ht="15" customHeight="1" x14ac:dyDescent="0.3">
      <c r="A309" s="2">
        <v>293</v>
      </c>
      <c r="B309" s="2" t="s">
        <v>1192</v>
      </c>
      <c r="C309" s="2" t="s">
        <v>1193</v>
      </c>
      <c r="D309" s="2" t="s">
        <v>1193</v>
      </c>
      <c r="E309" s="2" t="s">
        <v>3458</v>
      </c>
      <c r="F309" s="7">
        <v>488651.55</v>
      </c>
      <c r="G309" s="13">
        <v>3</v>
      </c>
      <c r="H309" s="15">
        <f t="shared" si="12"/>
        <v>1465954.65</v>
      </c>
      <c r="I309" s="7">
        <f t="shared" si="13"/>
        <v>263871.837</v>
      </c>
      <c r="J309" s="7">
        <f t="shared" si="14"/>
        <v>1729826.487</v>
      </c>
    </row>
    <row r="310" spans="1:10" ht="15" customHeight="1" x14ac:dyDescent="0.3">
      <c r="A310" s="2">
        <v>294</v>
      </c>
      <c r="B310" s="2" t="s">
        <v>1856</v>
      </c>
      <c r="C310" s="2" t="s">
        <v>1857</v>
      </c>
      <c r="D310" s="2" t="s">
        <v>1857</v>
      </c>
      <c r="E310" s="2" t="s">
        <v>3458</v>
      </c>
      <c r="F310" s="7">
        <v>488651.55</v>
      </c>
      <c r="G310" s="13">
        <v>3</v>
      </c>
      <c r="H310" s="15">
        <f t="shared" si="12"/>
        <v>1465954.65</v>
      </c>
      <c r="I310" s="7">
        <f t="shared" si="13"/>
        <v>263871.837</v>
      </c>
      <c r="J310" s="7">
        <f t="shared" si="14"/>
        <v>1729826.487</v>
      </c>
    </row>
    <row r="311" spans="1:10" ht="15" customHeight="1" x14ac:dyDescent="0.3">
      <c r="A311" s="2">
        <v>295</v>
      </c>
      <c r="B311" s="2" t="s">
        <v>1341</v>
      </c>
      <c r="C311" s="2" t="s">
        <v>1342</v>
      </c>
      <c r="D311" s="2" t="s">
        <v>1342</v>
      </c>
      <c r="E311" s="2" t="s">
        <v>3458</v>
      </c>
      <c r="F311" s="7">
        <v>488651.55</v>
      </c>
      <c r="G311" s="13">
        <v>3</v>
      </c>
      <c r="H311" s="15">
        <f t="shared" si="12"/>
        <v>1465954.65</v>
      </c>
      <c r="I311" s="7">
        <f t="shared" si="13"/>
        <v>263871.837</v>
      </c>
      <c r="J311" s="7">
        <f t="shared" si="14"/>
        <v>1729826.487</v>
      </c>
    </row>
    <row r="312" spans="1:10" ht="15" customHeight="1" x14ac:dyDescent="0.3">
      <c r="A312" s="2">
        <v>296</v>
      </c>
      <c r="B312" s="2" t="s">
        <v>1740</v>
      </c>
      <c r="C312" s="2" t="s">
        <v>1741</v>
      </c>
      <c r="D312" s="2" t="s">
        <v>1741</v>
      </c>
      <c r="E312" s="2" t="s">
        <v>3458</v>
      </c>
      <c r="F312" s="7">
        <v>488651.55</v>
      </c>
      <c r="G312" s="13">
        <v>3</v>
      </c>
      <c r="H312" s="15">
        <f t="shared" si="12"/>
        <v>1465954.65</v>
      </c>
      <c r="I312" s="7">
        <f t="shared" si="13"/>
        <v>263871.837</v>
      </c>
      <c r="J312" s="7">
        <f t="shared" si="14"/>
        <v>1729826.487</v>
      </c>
    </row>
    <row r="313" spans="1:10" ht="15" customHeight="1" x14ac:dyDescent="0.3">
      <c r="A313" s="2">
        <v>297</v>
      </c>
      <c r="B313" s="2" t="s">
        <v>1441</v>
      </c>
      <c r="C313" s="2" t="s">
        <v>1442</v>
      </c>
      <c r="D313" s="2" t="s">
        <v>1442</v>
      </c>
      <c r="E313" s="2" t="s">
        <v>3458</v>
      </c>
      <c r="F313" s="7">
        <v>488651.55</v>
      </c>
      <c r="G313" s="13">
        <v>3</v>
      </c>
      <c r="H313" s="15">
        <f t="shared" si="12"/>
        <v>1465954.65</v>
      </c>
      <c r="I313" s="7">
        <f t="shared" si="13"/>
        <v>263871.837</v>
      </c>
      <c r="J313" s="7">
        <f t="shared" si="14"/>
        <v>1729826.487</v>
      </c>
    </row>
    <row r="314" spans="1:10" ht="15" customHeight="1" x14ac:dyDescent="0.3">
      <c r="A314" s="2">
        <v>298</v>
      </c>
      <c r="B314" s="2" t="s">
        <v>3615</v>
      </c>
      <c r="C314" s="2" t="s">
        <v>4114</v>
      </c>
      <c r="D314" s="2" t="s">
        <v>4114</v>
      </c>
      <c r="E314" s="2" t="s">
        <v>3458</v>
      </c>
      <c r="F314" s="7">
        <v>488651.55</v>
      </c>
      <c r="G314" s="13">
        <v>3</v>
      </c>
      <c r="H314" s="15">
        <f t="shared" si="12"/>
        <v>1465954.65</v>
      </c>
      <c r="I314" s="7">
        <f t="shared" si="13"/>
        <v>263871.837</v>
      </c>
      <c r="J314" s="7">
        <f t="shared" si="14"/>
        <v>1729826.487</v>
      </c>
    </row>
    <row r="315" spans="1:10" ht="15" customHeight="1" x14ac:dyDescent="0.3">
      <c r="A315" s="2">
        <v>299</v>
      </c>
      <c r="B315" s="2" t="s">
        <v>3616</v>
      </c>
      <c r="C315" s="2" t="s">
        <v>4115</v>
      </c>
      <c r="D315" s="2" t="s">
        <v>4115</v>
      </c>
      <c r="E315" s="2" t="s">
        <v>3458</v>
      </c>
      <c r="F315" s="7">
        <v>488651.55</v>
      </c>
      <c r="G315" s="13">
        <v>3</v>
      </c>
      <c r="H315" s="15">
        <f t="shared" si="12"/>
        <v>1465954.65</v>
      </c>
      <c r="I315" s="7">
        <f t="shared" si="13"/>
        <v>263871.837</v>
      </c>
      <c r="J315" s="7">
        <f t="shared" si="14"/>
        <v>1729826.487</v>
      </c>
    </row>
    <row r="316" spans="1:10" ht="15" customHeight="1" x14ac:dyDescent="0.3">
      <c r="A316" s="2">
        <v>300</v>
      </c>
      <c r="B316" s="2" t="s">
        <v>3617</v>
      </c>
      <c r="C316" s="2" t="s">
        <v>4116</v>
      </c>
      <c r="D316" s="2" t="s">
        <v>4116</v>
      </c>
      <c r="E316" s="2" t="s">
        <v>3458</v>
      </c>
      <c r="F316" s="7">
        <v>488651.55</v>
      </c>
      <c r="G316" s="13">
        <v>3</v>
      </c>
      <c r="H316" s="15">
        <f t="shared" si="12"/>
        <v>1465954.65</v>
      </c>
      <c r="I316" s="7">
        <f t="shared" si="13"/>
        <v>263871.837</v>
      </c>
      <c r="J316" s="7">
        <f t="shared" si="14"/>
        <v>1729826.487</v>
      </c>
    </row>
    <row r="317" spans="1:10" ht="15" customHeight="1" x14ac:dyDescent="0.3">
      <c r="A317" s="2">
        <v>301</v>
      </c>
      <c r="B317" s="2" t="s">
        <v>1858</v>
      </c>
      <c r="C317" s="2" t="s">
        <v>1859</v>
      </c>
      <c r="D317" s="2" t="s">
        <v>1859</v>
      </c>
      <c r="E317" s="2" t="s">
        <v>3458</v>
      </c>
      <c r="F317" s="7">
        <v>488651.55</v>
      </c>
      <c r="G317" s="13">
        <v>3</v>
      </c>
      <c r="H317" s="15">
        <f t="shared" si="12"/>
        <v>1465954.65</v>
      </c>
      <c r="I317" s="7">
        <f t="shared" si="13"/>
        <v>263871.837</v>
      </c>
      <c r="J317" s="7">
        <f t="shared" si="14"/>
        <v>1729826.487</v>
      </c>
    </row>
    <row r="318" spans="1:10" ht="15" customHeight="1" x14ac:dyDescent="0.3">
      <c r="A318" s="2">
        <v>302</v>
      </c>
      <c r="B318" s="2" t="s">
        <v>1150</v>
      </c>
      <c r="C318" s="2" t="s">
        <v>1151</v>
      </c>
      <c r="D318" s="2" t="s">
        <v>1151</v>
      </c>
      <c r="E318" s="2" t="s">
        <v>3458</v>
      </c>
      <c r="F318" s="7">
        <v>488651.55</v>
      </c>
      <c r="G318" s="13">
        <v>3</v>
      </c>
      <c r="H318" s="15">
        <f t="shared" si="12"/>
        <v>1465954.65</v>
      </c>
      <c r="I318" s="7">
        <f t="shared" si="13"/>
        <v>263871.837</v>
      </c>
      <c r="J318" s="7">
        <f t="shared" si="14"/>
        <v>1729826.487</v>
      </c>
    </row>
    <row r="319" spans="1:10" ht="15" customHeight="1" x14ac:dyDescent="0.3">
      <c r="A319" s="2">
        <v>303</v>
      </c>
      <c r="B319" s="2" t="s">
        <v>3618</v>
      </c>
      <c r="C319" s="2" t="s">
        <v>4117</v>
      </c>
      <c r="D319" s="2" t="s">
        <v>4117</v>
      </c>
      <c r="E319" s="2" t="s">
        <v>3458</v>
      </c>
      <c r="F319" s="7">
        <v>488651.55</v>
      </c>
      <c r="G319" s="13">
        <v>3</v>
      </c>
      <c r="H319" s="15">
        <f t="shared" si="12"/>
        <v>1465954.65</v>
      </c>
      <c r="I319" s="7">
        <f t="shared" si="13"/>
        <v>263871.837</v>
      </c>
      <c r="J319" s="7">
        <f t="shared" si="14"/>
        <v>1729826.487</v>
      </c>
    </row>
    <row r="320" spans="1:10" ht="15" customHeight="1" x14ac:dyDescent="0.3">
      <c r="A320" s="2">
        <v>304</v>
      </c>
      <c r="B320" s="2" t="s">
        <v>3619</v>
      </c>
      <c r="C320" s="2" t="s">
        <v>4118</v>
      </c>
      <c r="D320" s="2" t="s">
        <v>4118</v>
      </c>
      <c r="E320" s="2" t="s">
        <v>3458</v>
      </c>
      <c r="F320" s="7">
        <v>488651.55</v>
      </c>
      <c r="G320" s="13">
        <v>3</v>
      </c>
      <c r="H320" s="15">
        <f t="shared" si="12"/>
        <v>1465954.65</v>
      </c>
      <c r="I320" s="7">
        <f t="shared" si="13"/>
        <v>263871.837</v>
      </c>
      <c r="J320" s="7">
        <f t="shared" si="14"/>
        <v>1729826.487</v>
      </c>
    </row>
    <row r="321" spans="1:10" ht="15" customHeight="1" x14ac:dyDescent="0.3">
      <c r="A321" s="2">
        <v>305</v>
      </c>
      <c r="B321" s="2" t="s">
        <v>1166</v>
      </c>
      <c r="C321" s="2" t="s">
        <v>1167</v>
      </c>
      <c r="D321" s="2" t="s">
        <v>1167</v>
      </c>
      <c r="E321" s="2" t="s">
        <v>3458</v>
      </c>
      <c r="F321" s="7">
        <v>488651.55</v>
      </c>
      <c r="G321" s="13">
        <v>3</v>
      </c>
      <c r="H321" s="15">
        <f t="shared" si="12"/>
        <v>1465954.65</v>
      </c>
      <c r="I321" s="7">
        <f t="shared" si="13"/>
        <v>263871.837</v>
      </c>
      <c r="J321" s="7">
        <f t="shared" si="14"/>
        <v>1729826.487</v>
      </c>
    </row>
    <row r="322" spans="1:10" ht="15" customHeight="1" x14ac:dyDescent="0.3">
      <c r="A322" s="2">
        <v>306</v>
      </c>
      <c r="B322" s="2" t="s">
        <v>1661</v>
      </c>
      <c r="C322" s="2" t="s">
        <v>1662</v>
      </c>
      <c r="D322" s="2" t="s">
        <v>1662</v>
      </c>
      <c r="E322" s="2" t="s">
        <v>3458</v>
      </c>
      <c r="F322" s="7">
        <v>488651.55</v>
      </c>
      <c r="G322" s="13">
        <v>3</v>
      </c>
      <c r="H322" s="15">
        <f t="shared" si="12"/>
        <v>1465954.65</v>
      </c>
      <c r="I322" s="7">
        <f t="shared" si="13"/>
        <v>263871.837</v>
      </c>
      <c r="J322" s="7">
        <f t="shared" si="14"/>
        <v>1729826.487</v>
      </c>
    </row>
    <row r="323" spans="1:10" ht="15" customHeight="1" x14ac:dyDescent="0.3">
      <c r="A323" s="2">
        <v>307</v>
      </c>
      <c r="B323" s="2" t="s">
        <v>1321</v>
      </c>
      <c r="C323" s="2" t="s">
        <v>1322</v>
      </c>
      <c r="D323" s="2" t="s">
        <v>1322</v>
      </c>
      <c r="E323" s="2" t="s">
        <v>3458</v>
      </c>
      <c r="F323" s="7">
        <v>488651.55</v>
      </c>
      <c r="G323" s="13">
        <v>3</v>
      </c>
      <c r="H323" s="15">
        <f t="shared" si="12"/>
        <v>1465954.65</v>
      </c>
      <c r="I323" s="7">
        <f t="shared" si="13"/>
        <v>263871.837</v>
      </c>
      <c r="J323" s="7">
        <f t="shared" si="14"/>
        <v>1729826.487</v>
      </c>
    </row>
    <row r="324" spans="1:10" ht="15" customHeight="1" x14ac:dyDescent="0.3">
      <c r="A324" s="2">
        <v>308</v>
      </c>
      <c r="B324" s="2" t="s">
        <v>3620</v>
      </c>
      <c r="C324" s="2" t="s">
        <v>4119</v>
      </c>
      <c r="D324" s="2" t="s">
        <v>4119</v>
      </c>
      <c r="E324" s="2" t="s">
        <v>3458</v>
      </c>
      <c r="F324" s="7">
        <v>488651.55</v>
      </c>
      <c r="G324" s="13">
        <v>3</v>
      </c>
      <c r="H324" s="15">
        <f t="shared" si="12"/>
        <v>1465954.65</v>
      </c>
      <c r="I324" s="7">
        <f t="shared" si="13"/>
        <v>263871.837</v>
      </c>
      <c r="J324" s="7">
        <f t="shared" si="14"/>
        <v>1729826.487</v>
      </c>
    </row>
    <row r="325" spans="1:10" ht="15" customHeight="1" x14ac:dyDescent="0.3">
      <c r="A325" s="2">
        <v>309</v>
      </c>
      <c r="B325" s="2" t="s">
        <v>1174</v>
      </c>
      <c r="C325" s="2" t="s">
        <v>1175</v>
      </c>
      <c r="D325" s="2" t="s">
        <v>1175</v>
      </c>
      <c r="E325" s="2" t="s">
        <v>3458</v>
      </c>
      <c r="F325" s="7">
        <v>488651.55</v>
      </c>
      <c r="G325" s="13">
        <v>3</v>
      </c>
      <c r="H325" s="15">
        <f t="shared" si="12"/>
        <v>1465954.65</v>
      </c>
      <c r="I325" s="7">
        <f t="shared" si="13"/>
        <v>263871.837</v>
      </c>
      <c r="J325" s="7">
        <f t="shared" si="14"/>
        <v>1729826.487</v>
      </c>
    </row>
    <row r="326" spans="1:10" ht="15" customHeight="1" x14ac:dyDescent="0.3">
      <c r="A326" s="2">
        <v>310</v>
      </c>
      <c r="B326" s="2" t="s">
        <v>3621</v>
      </c>
      <c r="C326" s="2" t="s">
        <v>4120</v>
      </c>
      <c r="D326" s="2" t="s">
        <v>4120</v>
      </c>
      <c r="E326" s="2" t="s">
        <v>3458</v>
      </c>
      <c r="F326" s="7">
        <v>488651.55</v>
      </c>
      <c r="G326" s="13">
        <v>3</v>
      </c>
      <c r="H326" s="15">
        <f t="shared" si="12"/>
        <v>1465954.65</v>
      </c>
      <c r="I326" s="7">
        <f t="shared" si="13"/>
        <v>263871.837</v>
      </c>
      <c r="J326" s="7">
        <f t="shared" si="14"/>
        <v>1729826.487</v>
      </c>
    </row>
    <row r="327" spans="1:10" ht="15" customHeight="1" x14ac:dyDescent="0.3">
      <c r="A327" s="2">
        <v>311</v>
      </c>
      <c r="B327" s="2" t="s">
        <v>3622</v>
      </c>
      <c r="C327" s="2" t="s">
        <v>4121</v>
      </c>
      <c r="D327" s="2" t="s">
        <v>4121</v>
      </c>
      <c r="E327" s="2" t="s">
        <v>3458</v>
      </c>
      <c r="F327" s="7">
        <v>488651.55</v>
      </c>
      <c r="G327" s="13">
        <v>3</v>
      </c>
      <c r="H327" s="15">
        <f t="shared" si="12"/>
        <v>1465954.65</v>
      </c>
      <c r="I327" s="7">
        <f t="shared" si="13"/>
        <v>263871.837</v>
      </c>
      <c r="J327" s="7">
        <f t="shared" si="14"/>
        <v>1729826.487</v>
      </c>
    </row>
    <row r="328" spans="1:10" ht="15" customHeight="1" x14ac:dyDescent="0.3">
      <c r="A328" s="2">
        <v>312</v>
      </c>
      <c r="B328" s="2" t="s">
        <v>3623</v>
      </c>
      <c r="C328" s="2" t="s">
        <v>4122</v>
      </c>
      <c r="D328" s="2" t="s">
        <v>4122</v>
      </c>
      <c r="E328" s="2" t="s">
        <v>3458</v>
      </c>
      <c r="F328" s="7">
        <v>488651.55</v>
      </c>
      <c r="G328" s="13">
        <v>3</v>
      </c>
      <c r="H328" s="15">
        <f t="shared" si="12"/>
        <v>1465954.65</v>
      </c>
      <c r="I328" s="7">
        <f t="shared" si="13"/>
        <v>263871.837</v>
      </c>
      <c r="J328" s="7">
        <f t="shared" si="14"/>
        <v>1729826.487</v>
      </c>
    </row>
    <row r="329" spans="1:10" ht="15" customHeight="1" x14ac:dyDescent="0.3">
      <c r="A329" s="2">
        <v>313</v>
      </c>
      <c r="B329" s="2" t="s">
        <v>3624</v>
      </c>
      <c r="C329" s="2" t="s">
        <v>4123</v>
      </c>
      <c r="D329" s="2" t="s">
        <v>4123</v>
      </c>
      <c r="E329" s="2" t="s">
        <v>3458</v>
      </c>
      <c r="F329" s="7">
        <v>488651.55</v>
      </c>
      <c r="G329" s="13">
        <v>3</v>
      </c>
      <c r="H329" s="15">
        <f t="shared" si="12"/>
        <v>1465954.65</v>
      </c>
      <c r="I329" s="7">
        <f t="shared" si="13"/>
        <v>263871.837</v>
      </c>
      <c r="J329" s="7">
        <f t="shared" si="14"/>
        <v>1729826.487</v>
      </c>
    </row>
    <row r="330" spans="1:10" ht="15" customHeight="1" x14ac:dyDescent="0.3">
      <c r="A330" s="2">
        <v>314</v>
      </c>
      <c r="B330" s="2" t="s">
        <v>1267</v>
      </c>
      <c r="C330" s="2" t="s">
        <v>1268</v>
      </c>
      <c r="D330" s="2" t="s">
        <v>1268</v>
      </c>
      <c r="E330" s="2" t="s">
        <v>3458</v>
      </c>
      <c r="F330" s="7">
        <v>488651.55</v>
      </c>
      <c r="G330" s="13">
        <v>3</v>
      </c>
      <c r="H330" s="15">
        <f t="shared" si="12"/>
        <v>1465954.65</v>
      </c>
      <c r="I330" s="7">
        <f t="shared" si="13"/>
        <v>263871.837</v>
      </c>
      <c r="J330" s="7">
        <f t="shared" si="14"/>
        <v>1729826.487</v>
      </c>
    </row>
    <row r="331" spans="1:10" ht="15" customHeight="1" x14ac:dyDescent="0.3">
      <c r="A331" s="2">
        <v>315</v>
      </c>
      <c r="B331" s="2" t="s">
        <v>1130</v>
      </c>
      <c r="C331" s="2" t="s">
        <v>1131</v>
      </c>
      <c r="D331" s="2" t="s">
        <v>1131</v>
      </c>
      <c r="E331" s="2" t="s">
        <v>3458</v>
      </c>
      <c r="F331" s="7">
        <v>488651.55</v>
      </c>
      <c r="G331" s="13">
        <v>3</v>
      </c>
      <c r="H331" s="15">
        <f t="shared" si="12"/>
        <v>1465954.65</v>
      </c>
      <c r="I331" s="7">
        <f t="shared" si="13"/>
        <v>263871.837</v>
      </c>
      <c r="J331" s="7">
        <f t="shared" si="14"/>
        <v>1729826.487</v>
      </c>
    </row>
    <row r="332" spans="1:10" ht="15" customHeight="1" x14ac:dyDescent="0.3">
      <c r="A332" s="2">
        <v>316</v>
      </c>
      <c r="B332" s="2" t="s">
        <v>1291</v>
      </c>
      <c r="C332" s="2" t="s">
        <v>1292</v>
      </c>
      <c r="D332" s="2" t="s">
        <v>1292</v>
      </c>
      <c r="E332" s="2" t="s">
        <v>3458</v>
      </c>
      <c r="F332" s="7">
        <v>488651.55</v>
      </c>
      <c r="G332" s="13">
        <v>3</v>
      </c>
      <c r="H332" s="15">
        <f t="shared" si="12"/>
        <v>1465954.65</v>
      </c>
      <c r="I332" s="7">
        <f t="shared" si="13"/>
        <v>263871.837</v>
      </c>
      <c r="J332" s="7">
        <f t="shared" si="14"/>
        <v>1729826.487</v>
      </c>
    </row>
    <row r="333" spans="1:10" ht="15" customHeight="1" x14ac:dyDescent="0.3">
      <c r="A333" s="2">
        <v>317</v>
      </c>
      <c r="B333" s="2" t="s">
        <v>1477</v>
      </c>
      <c r="C333" s="2" t="s">
        <v>1478</v>
      </c>
      <c r="D333" s="2" t="s">
        <v>1478</v>
      </c>
      <c r="E333" s="2" t="s">
        <v>3458</v>
      </c>
      <c r="F333" s="7">
        <v>488651.55</v>
      </c>
      <c r="G333" s="13">
        <v>3</v>
      </c>
      <c r="H333" s="15">
        <f t="shared" si="12"/>
        <v>1465954.65</v>
      </c>
      <c r="I333" s="7">
        <f t="shared" si="13"/>
        <v>263871.837</v>
      </c>
      <c r="J333" s="7">
        <f t="shared" si="14"/>
        <v>1729826.487</v>
      </c>
    </row>
    <row r="334" spans="1:10" ht="15" customHeight="1" x14ac:dyDescent="0.3">
      <c r="A334" s="2">
        <v>318</v>
      </c>
      <c r="B334" s="2" t="s">
        <v>1794</v>
      </c>
      <c r="C334" s="2" t="s">
        <v>1795</v>
      </c>
      <c r="D334" s="2" t="s">
        <v>1795</v>
      </c>
      <c r="E334" s="2" t="s">
        <v>3458</v>
      </c>
      <c r="F334" s="7">
        <v>488651.55</v>
      </c>
      <c r="G334" s="13">
        <v>3</v>
      </c>
      <c r="H334" s="15">
        <f t="shared" si="12"/>
        <v>1465954.65</v>
      </c>
      <c r="I334" s="7">
        <f t="shared" si="13"/>
        <v>263871.837</v>
      </c>
      <c r="J334" s="7">
        <f t="shared" si="14"/>
        <v>1729826.487</v>
      </c>
    </row>
    <row r="335" spans="1:10" ht="15" customHeight="1" x14ac:dyDescent="0.3">
      <c r="A335" s="2">
        <v>319</v>
      </c>
      <c r="B335" s="2" t="s">
        <v>2149</v>
      </c>
      <c r="C335" s="2" t="s">
        <v>2150</v>
      </c>
      <c r="D335" s="2" t="s">
        <v>2150</v>
      </c>
      <c r="E335" s="2" t="s">
        <v>3458</v>
      </c>
      <c r="F335" s="7">
        <v>488651.55</v>
      </c>
      <c r="G335" s="13">
        <v>3</v>
      </c>
      <c r="H335" s="15">
        <f t="shared" si="12"/>
        <v>1465954.65</v>
      </c>
      <c r="I335" s="7">
        <f t="shared" si="13"/>
        <v>263871.837</v>
      </c>
      <c r="J335" s="7">
        <f t="shared" si="14"/>
        <v>1729826.487</v>
      </c>
    </row>
    <row r="336" spans="1:10" ht="15" customHeight="1" x14ac:dyDescent="0.3">
      <c r="A336" s="2">
        <v>320</v>
      </c>
      <c r="B336" s="2" t="s">
        <v>1100</v>
      </c>
      <c r="C336" s="2" t="s">
        <v>1101</v>
      </c>
      <c r="D336" s="2" t="s">
        <v>1101</v>
      </c>
      <c r="E336" s="2" t="s">
        <v>3458</v>
      </c>
      <c r="F336" s="7">
        <v>488651.55</v>
      </c>
      <c r="G336" s="13">
        <v>3</v>
      </c>
      <c r="H336" s="15">
        <f t="shared" si="12"/>
        <v>1465954.65</v>
      </c>
      <c r="I336" s="7">
        <f t="shared" si="13"/>
        <v>263871.837</v>
      </c>
      <c r="J336" s="7">
        <f t="shared" si="14"/>
        <v>1729826.487</v>
      </c>
    </row>
    <row r="337" spans="1:10" ht="15" customHeight="1" x14ac:dyDescent="0.3">
      <c r="A337" s="2">
        <v>321</v>
      </c>
      <c r="B337" s="2" t="s">
        <v>2216</v>
      </c>
      <c r="C337" s="2" t="s">
        <v>2217</v>
      </c>
      <c r="D337" s="2" t="s">
        <v>2217</v>
      </c>
      <c r="E337" s="2" t="s">
        <v>3458</v>
      </c>
      <c r="F337" s="7">
        <v>488651.55</v>
      </c>
      <c r="G337" s="13">
        <v>3</v>
      </c>
      <c r="H337" s="15">
        <f t="shared" si="12"/>
        <v>1465954.65</v>
      </c>
      <c r="I337" s="7">
        <f t="shared" si="13"/>
        <v>263871.837</v>
      </c>
      <c r="J337" s="7">
        <f t="shared" si="14"/>
        <v>1729826.487</v>
      </c>
    </row>
    <row r="338" spans="1:10" ht="15" customHeight="1" x14ac:dyDescent="0.3">
      <c r="A338" s="2">
        <v>322</v>
      </c>
      <c r="B338" s="2" t="s">
        <v>1483</v>
      </c>
      <c r="C338" s="2" t="s">
        <v>1484</v>
      </c>
      <c r="D338" s="2" t="s">
        <v>1484</v>
      </c>
      <c r="E338" s="2" t="s">
        <v>3458</v>
      </c>
      <c r="F338" s="7">
        <v>488651.55</v>
      </c>
      <c r="G338" s="13">
        <v>3</v>
      </c>
      <c r="H338" s="15">
        <f t="shared" ref="H338:H401" si="15">+F338*G338</f>
        <v>1465954.65</v>
      </c>
      <c r="I338" s="7">
        <f t="shared" ref="I338:I401" si="16">+H338*0.18</f>
        <v>263871.837</v>
      </c>
      <c r="J338" s="7">
        <f t="shared" ref="J338:J399" si="17">+H338+I338</f>
        <v>1729826.487</v>
      </c>
    </row>
    <row r="339" spans="1:10" ht="15" customHeight="1" x14ac:dyDescent="0.3">
      <c r="A339" s="2">
        <v>323</v>
      </c>
      <c r="B339" s="2" t="s">
        <v>1565</v>
      </c>
      <c r="C339" s="2" t="s">
        <v>1566</v>
      </c>
      <c r="D339" s="2" t="s">
        <v>1566</v>
      </c>
      <c r="E339" s="2" t="s">
        <v>3458</v>
      </c>
      <c r="F339" s="7">
        <v>488651.55</v>
      </c>
      <c r="G339" s="13">
        <v>3</v>
      </c>
      <c r="H339" s="15">
        <f t="shared" si="15"/>
        <v>1465954.65</v>
      </c>
      <c r="I339" s="7">
        <f t="shared" si="16"/>
        <v>263871.837</v>
      </c>
      <c r="J339" s="7">
        <f t="shared" si="17"/>
        <v>1729826.487</v>
      </c>
    </row>
    <row r="340" spans="1:10" ht="15" customHeight="1" x14ac:dyDescent="0.3">
      <c r="A340" s="2">
        <v>324</v>
      </c>
      <c r="B340" s="2" t="s">
        <v>2055</v>
      </c>
      <c r="C340" s="2" t="s">
        <v>2056</v>
      </c>
      <c r="D340" s="2" t="s">
        <v>2056</v>
      </c>
      <c r="E340" s="2" t="s">
        <v>3458</v>
      </c>
      <c r="F340" s="7">
        <v>488651.55</v>
      </c>
      <c r="G340" s="13">
        <v>3</v>
      </c>
      <c r="H340" s="15">
        <f t="shared" si="15"/>
        <v>1465954.65</v>
      </c>
      <c r="I340" s="7">
        <f t="shared" si="16"/>
        <v>263871.837</v>
      </c>
      <c r="J340" s="7">
        <f t="shared" si="17"/>
        <v>1729826.487</v>
      </c>
    </row>
    <row r="341" spans="1:10" ht="15" customHeight="1" x14ac:dyDescent="0.3">
      <c r="A341" s="2">
        <v>325</v>
      </c>
      <c r="B341" s="2" t="s">
        <v>3625</v>
      </c>
      <c r="C341" s="2" t="s">
        <v>4124</v>
      </c>
      <c r="D341" s="2" t="s">
        <v>4124</v>
      </c>
      <c r="E341" s="2" t="s">
        <v>3458</v>
      </c>
      <c r="F341" s="7">
        <v>488651.55</v>
      </c>
      <c r="G341" s="13">
        <v>3</v>
      </c>
      <c r="H341" s="15">
        <f t="shared" si="15"/>
        <v>1465954.65</v>
      </c>
      <c r="I341" s="7">
        <f t="shared" si="16"/>
        <v>263871.837</v>
      </c>
      <c r="J341" s="7">
        <f t="shared" si="17"/>
        <v>1729826.487</v>
      </c>
    </row>
    <row r="342" spans="1:10" ht="15" customHeight="1" x14ac:dyDescent="0.3">
      <c r="A342" s="2">
        <v>326</v>
      </c>
      <c r="B342" s="2" t="s">
        <v>1948</v>
      </c>
      <c r="C342" s="2" t="s">
        <v>1949</v>
      </c>
      <c r="D342" s="2" t="s">
        <v>1949</v>
      </c>
      <c r="E342" s="2" t="s">
        <v>3458</v>
      </c>
      <c r="F342" s="7">
        <v>488651.55</v>
      </c>
      <c r="G342" s="13">
        <v>3</v>
      </c>
      <c r="H342" s="15">
        <f t="shared" si="15"/>
        <v>1465954.65</v>
      </c>
      <c r="I342" s="7">
        <f t="shared" si="16"/>
        <v>263871.837</v>
      </c>
      <c r="J342" s="7">
        <f t="shared" si="17"/>
        <v>1729826.487</v>
      </c>
    </row>
    <row r="343" spans="1:10" ht="15" customHeight="1" x14ac:dyDescent="0.3">
      <c r="A343" s="2">
        <v>327</v>
      </c>
      <c r="B343" s="2" t="s">
        <v>1730</v>
      </c>
      <c r="C343" s="2" t="s">
        <v>1731</v>
      </c>
      <c r="D343" s="2" t="s">
        <v>1731</v>
      </c>
      <c r="E343" s="2" t="s">
        <v>3458</v>
      </c>
      <c r="F343" s="7">
        <v>488651.55</v>
      </c>
      <c r="G343" s="13">
        <v>3</v>
      </c>
      <c r="H343" s="15">
        <f t="shared" si="15"/>
        <v>1465954.65</v>
      </c>
      <c r="I343" s="7">
        <f t="shared" si="16"/>
        <v>263871.837</v>
      </c>
      <c r="J343" s="7">
        <f t="shared" si="17"/>
        <v>1729826.487</v>
      </c>
    </row>
    <row r="344" spans="1:10" ht="15" customHeight="1" x14ac:dyDescent="0.3">
      <c r="A344" s="2">
        <v>328</v>
      </c>
      <c r="B344" s="2" t="s">
        <v>1154</v>
      </c>
      <c r="C344" s="2" t="s">
        <v>1155</v>
      </c>
      <c r="D344" s="2" t="s">
        <v>1155</v>
      </c>
      <c r="E344" s="2" t="s">
        <v>3458</v>
      </c>
      <c r="F344" s="7">
        <v>488651.55</v>
      </c>
      <c r="G344" s="13">
        <v>3</v>
      </c>
      <c r="H344" s="15">
        <f t="shared" si="15"/>
        <v>1465954.65</v>
      </c>
      <c r="I344" s="7">
        <f t="shared" si="16"/>
        <v>263871.837</v>
      </c>
      <c r="J344" s="7">
        <f t="shared" si="17"/>
        <v>1729826.487</v>
      </c>
    </row>
    <row r="345" spans="1:10" ht="15" customHeight="1" x14ac:dyDescent="0.3">
      <c r="A345" s="2">
        <v>329</v>
      </c>
      <c r="B345" s="2" t="s">
        <v>1844</v>
      </c>
      <c r="C345" s="2" t="s">
        <v>1845</v>
      </c>
      <c r="D345" s="2" t="s">
        <v>1845</v>
      </c>
      <c r="E345" s="2" t="s">
        <v>3458</v>
      </c>
      <c r="F345" s="7">
        <v>488651.55</v>
      </c>
      <c r="G345" s="13">
        <v>3</v>
      </c>
      <c r="H345" s="15">
        <f t="shared" si="15"/>
        <v>1465954.65</v>
      </c>
      <c r="I345" s="7">
        <f t="shared" si="16"/>
        <v>263871.837</v>
      </c>
      <c r="J345" s="7">
        <f t="shared" si="17"/>
        <v>1729826.487</v>
      </c>
    </row>
    <row r="346" spans="1:10" ht="15" customHeight="1" x14ac:dyDescent="0.3">
      <c r="A346" s="2">
        <v>330</v>
      </c>
      <c r="B346" s="2" t="s">
        <v>2641</v>
      </c>
      <c r="C346" s="2" t="s">
        <v>2642</v>
      </c>
      <c r="D346" s="2" t="s">
        <v>2642</v>
      </c>
      <c r="E346" s="2" t="s">
        <v>3458</v>
      </c>
      <c r="F346" s="7">
        <v>488651.55</v>
      </c>
      <c r="G346" s="13">
        <v>3</v>
      </c>
      <c r="H346" s="15">
        <f t="shared" si="15"/>
        <v>1465954.65</v>
      </c>
      <c r="I346" s="7">
        <f t="shared" si="16"/>
        <v>263871.837</v>
      </c>
      <c r="J346" s="7">
        <f t="shared" si="17"/>
        <v>1729826.487</v>
      </c>
    </row>
    <row r="347" spans="1:10" ht="15" customHeight="1" x14ac:dyDescent="0.3">
      <c r="A347" s="2">
        <v>331</v>
      </c>
      <c r="B347" s="2" t="s">
        <v>1533</v>
      </c>
      <c r="C347" s="2" t="s">
        <v>1534</v>
      </c>
      <c r="D347" s="2" t="s">
        <v>1534</v>
      </c>
      <c r="E347" s="2" t="s">
        <v>3458</v>
      </c>
      <c r="F347" s="7">
        <v>488651.55</v>
      </c>
      <c r="G347" s="13">
        <v>3</v>
      </c>
      <c r="H347" s="15">
        <f t="shared" si="15"/>
        <v>1465954.65</v>
      </c>
      <c r="I347" s="7">
        <f t="shared" si="16"/>
        <v>263871.837</v>
      </c>
      <c r="J347" s="7">
        <f t="shared" si="17"/>
        <v>1729826.487</v>
      </c>
    </row>
    <row r="348" spans="1:10" ht="15" customHeight="1" x14ac:dyDescent="0.3">
      <c r="A348" s="2">
        <v>332</v>
      </c>
      <c r="B348" s="2" t="s">
        <v>3626</v>
      </c>
      <c r="C348" s="2" t="s">
        <v>4125</v>
      </c>
      <c r="D348" s="2" t="s">
        <v>4125</v>
      </c>
      <c r="E348" s="2" t="s">
        <v>3458</v>
      </c>
      <c r="F348" s="7">
        <v>488651.55</v>
      </c>
      <c r="G348" s="13">
        <v>3</v>
      </c>
      <c r="H348" s="15">
        <f t="shared" si="15"/>
        <v>1465954.65</v>
      </c>
      <c r="I348" s="7">
        <f t="shared" si="16"/>
        <v>263871.837</v>
      </c>
      <c r="J348" s="7">
        <f t="shared" si="17"/>
        <v>1729826.487</v>
      </c>
    </row>
    <row r="349" spans="1:10" ht="15" customHeight="1" x14ac:dyDescent="0.3">
      <c r="A349" s="2">
        <v>333</v>
      </c>
      <c r="B349" s="2" t="s">
        <v>3627</v>
      </c>
      <c r="C349" s="2" t="s">
        <v>4126</v>
      </c>
      <c r="D349" s="2" t="s">
        <v>4126</v>
      </c>
      <c r="E349" s="2" t="s">
        <v>3458</v>
      </c>
      <c r="F349" s="7">
        <v>488651.55</v>
      </c>
      <c r="G349" s="13">
        <v>3</v>
      </c>
      <c r="H349" s="15">
        <f t="shared" si="15"/>
        <v>1465954.65</v>
      </c>
      <c r="I349" s="7">
        <f t="shared" si="16"/>
        <v>263871.837</v>
      </c>
      <c r="J349" s="7">
        <f t="shared" si="17"/>
        <v>1729826.487</v>
      </c>
    </row>
    <row r="350" spans="1:10" ht="15" customHeight="1" x14ac:dyDescent="0.3">
      <c r="A350" s="2">
        <v>334</v>
      </c>
      <c r="B350" s="2" t="s">
        <v>3628</v>
      </c>
      <c r="C350" s="2" t="s">
        <v>4127</v>
      </c>
      <c r="D350" s="2" t="s">
        <v>4127</v>
      </c>
      <c r="E350" s="2" t="s">
        <v>3458</v>
      </c>
      <c r="F350" s="7">
        <v>488651.55</v>
      </c>
      <c r="G350" s="13">
        <v>3</v>
      </c>
      <c r="H350" s="15">
        <f t="shared" si="15"/>
        <v>1465954.65</v>
      </c>
      <c r="I350" s="7">
        <f t="shared" si="16"/>
        <v>263871.837</v>
      </c>
      <c r="J350" s="7">
        <f t="shared" si="17"/>
        <v>1729826.487</v>
      </c>
    </row>
    <row r="351" spans="1:10" ht="15" customHeight="1" x14ac:dyDescent="0.3">
      <c r="A351" s="2">
        <v>335</v>
      </c>
      <c r="B351" s="2" t="s">
        <v>3629</v>
      </c>
      <c r="C351" s="2" t="s">
        <v>4128</v>
      </c>
      <c r="D351" s="2" t="s">
        <v>4128</v>
      </c>
      <c r="E351" s="2" t="s">
        <v>3458</v>
      </c>
      <c r="F351" s="7">
        <v>488651.55</v>
      </c>
      <c r="G351" s="13">
        <v>3</v>
      </c>
      <c r="H351" s="15">
        <f t="shared" si="15"/>
        <v>1465954.65</v>
      </c>
      <c r="I351" s="7">
        <f t="shared" si="16"/>
        <v>263871.837</v>
      </c>
      <c r="J351" s="7">
        <f t="shared" si="17"/>
        <v>1729826.487</v>
      </c>
    </row>
    <row r="352" spans="1:10" ht="15" customHeight="1" x14ac:dyDescent="0.3">
      <c r="A352" s="2">
        <v>336</v>
      </c>
      <c r="B352" s="2" t="s">
        <v>3630</v>
      </c>
      <c r="C352" s="2" t="s">
        <v>4129</v>
      </c>
      <c r="D352" s="2" t="s">
        <v>4129</v>
      </c>
      <c r="E352" s="2" t="s">
        <v>3458</v>
      </c>
      <c r="F352" s="7">
        <v>488651.55</v>
      </c>
      <c r="G352" s="13">
        <v>3</v>
      </c>
      <c r="H352" s="15">
        <f t="shared" si="15"/>
        <v>1465954.65</v>
      </c>
      <c r="I352" s="7">
        <f t="shared" si="16"/>
        <v>263871.837</v>
      </c>
      <c r="J352" s="7">
        <f t="shared" si="17"/>
        <v>1729826.487</v>
      </c>
    </row>
    <row r="353" spans="1:10" ht="15" customHeight="1" x14ac:dyDescent="0.3">
      <c r="A353" s="2">
        <v>337</v>
      </c>
      <c r="B353" s="2" t="s">
        <v>1569</v>
      </c>
      <c r="C353" s="2" t="s">
        <v>1570</v>
      </c>
      <c r="D353" s="2" t="s">
        <v>1570</v>
      </c>
      <c r="E353" s="2" t="s">
        <v>3458</v>
      </c>
      <c r="F353" s="7">
        <v>488651.55</v>
      </c>
      <c r="G353" s="13">
        <v>3</v>
      </c>
      <c r="H353" s="15">
        <f t="shared" si="15"/>
        <v>1465954.65</v>
      </c>
      <c r="I353" s="7">
        <f t="shared" si="16"/>
        <v>263871.837</v>
      </c>
      <c r="J353" s="7">
        <f t="shared" si="17"/>
        <v>1729826.487</v>
      </c>
    </row>
    <row r="354" spans="1:10" ht="15" customHeight="1" x14ac:dyDescent="0.3">
      <c r="A354" s="2">
        <v>338</v>
      </c>
      <c r="B354" s="2" t="s">
        <v>1615</v>
      </c>
      <c r="C354" s="2" t="s">
        <v>1616</v>
      </c>
      <c r="D354" s="2" t="s">
        <v>1616</v>
      </c>
      <c r="E354" s="2" t="s">
        <v>3458</v>
      </c>
      <c r="F354" s="7">
        <v>488651.55</v>
      </c>
      <c r="G354" s="13">
        <v>3</v>
      </c>
      <c r="H354" s="15">
        <f t="shared" si="15"/>
        <v>1465954.65</v>
      </c>
      <c r="I354" s="7">
        <f t="shared" si="16"/>
        <v>263871.837</v>
      </c>
      <c r="J354" s="7">
        <f t="shared" si="17"/>
        <v>1729826.487</v>
      </c>
    </row>
    <row r="355" spans="1:10" ht="15" customHeight="1" x14ac:dyDescent="0.3">
      <c r="A355" s="2">
        <v>339</v>
      </c>
      <c r="B355" s="2" t="s">
        <v>2197</v>
      </c>
      <c r="C355" s="2" t="s">
        <v>2198</v>
      </c>
      <c r="D355" s="2" t="s">
        <v>2198</v>
      </c>
      <c r="E355" s="2" t="s">
        <v>3458</v>
      </c>
      <c r="F355" s="7">
        <v>488651.55</v>
      </c>
      <c r="G355" s="13">
        <v>3</v>
      </c>
      <c r="H355" s="15">
        <f t="shared" si="15"/>
        <v>1465954.65</v>
      </c>
      <c r="I355" s="7">
        <f t="shared" si="16"/>
        <v>263871.837</v>
      </c>
      <c r="J355" s="7">
        <f t="shared" si="17"/>
        <v>1729826.487</v>
      </c>
    </row>
    <row r="356" spans="1:10" ht="15" customHeight="1" x14ac:dyDescent="0.3">
      <c r="A356" s="2">
        <v>340</v>
      </c>
      <c r="B356" s="2" t="s">
        <v>1325</v>
      </c>
      <c r="C356" s="2" t="s">
        <v>1326</v>
      </c>
      <c r="D356" s="2" t="s">
        <v>1326</v>
      </c>
      <c r="E356" s="2" t="s">
        <v>3458</v>
      </c>
      <c r="F356" s="7">
        <v>488651.55</v>
      </c>
      <c r="G356" s="13">
        <v>3</v>
      </c>
      <c r="H356" s="15">
        <f t="shared" si="15"/>
        <v>1465954.65</v>
      </c>
      <c r="I356" s="7">
        <f t="shared" si="16"/>
        <v>263871.837</v>
      </c>
      <c r="J356" s="7">
        <f t="shared" si="17"/>
        <v>1729826.487</v>
      </c>
    </row>
    <row r="357" spans="1:10" ht="15" customHeight="1" x14ac:dyDescent="0.3">
      <c r="A357" s="2">
        <v>341</v>
      </c>
      <c r="B357" s="2" t="s">
        <v>1798</v>
      </c>
      <c r="C357" s="2" t="s">
        <v>1799</v>
      </c>
      <c r="D357" s="2" t="s">
        <v>1799</v>
      </c>
      <c r="E357" s="2" t="s">
        <v>3458</v>
      </c>
      <c r="F357" s="7">
        <v>488651.55</v>
      </c>
      <c r="G357" s="13">
        <v>3</v>
      </c>
      <c r="H357" s="15">
        <f t="shared" si="15"/>
        <v>1465954.65</v>
      </c>
      <c r="I357" s="7">
        <f t="shared" si="16"/>
        <v>263871.837</v>
      </c>
      <c r="J357" s="7">
        <f t="shared" si="17"/>
        <v>1729826.487</v>
      </c>
    </row>
    <row r="358" spans="1:10" ht="15" customHeight="1" x14ac:dyDescent="0.3">
      <c r="A358" s="2">
        <v>342</v>
      </c>
      <c r="B358" s="2" t="s">
        <v>3631</v>
      </c>
      <c r="C358" s="2" t="s">
        <v>4130</v>
      </c>
      <c r="D358" s="2" t="s">
        <v>4130</v>
      </c>
      <c r="E358" s="2" t="s">
        <v>3458</v>
      </c>
      <c r="F358" s="7">
        <v>488651.55</v>
      </c>
      <c r="G358" s="13">
        <v>3</v>
      </c>
      <c r="H358" s="15">
        <f t="shared" si="15"/>
        <v>1465954.65</v>
      </c>
      <c r="I358" s="7">
        <f t="shared" si="16"/>
        <v>263871.837</v>
      </c>
      <c r="J358" s="7">
        <f t="shared" si="17"/>
        <v>1729826.487</v>
      </c>
    </row>
    <row r="359" spans="1:10" ht="15" customHeight="1" x14ac:dyDescent="0.3">
      <c r="A359" s="2">
        <v>343</v>
      </c>
      <c r="B359" s="2" t="s">
        <v>2098</v>
      </c>
      <c r="C359" s="2" t="s">
        <v>2099</v>
      </c>
      <c r="D359" s="2" t="s">
        <v>2099</v>
      </c>
      <c r="E359" s="2" t="s">
        <v>3458</v>
      </c>
      <c r="F359" s="7">
        <v>488651.55</v>
      </c>
      <c r="G359" s="13">
        <v>3</v>
      </c>
      <c r="H359" s="15">
        <f t="shared" si="15"/>
        <v>1465954.65</v>
      </c>
      <c r="I359" s="7">
        <f t="shared" si="16"/>
        <v>263871.837</v>
      </c>
      <c r="J359" s="7">
        <f t="shared" si="17"/>
        <v>1729826.487</v>
      </c>
    </row>
    <row r="360" spans="1:10" ht="15" customHeight="1" x14ac:dyDescent="0.3">
      <c r="A360" s="2">
        <v>344</v>
      </c>
      <c r="B360" s="2" t="s">
        <v>1126</v>
      </c>
      <c r="C360" s="2" t="s">
        <v>1127</v>
      </c>
      <c r="D360" s="2" t="s">
        <v>1127</v>
      </c>
      <c r="E360" s="2" t="s">
        <v>3458</v>
      </c>
      <c r="F360" s="7">
        <v>488651.55</v>
      </c>
      <c r="G360" s="13">
        <v>3</v>
      </c>
      <c r="H360" s="15">
        <f t="shared" si="15"/>
        <v>1465954.65</v>
      </c>
      <c r="I360" s="7">
        <f t="shared" si="16"/>
        <v>263871.837</v>
      </c>
      <c r="J360" s="7">
        <f t="shared" si="17"/>
        <v>1729826.487</v>
      </c>
    </row>
    <row r="361" spans="1:10" ht="15" customHeight="1" x14ac:dyDescent="0.3">
      <c r="A361" s="2">
        <v>345</v>
      </c>
      <c r="B361" s="2" t="s">
        <v>2020</v>
      </c>
      <c r="C361" s="2" t="s">
        <v>2021</v>
      </c>
      <c r="D361" s="2" t="s">
        <v>2021</v>
      </c>
      <c r="E361" s="2" t="s">
        <v>3458</v>
      </c>
      <c r="F361" s="7">
        <v>488651.55</v>
      </c>
      <c r="G361" s="13">
        <v>3</v>
      </c>
      <c r="H361" s="15">
        <f t="shared" si="15"/>
        <v>1465954.65</v>
      </c>
      <c r="I361" s="7">
        <f t="shared" si="16"/>
        <v>263871.837</v>
      </c>
      <c r="J361" s="7">
        <f t="shared" si="17"/>
        <v>1729826.487</v>
      </c>
    </row>
    <row r="362" spans="1:10" ht="15" customHeight="1" x14ac:dyDescent="0.3">
      <c r="A362" s="2">
        <v>346</v>
      </c>
      <c r="B362" s="2" t="s">
        <v>3632</v>
      </c>
      <c r="C362" s="2" t="s">
        <v>4131</v>
      </c>
      <c r="D362" s="2" t="s">
        <v>4131</v>
      </c>
      <c r="E362" s="2" t="s">
        <v>3458</v>
      </c>
      <c r="F362" s="7">
        <v>488651.55</v>
      </c>
      <c r="G362" s="13">
        <v>3</v>
      </c>
      <c r="H362" s="15">
        <f t="shared" si="15"/>
        <v>1465954.65</v>
      </c>
      <c r="I362" s="7">
        <f t="shared" si="16"/>
        <v>263871.837</v>
      </c>
      <c r="J362" s="7">
        <f t="shared" si="17"/>
        <v>1729826.487</v>
      </c>
    </row>
    <row r="363" spans="1:10" ht="15" customHeight="1" x14ac:dyDescent="0.3">
      <c r="A363" s="2">
        <v>347</v>
      </c>
      <c r="B363" s="2" t="s">
        <v>1567</v>
      </c>
      <c r="C363" s="2" t="s">
        <v>1568</v>
      </c>
      <c r="D363" s="2" t="s">
        <v>1568</v>
      </c>
      <c r="E363" s="2" t="s">
        <v>3458</v>
      </c>
      <c r="F363" s="7">
        <v>488651.55</v>
      </c>
      <c r="G363" s="13">
        <v>3</v>
      </c>
      <c r="H363" s="15">
        <f t="shared" si="15"/>
        <v>1465954.65</v>
      </c>
      <c r="I363" s="7">
        <f t="shared" si="16"/>
        <v>263871.837</v>
      </c>
      <c r="J363" s="7">
        <f t="shared" si="17"/>
        <v>1729826.487</v>
      </c>
    </row>
    <row r="364" spans="1:10" ht="15" customHeight="1" x14ac:dyDescent="0.3">
      <c r="A364" s="2">
        <v>348</v>
      </c>
      <c r="B364" s="2" t="s">
        <v>1986</v>
      </c>
      <c r="C364" s="2" t="s">
        <v>1987</v>
      </c>
      <c r="D364" s="2" t="s">
        <v>1987</v>
      </c>
      <c r="E364" s="2" t="s">
        <v>3458</v>
      </c>
      <c r="F364" s="7">
        <v>488651.55</v>
      </c>
      <c r="G364" s="13">
        <v>3</v>
      </c>
      <c r="H364" s="15">
        <f t="shared" si="15"/>
        <v>1465954.65</v>
      </c>
      <c r="I364" s="7">
        <f t="shared" si="16"/>
        <v>263871.837</v>
      </c>
      <c r="J364" s="7">
        <f t="shared" si="17"/>
        <v>1729826.487</v>
      </c>
    </row>
    <row r="365" spans="1:10" ht="15" customHeight="1" x14ac:dyDescent="0.3">
      <c r="A365" s="2">
        <v>349</v>
      </c>
      <c r="B365" s="2" t="s">
        <v>1617</v>
      </c>
      <c r="C365" s="2" t="s">
        <v>1618</v>
      </c>
      <c r="D365" s="2" t="s">
        <v>1618</v>
      </c>
      <c r="E365" s="2" t="s">
        <v>3458</v>
      </c>
      <c r="F365" s="7">
        <v>488651.55</v>
      </c>
      <c r="G365" s="13">
        <v>3</v>
      </c>
      <c r="H365" s="15">
        <f t="shared" si="15"/>
        <v>1465954.65</v>
      </c>
      <c r="I365" s="7">
        <f t="shared" si="16"/>
        <v>263871.837</v>
      </c>
      <c r="J365" s="7">
        <f t="shared" si="17"/>
        <v>1729826.487</v>
      </c>
    </row>
    <row r="366" spans="1:10" ht="15" customHeight="1" x14ac:dyDescent="0.3">
      <c r="A366" s="2">
        <v>350</v>
      </c>
      <c r="B366" s="2" t="s">
        <v>1114</v>
      </c>
      <c r="C366" s="2" t="s">
        <v>1115</v>
      </c>
      <c r="D366" s="2" t="s">
        <v>1115</v>
      </c>
      <c r="E366" s="2" t="s">
        <v>3458</v>
      </c>
      <c r="F366" s="7">
        <v>488651.55</v>
      </c>
      <c r="G366" s="13">
        <v>3</v>
      </c>
      <c r="H366" s="15">
        <f t="shared" si="15"/>
        <v>1465954.65</v>
      </c>
      <c r="I366" s="7">
        <f t="shared" si="16"/>
        <v>263871.837</v>
      </c>
      <c r="J366" s="7">
        <f t="shared" si="17"/>
        <v>1729826.487</v>
      </c>
    </row>
    <row r="367" spans="1:10" ht="15" customHeight="1" x14ac:dyDescent="0.3">
      <c r="A367" s="2">
        <v>351</v>
      </c>
      <c r="B367" s="2" t="s">
        <v>1599</v>
      </c>
      <c r="C367" s="2" t="s">
        <v>1600</v>
      </c>
      <c r="D367" s="2" t="s">
        <v>1600</v>
      </c>
      <c r="E367" s="2" t="s">
        <v>3458</v>
      </c>
      <c r="F367" s="7">
        <v>488651.55</v>
      </c>
      <c r="G367" s="13">
        <v>3</v>
      </c>
      <c r="H367" s="15">
        <f t="shared" si="15"/>
        <v>1465954.65</v>
      </c>
      <c r="I367" s="7">
        <f t="shared" si="16"/>
        <v>263871.837</v>
      </c>
      <c r="J367" s="7">
        <f t="shared" si="17"/>
        <v>1729826.487</v>
      </c>
    </row>
    <row r="368" spans="1:10" ht="15" customHeight="1" x14ac:dyDescent="0.3">
      <c r="A368" s="2">
        <v>352</v>
      </c>
      <c r="B368" s="2" t="s">
        <v>2147</v>
      </c>
      <c r="C368" s="2" t="s">
        <v>2148</v>
      </c>
      <c r="D368" s="2" t="s">
        <v>2148</v>
      </c>
      <c r="E368" s="2" t="s">
        <v>3458</v>
      </c>
      <c r="F368" s="7">
        <v>488651.55</v>
      </c>
      <c r="G368" s="13">
        <v>3</v>
      </c>
      <c r="H368" s="15">
        <f t="shared" si="15"/>
        <v>1465954.65</v>
      </c>
      <c r="I368" s="7">
        <f t="shared" si="16"/>
        <v>263871.837</v>
      </c>
      <c r="J368" s="7">
        <f t="shared" si="17"/>
        <v>1729826.487</v>
      </c>
    </row>
    <row r="369" spans="1:10" ht="15" customHeight="1" x14ac:dyDescent="0.3">
      <c r="A369" s="2">
        <v>353</v>
      </c>
      <c r="B369" s="2" t="s">
        <v>3633</v>
      </c>
      <c r="C369" s="2" t="s">
        <v>4132</v>
      </c>
      <c r="D369" s="2" t="s">
        <v>4132</v>
      </c>
      <c r="E369" s="2" t="s">
        <v>3458</v>
      </c>
      <c r="F369" s="7">
        <v>488651.55</v>
      </c>
      <c r="G369" s="13">
        <v>3</v>
      </c>
      <c r="H369" s="15">
        <f t="shared" si="15"/>
        <v>1465954.65</v>
      </c>
      <c r="I369" s="7">
        <f t="shared" si="16"/>
        <v>263871.837</v>
      </c>
      <c r="J369" s="7">
        <f t="shared" si="17"/>
        <v>1729826.487</v>
      </c>
    </row>
    <row r="370" spans="1:10" ht="15" customHeight="1" x14ac:dyDescent="0.3">
      <c r="A370" s="2">
        <v>354</v>
      </c>
      <c r="B370" s="2" t="s">
        <v>1507</v>
      </c>
      <c r="C370" s="2" t="s">
        <v>1508</v>
      </c>
      <c r="D370" s="2" t="s">
        <v>1508</v>
      </c>
      <c r="E370" s="2" t="s">
        <v>3458</v>
      </c>
      <c r="F370" s="7">
        <v>488651.55</v>
      </c>
      <c r="G370" s="13">
        <v>3</v>
      </c>
      <c r="H370" s="15">
        <f t="shared" si="15"/>
        <v>1465954.65</v>
      </c>
      <c r="I370" s="7">
        <f t="shared" si="16"/>
        <v>263871.837</v>
      </c>
      <c r="J370" s="7">
        <f t="shared" si="17"/>
        <v>1729826.487</v>
      </c>
    </row>
    <row r="371" spans="1:10" ht="15" customHeight="1" x14ac:dyDescent="0.3">
      <c r="A371" s="2">
        <v>355</v>
      </c>
      <c r="B371" s="2" t="s">
        <v>3634</v>
      </c>
      <c r="C371" s="2" t="s">
        <v>4133</v>
      </c>
      <c r="D371" s="2" t="s">
        <v>4133</v>
      </c>
      <c r="E371" s="2" t="s">
        <v>3458</v>
      </c>
      <c r="F371" s="7">
        <v>488651.55</v>
      </c>
      <c r="G371" s="13">
        <v>3</v>
      </c>
      <c r="H371" s="15">
        <f t="shared" si="15"/>
        <v>1465954.65</v>
      </c>
      <c r="I371" s="7">
        <f t="shared" si="16"/>
        <v>263871.837</v>
      </c>
      <c r="J371" s="7">
        <f t="shared" si="17"/>
        <v>1729826.487</v>
      </c>
    </row>
    <row r="372" spans="1:10" ht="15" customHeight="1" x14ac:dyDescent="0.3">
      <c r="A372" s="2">
        <v>356</v>
      </c>
      <c r="B372" s="2" t="s">
        <v>3635</v>
      </c>
      <c r="C372" s="2" t="s">
        <v>4134</v>
      </c>
      <c r="D372" s="2" t="s">
        <v>4134</v>
      </c>
      <c r="E372" s="2" t="s">
        <v>3458</v>
      </c>
      <c r="F372" s="7">
        <v>488651.55</v>
      </c>
      <c r="G372" s="13">
        <v>3</v>
      </c>
      <c r="H372" s="15">
        <f t="shared" si="15"/>
        <v>1465954.65</v>
      </c>
      <c r="I372" s="7">
        <f t="shared" si="16"/>
        <v>263871.837</v>
      </c>
      <c r="J372" s="7">
        <f t="shared" si="17"/>
        <v>1729826.487</v>
      </c>
    </row>
    <row r="373" spans="1:10" ht="15" customHeight="1" x14ac:dyDescent="0.3">
      <c r="A373" s="2">
        <v>357</v>
      </c>
      <c r="B373" s="2" t="s">
        <v>3636</v>
      </c>
      <c r="C373" s="2" t="s">
        <v>4135</v>
      </c>
      <c r="D373" s="2" t="s">
        <v>4135</v>
      </c>
      <c r="E373" s="2" t="s">
        <v>3458</v>
      </c>
      <c r="F373" s="7">
        <v>488651.55</v>
      </c>
      <c r="G373" s="13">
        <v>3</v>
      </c>
      <c r="H373" s="15">
        <f t="shared" si="15"/>
        <v>1465954.65</v>
      </c>
      <c r="I373" s="7">
        <f t="shared" si="16"/>
        <v>263871.837</v>
      </c>
      <c r="J373" s="7">
        <f t="shared" si="17"/>
        <v>1729826.487</v>
      </c>
    </row>
    <row r="374" spans="1:10" ht="15" customHeight="1" x14ac:dyDescent="0.3">
      <c r="A374" s="2">
        <v>358</v>
      </c>
      <c r="B374" s="2" t="s">
        <v>3637</v>
      </c>
      <c r="C374" s="2" t="s">
        <v>4136</v>
      </c>
      <c r="D374" s="2" t="s">
        <v>4136</v>
      </c>
      <c r="E374" s="2" t="s">
        <v>3458</v>
      </c>
      <c r="F374" s="7">
        <v>488651.55</v>
      </c>
      <c r="G374" s="13">
        <v>3</v>
      </c>
      <c r="H374" s="15">
        <f t="shared" si="15"/>
        <v>1465954.65</v>
      </c>
      <c r="I374" s="7">
        <f t="shared" si="16"/>
        <v>263871.837</v>
      </c>
      <c r="J374" s="7">
        <f t="shared" si="17"/>
        <v>1729826.487</v>
      </c>
    </row>
    <row r="375" spans="1:10" ht="15" customHeight="1" x14ac:dyDescent="0.3">
      <c r="A375" s="2">
        <v>359</v>
      </c>
      <c r="B375" s="2" t="s">
        <v>3638</v>
      </c>
      <c r="C375" s="2" t="s">
        <v>4137</v>
      </c>
      <c r="D375" s="2" t="s">
        <v>4137</v>
      </c>
      <c r="E375" s="2" t="s">
        <v>3458</v>
      </c>
      <c r="F375" s="7">
        <v>488651.55</v>
      </c>
      <c r="G375" s="13">
        <v>3</v>
      </c>
      <c r="H375" s="15">
        <f t="shared" si="15"/>
        <v>1465954.65</v>
      </c>
      <c r="I375" s="7">
        <f t="shared" si="16"/>
        <v>263871.837</v>
      </c>
      <c r="J375" s="7">
        <f t="shared" si="17"/>
        <v>1729826.487</v>
      </c>
    </row>
    <row r="376" spans="1:10" ht="15" customHeight="1" x14ac:dyDescent="0.3">
      <c r="A376" s="2">
        <v>360</v>
      </c>
      <c r="B376" s="2" t="s">
        <v>3639</v>
      </c>
      <c r="C376" s="2" t="s">
        <v>4138</v>
      </c>
      <c r="D376" s="2" t="s">
        <v>4138</v>
      </c>
      <c r="E376" s="2" t="s">
        <v>3458</v>
      </c>
      <c r="F376" s="7">
        <v>488651.55</v>
      </c>
      <c r="G376" s="13">
        <v>3</v>
      </c>
      <c r="H376" s="15">
        <f t="shared" si="15"/>
        <v>1465954.65</v>
      </c>
      <c r="I376" s="7">
        <f t="shared" si="16"/>
        <v>263871.837</v>
      </c>
      <c r="J376" s="7">
        <f t="shared" si="17"/>
        <v>1729826.487</v>
      </c>
    </row>
    <row r="377" spans="1:10" ht="15" customHeight="1" x14ac:dyDescent="0.3">
      <c r="A377" s="2">
        <v>361</v>
      </c>
      <c r="B377" s="2" t="s">
        <v>3640</v>
      </c>
      <c r="C377" s="2" t="s">
        <v>4139</v>
      </c>
      <c r="D377" s="2" t="s">
        <v>4139</v>
      </c>
      <c r="E377" s="2" t="s">
        <v>3458</v>
      </c>
      <c r="F377" s="7">
        <v>488651.55</v>
      </c>
      <c r="G377" s="13">
        <v>3</v>
      </c>
      <c r="H377" s="15">
        <f t="shared" si="15"/>
        <v>1465954.65</v>
      </c>
      <c r="I377" s="7">
        <f t="shared" si="16"/>
        <v>263871.837</v>
      </c>
      <c r="J377" s="7">
        <f t="shared" si="17"/>
        <v>1729826.487</v>
      </c>
    </row>
    <row r="378" spans="1:10" ht="15" customHeight="1" x14ac:dyDescent="0.3">
      <c r="A378" s="2">
        <v>362</v>
      </c>
      <c r="B378" s="2" t="s">
        <v>1696</v>
      </c>
      <c r="C378" s="2" t="s">
        <v>1697</v>
      </c>
      <c r="D378" s="2" t="s">
        <v>1697</v>
      </c>
      <c r="E378" s="2" t="s">
        <v>3458</v>
      </c>
      <c r="F378" s="7">
        <v>488651.55</v>
      </c>
      <c r="G378" s="13">
        <v>3</v>
      </c>
      <c r="H378" s="15">
        <f t="shared" si="15"/>
        <v>1465954.65</v>
      </c>
      <c r="I378" s="7">
        <f t="shared" si="16"/>
        <v>263871.837</v>
      </c>
      <c r="J378" s="7">
        <f t="shared" si="17"/>
        <v>1729826.487</v>
      </c>
    </row>
    <row r="379" spans="1:10" ht="15" customHeight="1" x14ac:dyDescent="0.3">
      <c r="A379" s="2">
        <v>363</v>
      </c>
      <c r="B379" s="2" t="s">
        <v>3641</v>
      </c>
      <c r="C379" s="2" t="s">
        <v>4140</v>
      </c>
      <c r="D379" s="2" t="s">
        <v>4140</v>
      </c>
      <c r="E379" s="2" t="s">
        <v>3458</v>
      </c>
      <c r="F379" s="7">
        <v>488651.55</v>
      </c>
      <c r="G379" s="13">
        <v>3</v>
      </c>
      <c r="H379" s="15">
        <f t="shared" si="15"/>
        <v>1465954.65</v>
      </c>
      <c r="I379" s="7">
        <f t="shared" si="16"/>
        <v>263871.837</v>
      </c>
      <c r="J379" s="7">
        <f t="shared" si="17"/>
        <v>1729826.487</v>
      </c>
    </row>
    <row r="380" spans="1:10" ht="15" customHeight="1" x14ac:dyDescent="0.3">
      <c r="A380" s="2">
        <v>364</v>
      </c>
      <c r="B380" s="2" t="s">
        <v>1343</v>
      </c>
      <c r="C380" s="2" t="s">
        <v>1344</v>
      </c>
      <c r="D380" s="2" t="s">
        <v>1344</v>
      </c>
      <c r="E380" s="2" t="s">
        <v>3458</v>
      </c>
      <c r="F380" s="7">
        <v>488651.55</v>
      </c>
      <c r="G380" s="13">
        <v>3</v>
      </c>
      <c r="H380" s="15">
        <f t="shared" si="15"/>
        <v>1465954.65</v>
      </c>
      <c r="I380" s="7">
        <f t="shared" si="16"/>
        <v>263871.837</v>
      </c>
      <c r="J380" s="7">
        <f t="shared" si="17"/>
        <v>1729826.487</v>
      </c>
    </row>
    <row r="381" spans="1:10" ht="15" customHeight="1" x14ac:dyDescent="0.3">
      <c r="A381" s="2">
        <v>365</v>
      </c>
      <c r="B381" s="2" t="s">
        <v>3642</v>
      </c>
      <c r="C381" s="2" t="s">
        <v>4141</v>
      </c>
      <c r="D381" s="2" t="s">
        <v>4141</v>
      </c>
      <c r="E381" s="2" t="s">
        <v>3458</v>
      </c>
      <c r="F381" s="7">
        <v>488651.55</v>
      </c>
      <c r="G381" s="13">
        <v>3</v>
      </c>
      <c r="H381" s="15">
        <f t="shared" si="15"/>
        <v>1465954.65</v>
      </c>
      <c r="I381" s="7">
        <f t="shared" si="16"/>
        <v>263871.837</v>
      </c>
      <c r="J381" s="7">
        <f t="shared" si="17"/>
        <v>1729826.487</v>
      </c>
    </row>
    <row r="382" spans="1:10" ht="15" customHeight="1" x14ac:dyDescent="0.3">
      <c r="A382" s="2">
        <v>366</v>
      </c>
      <c r="B382" s="2" t="s">
        <v>1116</v>
      </c>
      <c r="C382" s="2" t="s">
        <v>1117</v>
      </c>
      <c r="D382" s="2" t="s">
        <v>1117</v>
      </c>
      <c r="E382" s="2" t="s">
        <v>3458</v>
      </c>
      <c r="F382" s="7">
        <v>488651.55</v>
      </c>
      <c r="G382" s="13">
        <v>3</v>
      </c>
      <c r="H382" s="15">
        <f t="shared" si="15"/>
        <v>1465954.65</v>
      </c>
      <c r="I382" s="7">
        <f t="shared" si="16"/>
        <v>263871.837</v>
      </c>
      <c r="J382" s="7">
        <f t="shared" si="17"/>
        <v>1729826.487</v>
      </c>
    </row>
    <row r="383" spans="1:10" ht="15" customHeight="1" x14ac:dyDescent="0.3">
      <c r="A383" s="2">
        <v>367</v>
      </c>
      <c r="B383" s="2" t="s">
        <v>1385</v>
      </c>
      <c r="C383" s="2" t="s">
        <v>1386</v>
      </c>
      <c r="D383" s="2" t="s">
        <v>1386</v>
      </c>
      <c r="E383" s="2" t="s">
        <v>3458</v>
      </c>
      <c r="F383" s="7">
        <v>488651.55</v>
      </c>
      <c r="G383" s="13">
        <v>3</v>
      </c>
      <c r="H383" s="15">
        <f t="shared" si="15"/>
        <v>1465954.65</v>
      </c>
      <c r="I383" s="7">
        <f t="shared" si="16"/>
        <v>263871.837</v>
      </c>
      <c r="J383" s="7">
        <f t="shared" si="17"/>
        <v>1729826.487</v>
      </c>
    </row>
    <row r="384" spans="1:10" ht="15" customHeight="1" x14ac:dyDescent="0.3">
      <c r="A384" s="2">
        <v>368</v>
      </c>
      <c r="B384" s="2" t="s">
        <v>3643</v>
      </c>
      <c r="C384" s="2" t="s">
        <v>4142</v>
      </c>
      <c r="D384" s="2" t="s">
        <v>4142</v>
      </c>
      <c r="E384" s="2" t="s">
        <v>3458</v>
      </c>
      <c r="F384" s="7">
        <v>488651.55</v>
      </c>
      <c r="G384" s="13">
        <v>3</v>
      </c>
      <c r="H384" s="15">
        <f t="shared" si="15"/>
        <v>1465954.65</v>
      </c>
      <c r="I384" s="7">
        <f t="shared" si="16"/>
        <v>263871.837</v>
      </c>
      <c r="J384" s="7">
        <f t="shared" si="17"/>
        <v>1729826.487</v>
      </c>
    </row>
    <row r="385" spans="1:10" ht="15" customHeight="1" x14ac:dyDescent="0.3">
      <c r="A385" s="2">
        <v>369</v>
      </c>
      <c r="B385" s="2" t="s">
        <v>3644</v>
      </c>
      <c r="C385" s="2" t="s">
        <v>4143</v>
      </c>
      <c r="D385" s="2" t="s">
        <v>4143</v>
      </c>
      <c r="E385" s="2" t="s">
        <v>3458</v>
      </c>
      <c r="F385" s="7">
        <v>488651.55</v>
      </c>
      <c r="G385" s="13">
        <v>3</v>
      </c>
      <c r="H385" s="15">
        <f t="shared" si="15"/>
        <v>1465954.65</v>
      </c>
      <c r="I385" s="7">
        <f t="shared" si="16"/>
        <v>263871.837</v>
      </c>
      <c r="J385" s="7">
        <f t="shared" si="17"/>
        <v>1729826.487</v>
      </c>
    </row>
    <row r="386" spans="1:10" ht="15" customHeight="1" x14ac:dyDescent="0.3">
      <c r="A386" s="2">
        <v>370</v>
      </c>
      <c r="B386" s="2" t="s">
        <v>3645</v>
      </c>
      <c r="C386" s="2" t="s">
        <v>4144</v>
      </c>
      <c r="D386" s="2" t="s">
        <v>4144</v>
      </c>
      <c r="E386" s="2" t="s">
        <v>3458</v>
      </c>
      <c r="F386" s="7">
        <v>488651.55</v>
      </c>
      <c r="G386" s="13">
        <v>3</v>
      </c>
      <c r="H386" s="15">
        <f t="shared" si="15"/>
        <v>1465954.65</v>
      </c>
      <c r="I386" s="7">
        <f t="shared" si="16"/>
        <v>263871.837</v>
      </c>
      <c r="J386" s="7">
        <f t="shared" si="17"/>
        <v>1729826.487</v>
      </c>
    </row>
    <row r="387" spans="1:10" ht="15" customHeight="1" x14ac:dyDescent="0.3">
      <c r="A387" s="2">
        <v>371</v>
      </c>
      <c r="B387" s="2" t="s">
        <v>3646</v>
      </c>
      <c r="C387" s="2" t="s">
        <v>4145</v>
      </c>
      <c r="D387" s="2" t="s">
        <v>4145</v>
      </c>
      <c r="E387" s="2" t="s">
        <v>3458</v>
      </c>
      <c r="F387" s="7">
        <v>488651.55</v>
      </c>
      <c r="G387" s="13">
        <v>3</v>
      </c>
      <c r="H387" s="15">
        <f t="shared" si="15"/>
        <v>1465954.65</v>
      </c>
      <c r="I387" s="7">
        <f t="shared" si="16"/>
        <v>263871.837</v>
      </c>
      <c r="J387" s="7">
        <f t="shared" si="17"/>
        <v>1729826.487</v>
      </c>
    </row>
    <row r="388" spans="1:10" ht="15" customHeight="1" x14ac:dyDescent="0.3">
      <c r="A388" s="2">
        <v>372</v>
      </c>
      <c r="B388" s="2" t="s">
        <v>3647</v>
      </c>
      <c r="C388" s="2" t="s">
        <v>4146</v>
      </c>
      <c r="D388" s="2" t="s">
        <v>4146</v>
      </c>
      <c r="E388" s="2" t="s">
        <v>3458</v>
      </c>
      <c r="F388" s="7">
        <v>488651.55</v>
      </c>
      <c r="G388" s="13">
        <v>3</v>
      </c>
      <c r="H388" s="15">
        <f t="shared" si="15"/>
        <v>1465954.65</v>
      </c>
      <c r="I388" s="7">
        <f t="shared" si="16"/>
        <v>263871.837</v>
      </c>
      <c r="J388" s="7">
        <f t="shared" si="17"/>
        <v>1729826.487</v>
      </c>
    </row>
    <row r="389" spans="1:10" ht="15" customHeight="1" x14ac:dyDescent="0.3">
      <c r="A389" s="2">
        <v>373</v>
      </c>
      <c r="B389" s="2" t="s">
        <v>1307</v>
      </c>
      <c r="C389" s="2" t="s">
        <v>1308</v>
      </c>
      <c r="D389" s="2" t="s">
        <v>1308</v>
      </c>
      <c r="E389" s="2" t="s">
        <v>3458</v>
      </c>
      <c r="F389" s="7">
        <v>488651.55</v>
      </c>
      <c r="G389" s="13">
        <v>3</v>
      </c>
      <c r="H389" s="15">
        <f t="shared" si="15"/>
        <v>1465954.65</v>
      </c>
      <c r="I389" s="7">
        <f t="shared" si="16"/>
        <v>263871.837</v>
      </c>
      <c r="J389" s="7">
        <f t="shared" si="17"/>
        <v>1729826.487</v>
      </c>
    </row>
    <row r="390" spans="1:10" ht="15" customHeight="1" x14ac:dyDescent="0.3">
      <c r="A390" s="2">
        <v>374</v>
      </c>
      <c r="B390" s="2" t="s">
        <v>1124</v>
      </c>
      <c r="C390" s="2" t="s">
        <v>1125</v>
      </c>
      <c r="D390" s="2" t="s">
        <v>1125</v>
      </c>
      <c r="E390" s="2" t="s">
        <v>3458</v>
      </c>
      <c r="F390" s="7">
        <v>488651.55</v>
      </c>
      <c r="G390" s="13">
        <v>3</v>
      </c>
      <c r="H390" s="15">
        <f t="shared" si="15"/>
        <v>1465954.65</v>
      </c>
      <c r="I390" s="7">
        <f t="shared" si="16"/>
        <v>263871.837</v>
      </c>
      <c r="J390" s="7">
        <f t="shared" si="17"/>
        <v>1729826.487</v>
      </c>
    </row>
    <row r="391" spans="1:10" ht="15" customHeight="1" x14ac:dyDescent="0.3">
      <c r="A391" s="2">
        <v>375</v>
      </c>
      <c r="B391" s="2" t="s">
        <v>1162</v>
      </c>
      <c r="C391" s="2" t="s">
        <v>1163</v>
      </c>
      <c r="D391" s="2" t="s">
        <v>1163</v>
      </c>
      <c r="E391" s="2" t="s">
        <v>3458</v>
      </c>
      <c r="F391" s="7">
        <v>488651.55</v>
      </c>
      <c r="G391" s="13">
        <v>3</v>
      </c>
      <c r="H391" s="15">
        <f t="shared" si="15"/>
        <v>1465954.65</v>
      </c>
      <c r="I391" s="7">
        <f t="shared" si="16"/>
        <v>263871.837</v>
      </c>
      <c r="J391" s="7">
        <f t="shared" si="17"/>
        <v>1729826.487</v>
      </c>
    </row>
    <row r="392" spans="1:10" ht="15" customHeight="1" x14ac:dyDescent="0.3">
      <c r="A392" s="2">
        <v>376</v>
      </c>
      <c r="B392" s="2" t="s">
        <v>3648</v>
      </c>
      <c r="C392" s="2" t="s">
        <v>4147</v>
      </c>
      <c r="D392" s="2" t="s">
        <v>4147</v>
      </c>
      <c r="E392" s="2" t="s">
        <v>3458</v>
      </c>
      <c r="F392" s="7">
        <v>488651.55</v>
      </c>
      <c r="G392" s="13">
        <v>3</v>
      </c>
      <c r="H392" s="15">
        <f t="shared" si="15"/>
        <v>1465954.65</v>
      </c>
      <c r="I392" s="7">
        <f t="shared" si="16"/>
        <v>263871.837</v>
      </c>
      <c r="J392" s="7">
        <f t="shared" si="17"/>
        <v>1729826.487</v>
      </c>
    </row>
    <row r="393" spans="1:10" ht="15" customHeight="1" x14ac:dyDescent="0.3">
      <c r="A393" s="2">
        <v>377</v>
      </c>
      <c r="B393" s="2" t="s">
        <v>3649</v>
      </c>
      <c r="C393" s="2" t="s">
        <v>4148</v>
      </c>
      <c r="D393" s="2" t="s">
        <v>4148</v>
      </c>
      <c r="E393" s="2" t="s">
        <v>3458</v>
      </c>
      <c r="F393" s="7">
        <v>488651.55</v>
      </c>
      <c r="G393" s="13">
        <v>3</v>
      </c>
      <c r="H393" s="15">
        <f t="shared" si="15"/>
        <v>1465954.65</v>
      </c>
      <c r="I393" s="7">
        <f t="shared" si="16"/>
        <v>263871.837</v>
      </c>
      <c r="J393" s="7">
        <f t="shared" si="17"/>
        <v>1729826.487</v>
      </c>
    </row>
    <row r="394" spans="1:10" ht="15" customHeight="1" x14ac:dyDescent="0.3">
      <c r="A394" s="2">
        <v>378</v>
      </c>
      <c r="B394" s="2" t="s">
        <v>1633</v>
      </c>
      <c r="C394" s="2" t="s">
        <v>1634</v>
      </c>
      <c r="D394" s="2" t="s">
        <v>1634</v>
      </c>
      <c r="E394" s="2" t="s">
        <v>3458</v>
      </c>
      <c r="F394" s="7">
        <v>488651.55</v>
      </c>
      <c r="G394" s="13">
        <v>3</v>
      </c>
      <c r="H394" s="15">
        <f t="shared" si="15"/>
        <v>1465954.65</v>
      </c>
      <c r="I394" s="7">
        <f t="shared" si="16"/>
        <v>263871.837</v>
      </c>
      <c r="J394" s="7">
        <f t="shared" si="17"/>
        <v>1729826.487</v>
      </c>
    </row>
    <row r="395" spans="1:10" ht="15" customHeight="1" x14ac:dyDescent="0.3">
      <c r="A395" s="2">
        <v>379</v>
      </c>
      <c r="B395" s="2" t="s">
        <v>3650</v>
      </c>
      <c r="C395" s="2" t="s">
        <v>4149</v>
      </c>
      <c r="D395" s="2" t="s">
        <v>4149</v>
      </c>
      <c r="E395" s="2" t="s">
        <v>3458</v>
      </c>
      <c r="F395" s="7">
        <v>488651.55</v>
      </c>
      <c r="G395" s="13">
        <v>3</v>
      </c>
      <c r="H395" s="15">
        <f t="shared" si="15"/>
        <v>1465954.65</v>
      </c>
      <c r="I395" s="7">
        <f t="shared" si="16"/>
        <v>263871.837</v>
      </c>
      <c r="J395" s="7">
        <f t="shared" si="17"/>
        <v>1729826.487</v>
      </c>
    </row>
    <row r="396" spans="1:10" ht="15" customHeight="1" x14ac:dyDescent="0.3">
      <c r="A396" s="2">
        <v>380</v>
      </c>
      <c r="B396" s="2" t="s">
        <v>3651</v>
      </c>
      <c r="C396" s="2" t="s">
        <v>4150</v>
      </c>
      <c r="D396" s="2" t="s">
        <v>4150</v>
      </c>
      <c r="E396" s="2" t="s">
        <v>3458</v>
      </c>
      <c r="F396" s="7">
        <v>488651.55</v>
      </c>
      <c r="G396" s="13">
        <v>3</v>
      </c>
      <c r="H396" s="15">
        <f t="shared" si="15"/>
        <v>1465954.65</v>
      </c>
      <c r="I396" s="7">
        <f t="shared" si="16"/>
        <v>263871.837</v>
      </c>
      <c r="J396" s="7">
        <f t="shared" si="17"/>
        <v>1729826.487</v>
      </c>
    </row>
    <row r="397" spans="1:10" ht="15" customHeight="1" x14ac:dyDescent="0.3">
      <c r="A397" s="2">
        <v>381</v>
      </c>
      <c r="B397" s="2" t="s">
        <v>1148</v>
      </c>
      <c r="C397" s="2" t="s">
        <v>1149</v>
      </c>
      <c r="D397" s="2" t="s">
        <v>1149</v>
      </c>
      <c r="E397" s="2" t="s">
        <v>3458</v>
      </c>
      <c r="F397" s="7">
        <v>488651.55</v>
      </c>
      <c r="G397" s="13">
        <v>3</v>
      </c>
      <c r="H397" s="15">
        <f t="shared" si="15"/>
        <v>1465954.65</v>
      </c>
      <c r="I397" s="7">
        <f t="shared" si="16"/>
        <v>263871.837</v>
      </c>
      <c r="J397" s="7">
        <f t="shared" si="17"/>
        <v>1729826.487</v>
      </c>
    </row>
    <row r="398" spans="1:10" ht="15" customHeight="1" x14ac:dyDescent="0.3">
      <c r="A398" s="2">
        <v>382</v>
      </c>
      <c r="B398" s="2" t="s">
        <v>3652</v>
      </c>
      <c r="C398" s="2" t="s">
        <v>4151</v>
      </c>
      <c r="D398" s="2" t="s">
        <v>4151</v>
      </c>
      <c r="E398" s="2" t="s">
        <v>3458</v>
      </c>
      <c r="F398" s="7">
        <v>488651.55</v>
      </c>
      <c r="G398" s="13">
        <v>3</v>
      </c>
      <c r="H398" s="15">
        <f t="shared" si="15"/>
        <v>1465954.65</v>
      </c>
      <c r="I398" s="7">
        <f t="shared" si="16"/>
        <v>263871.837</v>
      </c>
      <c r="J398" s="7">
        <f t="shared" si="17"/>
        <v>1729826.487</v>
      </c>
    </row>
    <row r="399" spans="1:10" ht="15" customHeight="1" x14ac:dyDescent="0.3">
      <c r="A399" s="2">
        <v>383</v>
      </c>
      <c r="B399" s="2" t="s">
        <v>3653</v>
      </c>
      <c r="C399" s="2" t="s">
        <v>4152</v>
      </c>
      <c r="D399" s="2" t="s">
        <v>4152</v>
      </c>
      <c r="E399" s="2" t="s">
        <v>3458</v>
      </c>
      <c r="F399" s="7">
        <v>488651.55</v>
      </c>
      <c r="G399" s="13">
        <v>3</v>
      </c>
      <c r="H399" s="15">
        <f t="shared" si="15"/>
        <v>1465954.65</v>
      </c>
      <c r="I399" s="7">
        <f t="shared" si="16"/>
        <v>263871.837</v>
      </c>
      <c r="J399" s="7">
        <f t="shared" si="17"/>
        <v>1729826.487</v>
      </c>
    </row>
    <row r="400" spans="1:10" ht="15" customHeight="1" x14ac:dyDescent="0.3">
      <c r="A400" s="2">
        <v>384</v>
      </c>
      <c r="B400" s="2" t="s">
        <v>1479</v>
      </c>
      <c r="C400" s="2" t="s">
        <v>1480</v>
      </c>
      <c r="D400" s="2" t="s">
        <v>1480</v>
      </c>
      <c r="E400" s="2" t="s">
        <v>3458</v>
      </c>
      <c r="F400" s="7">
        <v>488651.55</v>
      </c>
      <c r="G400" s="13">
        <v>3</v>
      </c>
      <c r="H400" s="15">
        <f t="shared" si="15"/>
        <v>1465954.65</v>
      </c>
      <c r="I400" s="7">
        <f t="shared" si="16"/>
        <v>263871.837</v>
      </c>
      <c r="J400" s="7">
        <f t="shared" ref="J400:J462" si="18">+H400+I400</f>
        <v>1729826.487</v>
      </c>
    </row>
    <row r="401" spans="1:10" ht="15" customHeight="1" x14ac:dyDescent="0.3">
      <c r="A401" s="2">
        <v>385</v>
      </c>
      <c r="B401" s="2" t="s">
        <v>1381</v>
      </c>
      <c r="C401" s="2" t="s">
        <v>1382</v>
      </c>
      <c r="D401" s="2" t="s">
        <v>1382</v>
      </c>
      <c r="E401" s="2" t="s">
        <v>3458</v>
      </c>
      <c r="F401" s="7">
        <v>488651.55</v>
      </c>
      <c r="G401" s="13">
        <v>3</v>
      </c>
      <c r="H401" s="15">
        <f t="shared" si="15"/>
        <v>1465954.65</v>
      </c>
      <c r="I401" s="7">
        <f t="shared" si="16"/>
        <v>263871.837</v>
      </c>
      <c r="J401" s="7">
        <f t="shared" si="18"/>
        <v>1729826.487</v>
      </c>
    </row>
    <row r="402" spans="1:10" ht="15" customHeight="1" x14ac:dyDescent="0.3">
      <c r="A402" s="2">
        <v>386</v>
      </c>
      <c r="B402" s="2" t="s">
        <v>1974</v>
      </c>
      <c r="C402" s="2" t="s">
        <v>1975</v>
      </c>
      <c r="D402" s="2" t="s">
        <v>1975</v>
      </c>
      <c r="E402" s="2" t="s">
        <v>3458</v>
      </c>
      <c r="F402" s="7">
        <v>488651.55</v>
      </c>
      <c r="G402" s="13">
        <v>3</v>
      </c>
      <c r="H402" s="15">
        <f t="shared" ref="H402:H465" si="19">+F402*G402</f>
        <v>1465954.65</v>
      </c>
      <c r="I402" s="7">
        <f t="shared" ref="I402:I465" si="20">+H402*0.18</f>
        <v>263871.837</v>
      </c>
      <c r="J402" s="7">
        <f t="shared" si="18"/>
        <v>1729826.487</v>
      </c>
    </row>
    <row r="403" spans="1:10" ht="15" customHeight="1" x14ac:dyDescent="0.3">
      <c r="A403" s="2">
        <v>387</v>
      </c>
      <c r="B403" s="2" t="s">
        <v>3654</v>
      </c>
      <c r="C403" s="2" t="s">
        <v>4153</v>
      </c>
      <c r="D403" s="2" t="s">
        <v>4153</v>
      </c>
      <c r="E403" s="2" t="s">
        <v>3458</v>
      </c>
      <c r="F403" s="7">
        <v>488651.55</v>
      </c>
      <c r="G403" s="13">
        <v>3</v>
      </c>
      <c r="H403" s="15">
        <f t="shared" si="19"/>
        <v>1465954.65</v>
      </c>
      <c r="I403" s="7">
        <f t="shared" si="20"/>
        <v>263871.837</v>
      </c>
      <c r="J403" s="7">
        <f t="shared" si="18"/>
        <v>1729826.487</v>
      </c>
    </row>
    <row r="404" spans="1:10" ht="15" customHeight="1" x14ac:dyDescent="0.3">
      <c r="A404" s="2">
        <v>388</v>
      </c>
      <c r="B404" s="2" t="s">
        <v>3655</v>
      </c>
      <c r="C404" s="2" t="s">
        <v>4154</v>
      </c>
      <c r="D404" s="2" t="s">
        <v>4154</v>
      </c>
      <c r="E404" s="2" t="s">
        <v>3458</v>
      </c>
      <c r="F404" s="7">
        <v>488651.55</v>
      </c>
      <c r="G404" s="13">
        <v>3</v>
      </c>
      <c r="H404" s="15">
        <f t="shared" si="19"/>
        <v>1465954.65</v>
      </c>
      <c r="I404" s="7">
        <f t="shared" si="20"/>
        <v>263871.837</v>
      </c>
      <c r="J404" s="7">
        <f t="shared" si="18"/>
        <v>1729826.487</v>
      </c>
    </row>
    <row r="405" spans="1:10" ht="15" customHeight="1" x14ac:dyDescent="0.3">
      <c r="A405" s="2">
        <v>389</v>
      </c>
      <c r="B405" s="2" t="s">
        <v>3656</v>
      </c>
      <c r="C405" s="2" t="s">
        <v>4155</v>
      </c>
      <c r="D405" s="2" t="s">
        <v>4155</v>
      </c>
      <c r="E405" s="2" t="s">
        <v>3458</v>
      </c>
      <c r="F405" s="7">
        <v>488651.55</v>
      </c>
      <c r="G405" s="13">
        <v>3</v>
      </c>
      <c r="H405" s="15">
        <f t="shared" si="19"/>
        <v>1465954.65</v>
      </c>
      <c r="I405" s="7">
        <f t="shared" si="20"/>
        <v>263871.837</v>
      </c>
      <c r="J405" s="7">
        <f t="shared" si="18"/>
        <v>1729826.487</v>
      </c>
    </row>
    <row r="406" spans="1:10" ht="15" customHeight="1" x14ac:dyDescent="0.3">
      <c r="A406" s="2">
        <v>390</v>
      </c>
      <c r="B406" s="2" t="s">
        <v>3657</v>
      </c>
      <c r="C406" s="2" t="s">
        <v>4156</v>
      </c>
      <c r="D406" s="2" t="s">
        <v>4156</v>
      </c>
      <c r="E406" s="2" t="s">
        <v>3458</v>
      </c>
      <c r="F406" s="7">
        <v>488651.55</v>
      </c>
      <c r="G406" s="13">
        <v>3</v>
      </c>
      <c r="H406" s="15">
        <f t="shared" si="19"/>
        <v>1465954.65</v>
      </c>
      <c r="I406" s="7">
        <f t="shared" si="20"/>
        <v>263871.837</v>
      </c>
      <c r="J406" s="7">
        <f t="shared" si="18"/>
        <v>1729826.487</v>
      </c>
    </row>
    <row r="407" spans="1:10" ht="15" customHeight="1" x14ac:dyDescent="0.3">
      <c r="A407" s="2">
        <v>391</v>
      </c>
      <c r="B407" s="2" t="s">
        <v>3658</v>
      </c>
      <c r="C407" s="2" t="s">
        <v>4157</v>
      </c>
      <c r="D407" s="2" t="s">
        <v>4157</v>
      </c>
      <c r="E407" s="2" t="s">
        <v>3458</v>
      </c>
      <c r="F407" s="7">
        <v>488651.55</v>
      </c>
      <c r="G407" s="13">
        <v>3</v>
      </c>
      <c r="H407" s="15">
        <f t="shared" si="19"/>
        <v>1465954.65</v>
      </c>
      <c r="I407" s="7">
        <f t="shared" si="20"/>
        <v>263871.837</v>
      </c>
      <c r="J407" s="7">
        <f t="shared" si="18"/>
        <v>1729826.487</v>
      </c>
    </row>
    <row r="408" spans="1:10" ht="15" customHeight="1" x14ac:dyDescent="0.3">
      <c r="A408" s="2">
        <v>392</v>
      </c>
      <c r="B408" s="2" t="s">
        <v>3659</v>
      </c>
      <c r="C408" s="2" t="s">
        <v>4158</v>
      </c>
      <c r="D408" s="2" t="s">
        <v>4158</v>
      </c>
      <c r="E408" s="2" t="s">
        <v>3458</v>
      </c>
      <c r="F408" s="7">
        <v>488651.55</v>
      </c>
      <c r="G408" s="13">
        <v>3</v>
      </c>
      <c r="H408" s="15">
        <f t="shared" si="19"/>
        <v>1465954.65</v>
      </c>
      <c r="I408" s="7">
        <f t="shared" si="20"/>
        <v>263871.837</v>
      </c>
      <c r="J408" s="7">
        <f t="shared" si="18"/>
        <v>1729826.487</v>
      </c>
    </row>
    <row r="409" spans="1:10" ht="15" customHeight="1" x14ac:dyDescent="0.3">
      <c r="A409" s="2">
        <v>393</v>
      </c>
      <c r="B409" s="2" t="s">
        <v>1299</v>
      </c>
      <c r="C409" s="2" t="s">
        <v>1300</v>
      </c>
      <c r="D409" s="2" t="s">
        <v>1300</v>
      </c>
      <c r="E409" s="2" t="s">
        <v>3458</v>
      </c>
      <c r="F409" s="7">
        <v>488651.55</v>
      </c>
      <c r="G409" s="13">
        <v>3</v>
      </c>
      <c r="H409" s="15">
        <f t="shared" si="19"/>
        <v>1465954.65</v>
      </c>
      <c r="I409" s="7">
        <f t="shared" si="20"/>
        <v>263871.837</v>
      </c>
      <c r="J409" s="7">
        <f t="shared" si="18"/>
        <v>1729826.487</v>
      </c>
    </row>
    <row r="410" spans="1:10" ht="15" customHeight="1" x14ac:dyDescent="0.3">
      <c r="A410" s="2">
        <v>394</v>
      </c>
      <c r="B410" s="2" t="s">
        <v>1563</v>
      </c>
      <c r="C410" s="2" t="s">
        <v>1564</v>
      </c>
      <c r="D410" s="2" t="s">
        <v>1564</v>
      </c>
      <c r="E410" s="2" t="s">
        <v>3458</v>
      </c>
      <c r="F410" s="7">
        <v>488651.55</v>
      </c>
      <c r="G410" s="13">
        <v>3</v>
      </c>
      <c r="H410" s="15">
        <f t="shared" si="19"/>
        <v>1465954.65</v>
      </c>
      <c r="I410" s="7">
        <f t="shared" si="20"/>
        <v>263871.837</v>
      </c>
      <c r="J410" s="7">
        <f t="shared" si="18"/>
        <v>1729826.487</v>
      </c>
    </row>
    <row r="411" spans="1:10" ht="15" customHeight="1" x14ac:dyDescent="0.3">
      <c r="A411" s="2">
        <v>395</v>
      </c>
      <c r="B411" s="2" t="s">
        <v>1720</v>
      </c>
      <c r="C411" s="2" t="s">
        <v>1721</v>
      </c>
      <c r="D411" s="2" t="s">
        <v>1721</v>
      </c>
      <c r="E411" s="2" t="s">
        <v>3458</v>
      </c>
      <c r="F411" s="7">
        <v>488651.55</v>
      </c>
      <c r="G411" s="13">
        <v>3</v>
      </c>
      <c r="H411" s="15">
        <f t="shared" si="19"/>
        <v>1465954.65</v>
      </c>
      <c r="I411" s="7">
        <f t="shared" si="20"/>
        <v>263871.837</v>
      </c>
      <c r="J411" s="7">
        <f t="shared" si="18"/>
        <v>1729826.487</v>
      </c>
    </row>
    <row r="412" spans="1:10" ht="15" customHeight="1" x14ac:dyDescent="0.3">
      <c r="A412" s="2">
        <v>396</v>
      </c>
      <c r="B412" s="2" t="s">
        <v>1541</v>
      </c>
      <c r="C412" s="2" t="s">
        <v>1542</v>
      </c>
      <c r="D412" s="2" t="s">
        <v>1542</v>
      </c>
      <c r="E412" s="2" t="s">
        <v>3458</v>
      </c>
      <c r="F412" s="7">
        <v>488651.55</v>
      </c>
      <c r="G412" s="13">
        <v>3</v>
      </c>
      <c r="H412" s="15">
        <f t="shared" si="19"/>
        <v>1465954.65</v>
      </c>
      <c r="I412" s="7">
        <f t="shared" si="20"/>
        <v>263871.837</v>
      </c>
      <c r="J412" s="7">
        <f t="shared" si="18"/>
        <v>1729826.487</v>
      </c>
    </row>
    <row r="413" spans="1:10" ht="15" customHeight="1" x14ac:dyDescent="0.3">
      <c r="A413" s="2">
        <v>397</v>
      </c>
      <c r="B413" s="2" t="s">
        <v>3660</v>
      </c>
      <c r="C413" s="2" t="s">
        <v>4159</v>
      </c>
      <c r="D413" s="2" t="s">
        <v>4159</v>
      </c>
      <c r="E413" s="2" t="s">
        <v>3458</v>
      </c>
      <c r="F413" s="7">
        <v>488651.55</v>
      </c>
      <c r="G413" s="13">
        <v>3</v>
      </c>
      <c r="H413" s="15">
        <f t="shared" si="19"/>
        <v>1465954.65</v>
      </c>
      <c r="I413" s="7">
        <f t="shared" si="20"/>
        <v>263871.837</v>
      </c>
      <c r="J413" s="7">
        <f t="shared" si="18"/>
        <v>1729826.487</v>
      </c>
    </row>
    <row r="414" spans="1:10" ht="15" customHeight="1" x14ac:dyDescent="0.3">
      <c r="A414" s="2">
        <v>398</v>
      </c>
      <c r="B414" s="2" t="s">
        <v>3661</v>
      </c>
      <c r="C414" s="2" t="s">
        <v>4160</v>
      </c>
      <c r="D414" s="2" t="s">
        <v>4160</v>
      </c>
      <c r="E414" s="2" t="s">
        <v>3458</v>
      </c>
      <c r="F414" s="7">
        <v>488651.55</v>
      </c>
      <c r="G414" s="13">
        <v>3</v>
      </c>
      <c r="H414" s="15">
        <f t="shared" si="19"/>
        <v>1465954.65</v>
      </c>
      <c r="I414" s="7">
        <f t="shared" si="20"/>
        <v>263871.837</v>
      </c>
      <c r="J414" s="7">
        <f t="shared" si="18"/>
        <v>1729826.487</v>
      </c>
    </row>
    <row r="415" spans="1:10" ht="15" customHeight="1" x14ac:dyDescent="0.3">
      <c r="A415" s="2">
        <v>399</v>
      </c>
      <c r="B415" s="2" t="s">
        <v>1254</v>
      </c>
      <c r="C415" s="2" t="s">
        <v>1255</v>
      </c>
      <c r="D415" s="2" t="s">
        <v>1255</v>
      </c>
      <c r="E415" s="2" t="s">
        <v>3458</v>
      </c>
      <c r="F415" s="7">
        <v>488651.55</v>
      </c>
      <c r="G415" s="13">
        <v>3</v>
      </c>
      <c r="H415" s="15">
        <f t="shared" si="19"/>
        <v>1465954.65</v>
      </c>
      <c r="I415" s="7">
        <f t="shared" si="20"/>
        <v>263871.837</v>
      </c>
      <c r="J415" s="7">
        <f t="shared" si="18"/>
        <v>1729826.487</v>
      </c>
    </row>
    <row r="416" spans="1:10" ht="15" customHeight="1" x14ac:dyDescent="0.3">
      <c r="A416" s="2">
        <v>400</v>
      </c>
      <c r="B416" s="2" t="s">
        <v>3662</v>
      </c>
      <c r="C416" s="2" t="s">
        <v>4161</v>
      </c>
      <c r="D416" s="2" t="s">
        <v>4161</v>
      </c>
      <c r="E416" s="2" t="s">
        <v>3458</v>
      </c>
      <c r="F416" s="7">
        <v>488651.55</v>
      </c>
      <c r="G416" s="13">
        <v>3</v>
      </c>
      <c r="H416" s="15">
        <f t="shared" si="19"/>
        <v>1465954.65</v>
      </c>
      <c r="I416" s="7">
        <f t="shared" si="20"/>
        <v>263871.837</v>
      </c>
      <c r="J416" s="7">
        <f t="shared" si="18"/>
        <v>1729826.487</v>
      </c>
    </row>
    <row r="417" spans="1:10" ht="15" customHeight="1" x14ac:dyDescent="0.3">
      <c r="A417" s="2">
        <v>401</v>
      </c>
      <c r="B417" s="2" t="s">
        <v>3663</v>
      </c>
      <c r="C417" s="2" t="s">
        <v>4162</v>
      </c>
      <c r="D417" s="2" t="s">
        <v>4162</v>
      </c>
      <c r="E417" s="2" t="s">
        <v>3458</v>
      </c>
      <c r="F417" s="7">
        <v>488651.55</v>
      </c>
      <c r="G417" s="13">
        <v>3</v>
      </c>
      <c r="H417" s="15">
        <f t="shared" si="19"/>
        <v>1465954.65</v>
      </c>
      <c r="I417" s="7">
        <f t="shared" si="20"/>
        <v>263871.837</v>
      </c>
      <c r="J417" s="7">
        <f t="shared" si="18"/>
        <v>1729826.487</v>
      </c>
    </row>
    <row r="418" spans="1:10" ht="15" customHeight="1" x14ac:dyDescent="0.3">
      <c r="A418" s="2">
        <v>402</v>
      </c>
      <c r="B418" s="2" t="s">
        <v>3664</v>
      </c>
      <c r="C418" s="2" t="s">
        <v>4163</v>
      </c>
      <c r="D418" s="2" t="s">
        <v>4163</v>
      </c>
      <c r="E418" s="2" t="s">
        <v>3458</v>
      </c>
      <c r="F418" s="7">
        <v>488651.55</v>
      </c>
      <c r="G418" s="13">
        <v>3</v>
      </c>
      <c r="H418" s="15">
        <f t="shared" si="19"/>
        <v>1465954.65</v>
      </c>
      <c r="I418" s="7">
        <f t="shared" si="20"/>
        <v>263871.837</v>
      </c>
      <c r="J418" s="7">
        <f t="shared" si="18"/>
        <v>1729826.487</v>
      </c>
    </row>
    <row r="419" spans="1:10" ht="15" customHeight="1" x14ac:dyDescent="0.3">
      <c r="A419" s="2">
        <v>403</v>
      </c>
      <c r="B419" s="2" t="s">
        <v>3665</v>
      </c>
      <c r="C419" s="2" t="s">
        <v>4164</v>
      </c>
      <c r="D419" s="2" t="s">
        <v>4164</v>
      </c>
      <c r="E419" s="2" t="s">
        <v>3458</v>
      </c>
      <c r="F419" s="7">
        <v>488651.55</v>
      </c>
      <c r="G419" s="13">
        <v>3</v>
      </c>
      <c r="H419" s="15">
        <f t="shared" si="19"/>
        <v>1465954.65</v>
      </c>
      <c r="I419" s="7">
        <f t="shared" si="20"/>
        <v>263871.837</v>
      </c>
      <c r="J419" s="7">
        <f t="shared" si="18"/>
        <v>1729826.487</v>
      </c>
    </row>
    <row r="420" spans="1:10" ht="15" customHeight="1" x14ac:dyDescent="0.3">
      <c r="A420" s="2">
        <v>404</v>
      </c>
      <c r="B420" s="2" t="s">
        <v>3666</v>
      </c>
      <c r="C420" s="2" t="s">
        <v>4165</v>
      </c>
      <c r="D420" s="2" t="s">
        <v>4165</v>
      </c>
      <c r="E420" s="2" t="s">
        <v>3458</v>
      </c>
      <c r="F420" s="7">
        <v>488651.55</v>
      </c>
      <c r="G420" s="13">
        <v>3</v>
      </c>
      <c r="H420" s="15">
        <f t="shared" si="19"/>
        <v>1465954.65</v>
      </c>
      <c r="I420" s="7">
        <f t="shared" si="20"/>
        <v>263871.837</v>
      </c>
      <c r="J420" s="7">
        <f t="shared" si="18"/>
        <v>1729826.487</v>
      </c>
    </row>
    <row r="421" spans="1:10" ht="15" customHeight="1" x14ac:dyDescent="0.3">
      <c r="A421" s="2">
        <v>405</v>
      </c>
      <c r="B421" s="2" t="s">
        <v>3667</v>
      </c>
      <c r="C421" s="2" t="s">
        <v>4166</v>
      </c>
      <c r="D421" s="2" t="s">
        <v>4166</v>
      </c>
      <c r="E421" s="2" t="s">
        <v>3458</v>
      </c>
      <c r="F421" s="7">
        <v>488651.55</v>
      </c>
      <c r="G421" s="13">
        <v>3</v>
      </c>
      <c r="H421" s="15">
        <f t="shared" si="19"/>
        <v>1465954.65</v>
      </c>
      <c r="I421" s="7">
        <f t="shared" si="20"/>
        <v>263871.837</v>
      </c>
      <c r="J421" s="7">
        <f t="shared" si="18"/>
        <v>1729826.487</v>
      </c>
    </row>
    <row r="422" spans="1:10" ht="15" customHeight="1" x14ac:dyDescent="0.3">
      <c r="A422" s="2">
        <v>406</v>
      </c>
      <c r="B422" s="2" t="s">
        <v>3668</v>
      </c>
      <c r="C422" s="2" t="s">
        <v>4167</v>
      </c>
      <c r="D422" s="2" t="s">
        <v>4167</v>
      </c>
      <c r="E422" s="2" t="s">
        <v>3458</v>
      </c>
      <c r="F422" s="7">
        <v>488651.55</v>
      </c>
      <c r="G422" s="13">
        <v>3</v>
      </c>
      <c r="H422" s="15">
        <f t="shared" si="19"/>
        <v>1465954.65</v>
      </c>
      <c r="I422" s="7">
        <f t="shared" si="20"/>
        <v>263871.837</v>
      </c>
      <c r="J422" s="7">
        <f t="shared" si="18"/>
        <v>1729826.487</v>
      </c>
    </row>
    <row r="423" spans="1:10" ht="15" customHeight="1" x14ac:dyDescent="0.3">
      <c r="A423" s="2">
        <v>407</v>
      </c>
      <c r="B423" s="2" t="s">
        <v>3669</v>
      </c>
      <c r="C423" s="2" t="s">
        <v>4168</v>
      </c>
      <c r="D423" s="2" t="s">
        <v>4168</v>
      </c>
      <c r="E423" s="2" t="s">
        <v>3458</v>
      </c>
      <c r="F423" s="7">
        <v>488651.55</v>
      </c>
      <c r="G423" s="13">
        <v>3</v>
      </c>
      <c r="H423" s="15">
        <f t="shared" si="19"/>
        <v>1465954.65</v>
      </c>
      <c r="I423" s="7">
        <f t="shared" si="20"/>
        <v>263871.837</v>
      </c>
      <c r="J423" s="7">
        <f t="shared" si="18"/>
        <v>1729826.487</v>
      </c>
    </row>
    <row r="424" spans="1:10" ht="15" customHeight="1" x14ac:dyDescent="0.3">
      <c r="A424" s="2">
        <v>408</v>
      </c>
      <c r="B424" s="2" t="s">
        <v>1104</v>
      </c>
      <c r="C424" s="2" t="s">
        <v>1105</v>
      </c>
      <c r="D424" s="2" t="s">
        <v>1105</v>
      </c>
      <c r="E424" s="2" t="s">
        <v>3458</v>
      </c>
      <c r="F424" s="7">
        <v>488651.55</v>
      </c>
      <c r="G424" s="13">
        <v>3</v>
      </c>
      <c r="H424" s="15">
        <f t="shared" si="19"/>
        <v>1465954.65</v>
      </c>
      <c r="I424" s="7">
        <f t="shared" si="20"/>
        <v>263871.837</v>
      </c>
      <c r="J424" s="7">
        <f t="shared" si="18"/>
        <v>1729826.487</v>
      </c>
    </row>
    <row r="425" spans="1:10" ht="15" customHeight="1" x14ac:dyDescent="0.3">
      <c r="A425" s="2">
        <v>409</v>
      </c>
      <c r="B425" s="2" t="s">
        <v>3670</v>
      </c>
      <c r="C425" s="2" t="s">
        <v>4169</v>
      </c>
      <c r="D425" s="2" t="s">
        <v>4169</v>
      </c>
      <c r="E425" s="2" t="s">
        <v>3458</v>
      </c>
      <c r="F425" s="7">
        <v>488651.55</v>
      </c>
      <c r="G425" s="13">
        <v>3</v>
      </c>
      <c r="H425" s="15">
        <f t="shared" si="19"/>
        <v>1465954.65</v>
      </c>
      <c r="I425" s="7">
        <f t="shared" si="20"/>
        <v>263871.837</v>
      </c>
      <c r="J425" s="7">
        <f t="shared" si="18"/>
        <v>1729826.487</v>
      </c>
    </row>
    <row r="426" spans="1:10" ht="15" customHeight="1" x14ac:dyDescent="0.3">
      <c r="A426" s="2">
        <v>410</v>
      </c>
      <c r="B426" s="2" t="s">
        <v>3671</v>
      </c>
      <c r="C426" s="2" t="s">
        <v>4170</v>
      </c>
      <c r="D426" s="2" t="s">
        <v>4170</v>
      </c>
      <c r="E426" s="2" t="s">
        <v>3458</v>
      </c>
      <c r="F426" s="7">
        <v>488651.55</v>
      </c>
      <c r="G426" s="13">
        <v>3</v>
      </c>
      <c r="H426" s="15">
        <f t="shared" si="19"/>
        <v>1465954.65</v>
      </c>
      <c r="I426" s="7">
        <f t="shared" si="20"/>
        <v>263871.837</v>
      </c>
      <c r="J426" s="7">
        <f t="shared" si="18"/>
        <v>1729826.487</v>
      </c>
    </row>
    <row r="427" spans="1:10" ht="15" customHeight="1" x14ac:dyDescent="0.3">
      <c r="A427" s="2">
        <v>411</v>
      </c>
      <c r="B427" s="2" t="s">
        <v>1218</v>
      </c>
      <c r="C427" s="2" t="s">
        <v>1219</v>
      </c>
      <c r="D427" s="2" t="s">
        <v>1219</v>
      </c>
      <c r="E427" s="2" t="s">
        <v>3458</v>
      </c>
      <c r="F427" s="7">
        <v>488651.55</v>
      </c>
      <c r="G427" s="13">
        <v>3</v>
      </c>
      <c r="H427" s="15">
        <f t="shared" si="19"/>
        <v>1465954.65</v>
      </c>
      <c r="I427" s="7">
        <f t="shared" si="20"/>
        <v>263871.837</v>
      </c>
      <c r="J427" s="7">
        <f t="shared" si="18"/>
        <v>1729826.487</v>
      </c>
    </row>
    <row r="428" spans="1:10" ht="15" customHeight="1" x14ac:dyDescent="0.3">
      <c r="A428" s="2">
        <v>412</v>
      </c>
      <c r="B428" s="2" t="s">
        <v>3672</v>
      </c>
      <c r="C428" s="2" t="s">
        <v>4171</v>
      </c>
      <c r="D428" s="2" t="s">
        <v>4171</v>
      </c>
      <c r="E428" s="2" t="s">
        <v>3458</v>
      </c>
      <c r="F428" s="7">
        <v>488651.55</v>
      </c>
      <c r="G428" s="13">
        <v>3</v>
      </c>
      <c r="H428" s="15">
        <f t="shared" si="19"/>
        <v>1465954.65</v>
      </c>
      <c r="I428" s="7">
        <f t="shared" si="20"/>
        <v>263871.837</v>
      </c>
      <c r="J428" s="7">
        <f t="shared" si="18"/>
        <v>1729826.487</v>
      </c>
    </row>
    <row r="429" spans="1:10" ht="15" customHeight="1" x14ac:dyDescent="0.3">
      <c r="A429" s="2">
        <v>413</v>
      </c>
      <c r="B429" s="2" t="s">
        <v>3673</v>
      </c>
      <c r="C429" s="2" t="s">
        <v>4172</v>
      </c>
      <c r="D429" s="2" t="s">
        <v>4172</v>
      </c>
      <c r="E429" s="2" t="s">
        <v>3458</v>
      </c>
      <c r="F429" s="7">
        <v>488651.55</v>
      </c>
      <c r="G429" s="13">
        <v>3</v>
      </c>
      <c r="H429" s="15">
        <f t="shared" si="19"/>
        <v>1465954.65</v>
      </c>
      <c r="I429" s="7">
        <f t="shared" si="20"/>
        <v>263871.837</v>
      </c>
      <c r="J429" s="7">
        <f t="shared" si="18"/>
        <v>1729826.487</v>
      </c>
    </row>
    <row r="430" spans="1:10" ht="15" customHeight="1" x14ac:dyDescent="0.3">
      <c r="A430" s="2">
        <v>414</v>
      </c>
      <c r="B430" s="2" t="s">
        <v>3674</v>
      </c>
      <c r="C430" s="2" t="s">
        <v>4173</v>
      </c>
      <c r="D430" s="2" t="s">
        <v>4173</v>
      </c>
      <c r="E430" s="2" t="s">
        <v>3458</v>
      </c>
      <c r="F430" s="7">
        <v>488651.55</v>
      </c>
      <c r="G430" s="13">
        <v>3</v>
      </c>
      <c r="H430" s="15">
        <f t="shared" si="19"/>
        <v>1465954.65</v>
      </c>
      <c r="I430" s="7">
        <f t="shared" si="20"/>
        <v>263871.837</v>
      </c>
      <c r="J430" s="7">
        <f t="shared" si="18"/>
        <v>1729826.487</v>
      </c>
    </row>
    <row r="431" spans="1:10" ht="15" customHeight="1" x14ac:dyDescent="0.3">
      <c r="A431" s="2">
        <v>415</v>
      </c>
      <c r="B431" s="2" t="s">
        <v>3675</v>
      </c>
      <c r="C431" s="2" t="s">
        <v>4174</v>
      </c>
      <c r="D431" s="2" t="s">
        <v>4174</v>
      </c>
      <c r="E431" s="2" t="s">
        <v>3458</v>
      </c>
      <c r="F431" s="7">
        <v>488651.55</v>
      </c>
      <c r="G431" s="13">
        <v>3</v>
      </c>
      <c r="H431" s="15">
        <f t="shared" si="19"/>
        <v>1465954.65</v>
      </c>
      <c r="I431" s="7">
        <f t="shared" si="20"/>
        <v>263871.837</v>
      </c>
      <c r="J431" s="7">
        <f t="shared" si="18"/>
        <v>1729826.487</v>
      </c>
    </row>
    <row r="432" spans="1:10" ht="15" customHeight="1" x14ac:dyDescent="0.3">
      <c r="A432" s="2">
        <v>416</v>
      </c>
      <c r="B432" s="2" t="s">
        <v>1582</v>
      </c>
      <c r="C432" s="2" t="s">
        <v>1583</v>
      </c>
      <c r="D432" s="2" t="s">
        <v>1583</v>
      </c>
      <c r="E432" s="2" t="s">
        <v>3458</v>
      </c>
      <c r="F432" s="7">
        <v>488651.55</v>
      </c>
      <c r="G432" s="13">
        <v>3</v>
      </c>
      <c r="H432" s="15">
        <f t="shared" si="19"/>
        <v>1465954.65</v>
      </c>
      <c r="I432" s="7">
        <f t="shared" si="20"/>
        <v>263871.837</v>
      </c>
      <c r="J432" s="7">
        <f t="shared" si="18"/>
        <v>1729826.487</v>
      </c>
    </row>
    <row r="433" spans="1:10" ht="15" customHeight="1" x14ac:dyDescent="0.3">
      <c r="A433" s="2">
        <v>417</v>
      </c>
      <c r="B433" s="2" t="s">
        <v>3676</v>
      </c>
      <c r="C433" s="2" t="s">
        <v>4175</v>
      </c>
      <c r="D433" s="2" t="s">
        <v>4175</v>
      </c>
      <c r="E433" s="2" t="s">
        <v>3458</v>
      </c>
      <c r="F433" s="7">
        <v>488651.55</v>
      </c>
      <c r="G433" s="13">
        <v>3</v>
      </c>
      <c r="H433" s="15">
        <f t="shared" si="19"/>
        <v>1465954.65</v>
      </c>
      <c r="I433" s="7">
        <f t="shared" si="20"/>
        <v>263871.837</v>
      </c>
      <c r="J433" s="7">
        <f t="shared" si="18"/>
        <v>1729826.487</v>
      </c>
    </row>
    <row r="434" spans="1:10" ht="15" customHeight="1" x14ac:dyDescent="0.3">
      <c r="A434" s="2">
        <v>418</v>
      </c>
      <c r="B434" s="2" t="s">
        <v>1864</v>
      </c>
      <c r="C434" s="2" t="s">
        <v>1865</v>
      </c>
      <c r="D434" s="2" t="s">
        <v>1865</v>
      </c>
      <c r="E434" s="2" t="s">
        <v>3458</v>
      </c>
      <c r="F434" s="7">
        <v>488651.55</v>
      </c>
      <c r="G434" s="13">
        <v>3</v>
      </c>
      <c r="H434" s="15">
        <f t="shared" si="19"/>
        <v>1465954.65</v>
      </c>
      <c r="I434" s="7">
        <f t="shared" si="20"/>
        <v>263871.837</v>
      </c>
      <c r="J434" s="7">
        <f t="shared" si="18"/>
        <v>1729826.487</v>
      </c>
    </row>
    <row r="435" spans="1:10" ht="15" customHeight="1" x14ac:dyDescent="0.3">
      <c r="A435" s="2">
        <v>419</v>
      </c>
      <c r="B435" s="2" t="s">
        <v>3677</v>
      </c>
      <c r="C435" s="2" t="s">
        <v>4176</v>
      </c>
      <c r="D435" s="2" t="s">
        <v>4176</v>
      </c>
      <c r="E435" s="2" t="s">
        <v>3458</v>
      </c>
      <c r="F435" s="7">
        <v>488651.55</v>
      </c>
      <c r="G435" s="13">
        <v>3</v>
      </c>
      <c r="H435" s="15">
        <f t="shared" si="19"/>
        <v>1465954.65</v>
      </c>
      <c r="I435" s="7">
        <f t="shared" si="20"/>
        <v>263871.837</v>
      </c>
      <c r="J435" s="7">
        <f t="shared" si="18"/>
        <v>1729826.487</v>
      </c>
    </row>
    <row r="436" spans="1:10" ht="15" customHeight="1" x14ac:dyDescent="0.3">
      <c r="A436" s="2">
        <v>420</v>
      </c>
      <c r="B436" s="2" t="s">
        <v>3678</v>
      </c>
      <c r="C436" s="2" t="s">
        <v>4177</v>
      </c>
      <c r="D436" s="2" t="s">
        <v>4177</v>
      </c>
      <c r="E436" s="2" t="s">
        <v>3458</v>
      </c>
      <c r="F436" s="7">
        <v>488651.55</v>
      </c>
      <c r="G436" s="13">
        <v>3</v>
      </c>
      <c r="H436" s="15">
        <f t="shared" si="19"/>
        <v>1465954.65</v>
      </c>
      <c r="I436" s="7">
        <f t="shared" si="20"/>
        <v>263871.837</v>
      </c>
      <c r="J436" s="7">
        <f t="shared" si="18"/>
        <v>1729826.487</v>
      </c>
    </row>
    <row r="437" spans="1:10" ht="15" customHeight="1" x14ac:dyDescent="0.3">
      <c r="A437" s="2">
        <v>421</v>
      </c>
      <c r="B437" s="2" t="s">
        <v>1387</v>
      </c>
      <c r="C437" s="2" t="s">
        <v>1388</v>
      </c>
      <c r="D437" s="2" t="s">
        <v>1388</v>
      </c>
      <c r="E437" s="2" t="s">
        <v>3458</v>
      </c>
      <c r="F437" s="7">
        <v>488651.55</v>
      </c>
      <c r="G437" s="13">
        <v>3</v>
      </c>
      <c r="H437" s="15">
        <f t="shared" si="19"/>
        <v>1465954.65</v>
      </c>
      <c r="I437" s="7">
        <f t="shared" si="20"/>
        <v>263871.837</v>
      </c>
      <c r="J437" s="7">
        <f t="shared" si="18"/>
        <v>1729826.487</v>
      </c>
    </row>
    <row r="438" spans="1:10" ht="15" customHeight="1" x14ac:dyDescent="0.3">
      <c r="A438" s="2">
        <v>422</v>
      </c>
      <c r="B438" s="2" t="s">
        <v>1637</v>
      </c>
      <c r="C438" s="2" t="s">
        <v>1638</v>
      </c>
      <c r="D438" s="2" t="s">
        <v>1638</v>
      </c>
      <c r="E438" s="2" t="s">
        <v>3458</v>
      </c>
      <c r="F438" s="7">
        <v>488651.55</v>
      </c>
      <c r="G438" s="13">
        <v>3</v>
      </c>
      <c r="H438" s="15">
        <f t="shared" si="19"/>
        <v>1465954.65</v>
      </c>
      <c r="I438" s="7">
        <f t="shared" si="20"/>
        <v>263871.837</v>
      </c>
      <c r="J438" s="7">
        <f t="shared" si="18"/>
        <v>1729826.487</v>
      </c>
    </row>
    <row r="439" spans="1:10" ht="15" customHeight="1" x14ac:dyDescent="0.3">
      <c r="A439" s="2">
        <v>423</v>
      </c>
      <c r="B439" s="2" t="s">
        <v>3679</v>
      </c>
      <c r="C439" s="2" t="s">
        <v>4178</v>
      </c>
      <c r="D439" s="2" t="s">
        <v>4178</v>
      </c>
      <c r="E439" s="2" t="s">
        <v>3458</v>
      </c>
      <c r="F439" s="7">
        <v>488651.55</v>
      </c>
      <c r="G439" s="13">
        <v>3</v>
      </c>
      <c r="H439" s="15">
        <f t="shared" si="19"/>
        <v>1465954.65</v>
      </c>
      <c r="I439" s="7">
        <f t="shared" si="20"/>
        <v>263871.837</v>
      </c>
      <c r="J439" s="7">
        <f t="shared" si="18"/>
        <v>1729826.487</v>
      </c>
    </row>
    <row r="440" spans="1:10" ht="15" customHeight="1" x14ac:dyDescent="0.3">
      <c r="A440" s="2">
        <v>424</v>
      </c>
      <c r="B440" s="2" t="s">
        <v>3680</v>
      </c>
      <c r="C440" s="2" t="s">
        <v>4179</v>
      </c>
      <c r="D440" s="2" t="s">
        <v>4179</v>
      </c>
      <c r="E440" s="2" t="s">
        <v>3458</v>
      </c>
      <c r="F440" s="7">
        <v>488651.55</v>
      </c>
      <c r="G440" s="13">
        <v>3</v>
      </c>
      <c r="H440" s="15">
        <f t="shared" si="19"/>
        <v>1465954.65</v>
      </c>
      <c r="I440" s="7">
        <f t="shared" si="20"/>
        <v>263871.837</v>
      </c>
      <c r="J440" s="7">
        <f t="shared" si="18"/>
        <v>1729826.487</v>
      </c>
    </row>
    <row r="441" spans="1:10" ht="15" customHeight="1" x14ac:dyDescent="0.3">
      <c r="A441" s="2">
        <v>425</v>
      </c>
      <c r="B441" s="2" t="s">
        <v>3460</v>
      </c>
      <c r="C441" s="2" t="s">
        <v>3465</v>
      </c>
      <c r="D441" s="2" t="s">
        <v>3465</v>
      </c>
      <c r="E441" s="2" t="s">
        <v>3458</v>
      </c>
      <c r="F441" s="7">
        <v>488651.55</v>
      </c>
      <c r="G441" s="13">
        <v>3</v>
      </c>
      <c r="H441" s="15">
        <f t="shared" si="19"/>
        <v>1465954.65</v>
      </c>
      <c r="I441" s="7">
        <f t="shared" si="20"/>
        <v>263871.837</v>
      </c>
      <c r="J441" s="7">
        <f t="shared" si="18"/>
        <v>1729826.487</v>
      </c>
    </row>
    <row r="442" spans="1:10" ht="15" customHeight="1" x14ac:dyDescent="0.3">
      <c r="A442" s="2">
        <v>426</v>
      </c>
      <c r="B442" s="2" t="s">
        <v>3681</v>
      </c>
      <c r="C442" s="2" t="s">
        <v>4180</v>
      </c>
      <c r="D442" s="2" t="s">
        <v>4180</v>
      </c>
      <c r="E442" s="2" t="s">
        <v>3458</v>
      </c>
      <c r="F442" s="7">
        <v>488651.55</v>
      </c>
      <c r="G442" s="13">
        <v>3</v>
      </c>
      <c r="H442" s="15">
        <f t="shared" si="19"/>
        <v>1465954.65</v>
      </c>
      <c r="I442" s="7">
        <f t="shared" si="20"/>
        <v>263871.837</v>
      </c>
      <c r="J442" s="7">
        <f t="shared" si="18"/>
        <v>1729826.487</v>
      </c>
    </row>
    <row r="443" spans="1:10" ht="15" customHeight="1" x14ac:dyDescent="0.3">
      <c r="A443" s="2">
        <v>427</v>
      </c>
      <c r="B443" s="2" t="s">
        <v>3682</v>
      </c>
      <c r="C443" s="2" t="s">
        <v>4181</v>
      </c>
      <c r="D443" s="2" t="s">
        <v>4181</v>
      </c>
      <c r="E443" s="2" t="s">
        <v>3458</v>
      </c>
      <c r="F443" s="7">
        <v>488651.55</v>
      </c>
      <c r="G443" s="13">
        <v>3</v>
      </c>
      <c r="H443" s="15">
        <f t="shared" si="19"/>
        <v>1465954.65</v>
      </c>
      <c r="I443" s="7">
        <f t="shared" si="20"/>
        <v>263871.837</v>
      </c>
      <c r="J443" s="7">
        <f t="shared" si="18"/>
        <v>1729826.487</v>
      </c>
    </row>
    <row r="444" spans="1:10" ht="15" customHeight="1" x14ac:dyDescent="0.3">
      <c r="A444" s="2">
        <v>428</v>
      </c>
      <c r="B444" s="2" t="s">
        <v>1269</v>
      </c>
      <c r="C444" s="2" t="s">
        <v>1270</v>
      </c>
      <c r="D444" s="2" t="s">
        <v>1270</v>
      </c>
      <c r="E444" s="2" t="s">
        <v>3458</v>
      </c>
      <c r="F444" s="7">
        <v>488651.55</v>
      </c>
      <c r="G444" s="13">
        <v>3</v>
      </c>
      <c r="H444" s="15">
        <f t="shared" si="19"/>
        <v>1465954.65</v>
      </c>
      <c r="I444" s="7">
        <f t="shared" si="20"/>
        <v>263871.837</v>
      </c>
      <c r="J444" s="7">
        <f t="shared" si="18"/>
        <v>1729826.487</v>
      </c>
    </row>
    <row r="445" spans="1:10" ht="15" customHeight="1" x14ac:dyDescent="0.3">
      <c r="A445" s="2">
        <v>429</v>
      </c>
      <c r="B445" s="2" t="s">
        <v>3683</v>
      </c>
      <c r="C445" s="2" t="s">
        <v>4182</v>
      </c>
      <c r="D445" s="2" t="s">
        <v>4182</v>
      </c>
      <c r="E445" s="2" t="s">
        <v>3458</v>
      </c>
      <c r="F445" s="7">
        <v>488651.55</v>
      </c>
      <c r="G445" s="13">
        <v>3</v>
      </c>
      <c r="H445" s="15">
        <f t="shared" si="19"/>
        <v>1465954.65</v>
      </c>
      <c r="I445" s="7">
        <f t="shared" si="20"/>
        <v>263871.837</v>
      </c>
      <c r="J445" s="7">
        <f t="shared" si="18"/>
        <v>1729826.487</v>
      </c>
    </row>
    <row r="446" spans="1:10" ht="15" customHeight="1" x14ac:dyDescent="0.3">
      <c r="A446" s="2">
        <v>430</v>
      </c>
      <c r="B446" s="2" t="s">
        <v>3684</v>
      </c>
      <c r="C446" s="2" t="s">
        <v>4183</v>
      </c>
      <c r="D446" s="2" t="s">
        <v>4183</v>
      </c>
      <c r="E446" s="2" t="s">
        <v>3458</v>
      </c>
      <c r="F446" s="7">
        <v>488651.55</v>
      </c>
      <c r="G446" s="13">
        <v>3</v>
      </c>
      <c r="H446" s="15">
        <f t="shared" si="19"/>
        <v>1465954.65</v>
      </c>
      <c r="I446" s="7">
        <f t="shared" si="20"/>
        <v>263871.837</v>
      </c>
      <c r="J446" s="7">
        <f t="shared" si="18"/>
        <v>1729826.487</v>
      </c>
    </row>
    <row r="447" spans="1:10" ht="15" customHeight="1" x14ac:dyDescent="0.3">
      <c r="A447" s="2">
        <v>431</v>
      </c>
      <c r="B447" s="2" t="s">
        <v>3685</v>
      </c>
      <c r="C447" s="2" t="s">
        <v>4184</v>
      </c>
      <c r="D447" s="2" t="s">
        <v>4184</v>
      </c>
      <c r="E447" s="2" t="s">
        <v>3458</v>
      </c>
      <c r="F447" s="7">
        <v>488651.55</v>
      </c>
      <c r="G447" s="13">
        <v>3</v>
      </c>
      <c r="H447" s="15">
        <f t="shared" si="19"/>
        <v>1465954.65</v>
      </c>
      <c r="I447" s="7">
        <f t="shared" si="20"/>
        <v>263871.837</v>
      </c>
      <c r="J447" s="7">
        <f t="shared" si="18"/>
        <v>1729826.487</v>
      </c>
    </row>
    <row r="448" spans="1:10" ht="15" customHeight="1" x14ac:dyDescent="0.3">
      <c r="A448" s="2">
        <v>432</v>
      </c>
      <c r="B448" s="2" t="s">
        <v>2582</v>
      </c>
      <c r="C448" s="2" t="s">
        <v>2583</v>
      </c>
      <c r="D448" s="2" t="s">
        <v>2583</v>
      </c>
      <c r="E448" s="2" t="s">
        <v>3458</v>
      </c>
      <c r="F448" s="7">
        <v>488651.55</v>
      </c>
      <c r="G448" s="13">
        <v>3</v>
      </c>
      <c r="H448" s="15">
        <f t="shared" si="19"/>
        <v>1465954.65</v>
      </c>
      <c r="I448" s="7">
        <f t="shared" si="20"/>
        <v>263871.837</v>
      </c>
      <c r="J448" s="7">
        <f t="shared" si="18"/>
        <v>1729826.487</v>
      </c>
    </row>
    <row r="449" spans="1:10" ht="15" customHeight="1" x14ac:dyDescent="0.3">
      <c r="A449" s="2">
        <v>433</v>
      </c>
      <c r="B449" s="2" t="s">
        <v>3686</v>
      </c>
      <c r="C449" s="2" t="s">
        <v>4185</v>
      </c>
      <c r="D449" s="2" t="s">
        <v>4185</v>
      </c>
      <c r="E449" s="2" t="s">
        <v>3458</v>
      </c>
      <c r="F449" s="7">
        <v>488651.55</v>
      </c>
      <c r="G449" s="13">
        <v>3</v>
      </c>
      <c r="H449" s="15">
        <f t="shared" si="19"/>
        <v>1465954.65</v>
      </c>
      <c r="I449" s="7">
        <f t="shared" si="20"/>
        <v>263871.837</v>
      </c>
      <c r="J449" s="7">
        <f t="shared" si="18"/>
        <v>1729826.487</v>
      </c>
    </row>
    <row r="450" spans="1:10" ht="15" customHeight="1" x14ac:dyDescent="0.3">
      <c r="A450" s="2">
        <v>434</v>
      </c>
      <c r="B450" s="2" t="s">
        <v>3687</v>
      </c>
      <c r="C450" s="2" t="s">
        <v>4186</v>
      </c>
      <c r="D450" s="2" t="s">
        <v>4186</v>
      </c>
      <c r="E450" s="2" t="s">
        <v>3458</v>
      </c>
      <c r="F450" s="7">
        <v>488651.55</v>
      </c>
      <c r="G450" s="13">
        <v>3</v>
      </c>
      <c r="H450" s="15">
        <f t="shared" si="19"/>
        <v>1465954.65</v>
      </c>
      <c r="I450" s="7">
        <f t="shared" si="20"/>
        <v>263871.837</v>
      </c>
      <c r="J450" s="7">
        <f t="shared" si="18"/>
        <v>1729826.487</v>
      </c>
    </row>
    <row r="451" spans="1:10" ht="15" customHeight="1" x14ac:dyDescent="0.3">
      <c r="A451" s="2">
        <v>435</v>
      </c>
      <c r="B451" s="2" t="s">
        <v>3688</v>
      </c>
      <c r="C451" s="2" t="s">
        <v>4187</v>
      </c>
      <c r="D451" s="2" t="s">
        <v>4187</v>
      </c>
      <c r="E451" s="2" t="s">
        <v>3458</v>
      </c>
      <c r="F451" s="7">
        <v>488651.55</v>
      </c>
      <c r="G451" s="13">
        <v>3</v>
      </c>
      <c r="H451" s="15">
        <f t="shared" si="19"/>
        <v>1465954.65</v>
      </c>
      <c r="I451" s="7">
        <f t="shared" si="20"/>
        <v>263871.837</v>
      </c>
      <c r="J451" s="7">
        <f t="shared" si="18"/>
        <v>1729826.487</v>
      </c>
    </row>
    <row r="452" spans="1:10" ht="15" customHeight="1" x14ac:dyDescent="0.3">
      <c r="A452" s="2">
        <v>436</v>
      </c>
      <c r="B452" s="2" t="s">
        <v>3689</v>
      </c>
      <c r="C452" s="2" t="s">
        <v>4188</v>
      </c>
      <c r="D452" s="2" t="s">
        <v>4188</v>
      </c>
      <c r="E452" s="2" t="s">
        <v>3458</v>
      </c>
      <c r="F452" s="7">
        <v>488651.55</v>
      </c>
      <c r="G452" s="13">
        <v>3</v>
      </c>
      <c r="H452" s="15">
        <f t="shared" si="19"/>
        <v>1465954.65</v>
      </c>
      <c r="I452" s="7">
        <f t="shared" si="20"/>
        <v>263871.837</v>
      </c>
      <c r="J452" s="7">
        <f t="shared" si="18"/>
        <v>1729826.487</v>
      </c>
    </row>
    <row r="453" spans="1:10" ht="15" customHeight="1" x14ac:dyDescent="0.3">
      <c r="A453" s="2">
        <v>437</v>
      </c>
      <c r="B453" s="2" t="s">
        <v>1527</v>
      </c>
      <c r="C453" s="2" t="s">
        <v>1528</v>
      </c>
      <c r="D453" s="2" t="s">
        <v>1528</v>
      </c>
      <c r="E453" s="2" t="s">
        <v>3458</v>
      </c>
      <c r="F453" s="7">
        <v>488651.55</v>
      </c>
      <c r="G453" s="13">
        <v>3</v>
      </c>
      <c r="H453" s="15">
        <f t="shared" si="19"/>
        <v>1465954.65</v>
      </c>
      <c r="I453" s="7">
        <f t="shared" si="20"/>
        <v>263871.837</v>
      </c>
      <c r="J453" s="7">
        <f t="shared" si="18"/>
        <v>1729826.487</v>
      </c>
    </row>
    <row r="454" spans="1:10" ht="15" customHeight="1" x14ac:dyDescent="0.3">
      <c r="A454" s="2">
        <v>438</v>
      </c>
      <c r="B454" s="2" t="s">
        <v>3690</v>
      </c>
      <c r="C454" s="2" t="s">
        <v>4189</v>
      </c>
      <c r="D454" s="2" t="s">
        <v>4189</v>
      </c>
      <c r="E454" s="2" t="s">
        <v>3458</v>
      </c>
      <c r="F454" s="7">
        <v>488651.55</v>
      </c>
      <c r="G454" s="13">
        <v>3</v>
      </c>
      <c r="H454" s="15">
        <f t="shared" si="19"/>
        <v>1465954.65</v>
      </c>
      <c r="I454" s="7">
        <f t="shared" si="20"/>
        <v>263871.837</v>
      </c>
      <c r="J454" s="7">
        <f t="shared" si="18"/>
        <v>1729826.487</v>
      </c>
    </row>
    <row r="455" spans="1:10" ht="15" customHeight="1" x14ac:dyDescent="0.3">
      <c r="A455" s="2">
        <v>439</v>
      </c>
      <c r="B455" s="2" t="s">
        <v>3691</v>
      </c>
      <c r="C455" s="2" t="s">
        <v>4190</v>
      </c>
      <c r="D455" s="2" t="s">
        <v>4190</v>
      </c>
      <c r="E455" s="2" t="s">
        <v>3458</v>
      </c>
      <c r="F455" s="7">
        <v>488651.55</v>
      </c>
      <c r="G455" s="13">
        <v>3</v>
      </c>
      <c r="H455" s="15">
        <f t="shared" si="19"/>
        <v>1465954.65</v>
      </c>
      <c r="I455" s="7">
        <f t="shared" si="20"/>
        <v>263871.837</v>
      </c>
      <c r="J455" s="7">
        <f t="shared" si="18"/>
        <v>1729826.487</v>
      </c>
    </row>
    <row r="456" spans="1:10" ht="15" customHeight="1" x14ac:dyDescent="0.3">
      <c r="A456" s="2">
        <v>440</v>
      </c>
      <c r="B456" s="2" t="s">
        <v>1287</v>
      </c>
      <c r="C456" s="2" t="s">
        <v>1288</v>
      </c>
      <c r="D456" s="2" t="s">
        <v>1288</v>
      </c>
      <c r="E456" s="2" t="s">
        <v>3458</v>
      </c>
      <c r="F456" s="7">
        <v>488651.55</v>
      </c>
      <c r="G456" s="13">
        <v>3</v>
      </c>
      <c r="H456" s="15">
        <f t="shared" si="19"/>
        <v>1465954.65</v>
      </c>
      <c r="I456" s="7">
        <f t="shared" si="20"/>
        <v>263871.837</v>
      </c>
      <c r="J456" s="7">
        <f t="shared" si="18"/>
        <v>1729826.487</v>
      </c>
    </row>
    <row r="457" spans="1:10" ht="15" customHeight="1" x14ac:dyDescent="0.3">
      <c r="A457" s="2">
        <v>441</v>
      </c>
      <c r="B457" s="2" t="s">
        <v>3692</v>
      </c>
      <c r="C457" s="2" t="s">
        <v>4191</v>
      </c>
      <c r="D457" s="2" t="s">
        <v>4191</v>
      </c>
      <c r="E457" s="2" t="s">
        <v>3458</v>
      </c>
      <c r="F457" s="7">
        <v>488651.55</v>
      </c>
      <c r="G457" s="13">
        <v>3</v>
      </c>
      <c r="H457" s="15">
        <f t="shared" si="19"/>
        <v>1465954.65</v>
      </c>
      <c r="I457" s="7">
        <f t="shared" si="20"/>
        <v>263871.837</v>
      </c>
      <c r="J457" s="7">
        <f t="shared" si="18"/>
        <v>1729826.487</v>
      </c>
    </row>
    <row r="458" spans="1:10" ht="15" customHeight="1" x14ac:dyDescent="0.3">
      <c r="A458" s="2">
        <v>442</v>
      </c>
      <c r="B458" s="2" t="s">
        <v>1435</v>
      </c>
      <c r="C458" s="2" t="s">
        <v>1436</v>
      </c>
      <c r="D458" s="2" t="s">
        <v>1436</v>
      </c>
      <c r="E458" s="2" t="s">
        <v>3458</v>
      </c>
      <c r="F458" s="7">
        <v>488651.55</v>
      </c>
      <c r="G458" s="13">
        <v>3</v>
      </c>
      <c r="H458" s="15">
        <f t="shared" si="19"/>
        <v>1465954.65</v>
      </c>
      <c r="I458" s="7">
        <f t="shared" si="20"/>
        <v>263871.837</v>
      </c>
      <c r="J458" s="7">
        <f t="shared" si="18"/>
        <v>1729826.487</v>
      </c>
    </row>
    <row r="459" spans="1:10" ht="15" customHeight="1" x14ac:dyDescent="0.3">
      <c r="A459" s="2">
        <v>443</v>
      </c>
      <c r="B459" s="2" t="s">
        <v>3693</v>
      </c>
      <c r="C459" s="2" t="s">
        <v>4192</v>
      </c>
      <c r="D459" s="2" t="s">
        <v>4192</v>
      </c>
      <c r="E459" s="2" t="s">
        <v>3458</v>
      </c>
      <c r="F459" s="7">
        <v>488651.55</v>
      </c>
      <c r="G459" s="13">
        <v>3</v>
      </c>
      <c r="H459" s="15">
        <f t="shared" si="19"/>
        <v>1465954.65</v>
      </c>
      <c r="I459" s="7">
        <f t="shared" si="20"/>
        <v>263871.837</v>
      </c>
      <c r="J459" s="7">
        <f t="shared" si="18"/>
        <v>1729826.487</v>
      </c>
    </row>
    <row r="460" spans="1:10" ht="15" customHeight="1" x14ac:dyDescent="0.3">
      <c r="A460" s="2">
        <v>444</v>
      </c>
      <c r="B460" s="2" t="s">
        <v>3694</v>
      </c>
      <c r="C460" s="2" t="s">
        <v>4193</v>
      </c>
      <c r="D460" s="2" t="s">
        <v>4193</v>
      </c>
      <c r="E460" s="2" t="s">
        <v>3458</v>
      </c>
      <c r="F460" s="7">
        <v>488651.55</v>
      </c>
      <c r="G460" s="13">
        <v>3</v>
      </c>
      <c r="H460" s="15">
        <f t="shared" si="19"/>
        <v>1465954.65</v>
      </c>
      <c r="I460" s="7">
        <f t="shared" si="20"/>
        <v>263871.837</v>
      </c>
      <c r="J460" s="7">
        <f t="shared" si="18"/>
        <v>1729826.487</v>
      </c>
    </row>
    <row r="461" spans="1:10" ht="15" customHeight="1" x14ac:dyDescent="0.3">
      <c r="A461" s="2">
        <v>445</v>
      </c>
      <c r="B461" s="2" t="s">
        <v>3695</v>
      </c>
      <c r="C461" s="2" t="s">
        <v>4194</v>
      </c>
      <c r="D461" s="2" t="s">
        <v>4194</v>
      </c>
      <c r="E461" s="2" t="s">
        <v>3458</v>
      </c>
      <c r="F461" s="7">
        <v>488651.55</v>
      </c>
      <c r="G461" s="13">
        <v>3</v>
      </c>
      <c r="H461" s="15">
        <f t="shared" si="19"/>
        <v>1465954.65</v>
      </c>
      <c r="I461" s="7">
        <f t="shared" si="20"/>
        <v>263871.837</v>
      </c>
      <c r="J461" s="7">
        <f t="shared" si="18"/>
        <v>1729826.487</v>
      </c>
    </row>
    <row r="462" spans="1:10" ht="15" customHeight="1" x14ac:dyDescent="0.3">
      <c r="A462" s="2">
        <v>446</v>
      </c>
      <c r="B462" s="2" t="s">
        <v>3696</v>
      </c>
      <c r="C462" s="2" t="s">
        <v>4195</v>
      </c>
      <c r="D462" s="2" t="s">
        <v>4195</v>
      </c>
      <c r="E462" s="2" t="s">
        <v>3458</v>
      </c>
      <c r="F462" s="7">
        <v>488651.55</v>
      </c>
      <c r="G462" s="13">
        <v>3</v>
      </c>
      <c r="H462" s="15">
        <f t="shared" si="19"/>
        <v>1465954.65</v>
      </c>
      <c r="I462" s="7">
        <f t="shared" si="20"/>
        <v>263871.837</v>
      </c>
      <c r="J462" s="7">
        <f t="shared" si="18"/>
        <v>1729826.487</v>
      </c>
    </row>
    <row r="463" spans="1:10" ht="15" customHeight="1" x14ac:dyDescent="0.3">
      <c r="A463" s="2">
        <v>447</v>
      </c>
      <c r="B463" s="2" t="s">
        <v>1208</v>
      </c>
      <c r="C463" s="2" t="s">
        <v>1209</v>
      </c>
      <c r="D463" s="2" t="s">
        <v>1209</v>
      </c>
      <c r="E463" s="2" t="s">
        <v>3458</v>
      </c>
      <c r="F463" s="7">
        <v>488651.55</v>
      </c>
      <c r="G463" s="13">
        <v>3</v>
      </c>
      <c r="H463" s="15">
        <f t="shared" si="19"/>
        <v>1465954.65</v>
      </c>
      <c r="I463" s="7">
        <f t="shared" si="20"/>
        <v>263871.837</v>
      </c>
      <c r="J463" s="7">
        <f t="shared" ref="J463:J525" si="21">+H463+I463</f>
        <v>1729826.487</v>
      </c>
    </row>
    <row r="464" spans="1:10" ht="15" customHeight="1" x14ac:dyDescent="0.3">
      <c r="A464" s="2">
        <v>448</v>
      </c>
      <c r="B464" s="2" t="s">
        <v>3697</v>
      </c>
      <c r="C464" s="2" t="s">
        <v>4196</v>
      </c>
      <c r="D464" s="2" t="s">
        <v>4196</v>
      </c>
      <c r="E464" s="2" t="s">
        <v>3458</v>
      </c>
      <c r="F464" s="7">
        <v>488651.55</v>
      </c>
      <c r="G464" s="13">
        <v>3</v>
      </c>
      <c r="H464" s="15">
        <f t="shared" si="19"/>
        <v>1465954.65</v>
      </c>
      <c r="I464" s="7">
        <f t="shared" si="20"/>
        <v>263871.837</v>
      </c>
      <c r="J464" s="7">
        <f t="shared" si="21"/>
        <v>1729826.487</v>
      </c>
    </row>
    <row r="465" spans="1:10" ht="15" customHeight="1" x14ac:dyDescent="0.3">
      <c r="A465" s="2">
        <v>449</v>
      </c>
      <c r="B465" s="2" t="s">
        <v>1734</v>
      </c>
      <c r="C465" s="2" t="s">
        <v>1735</v>
      </c>
      <c r="D465" s="2" t="s">
        <v>1735</v>
      </c>
      <c r="E465" s="2" t="s">
        <v>3458</v>
      </c>
      <c r="F465" s="7">
        <v>488651.55</v>
      </c>
      <c r="G465" s="13">
        <v>3</v>
      </c>
      <c r="H465" s="15">
        <f t="shared" si="19"/>
        <v>1465954.65</v>
      </c>
      <c r="I465" s="7">
        <f t="shared" si="20"/>
        <v>263871.837</v>
      </c>
      <c r="J465" s="7">
        <f t="shared" si="21"/>
        <v>1729826.487</v>
      </c>
    </row>
    <row r="466" spans="1:10" ht="15" customHeight="1" x14ac:dyDescent="0.3">
      <c r="A466" s="2">
        <v>450</v>
      </c>
      <c r="B466" s="2" t="s">
        <v>3698</v>
      </c>
      <c r="C466" s="2" t="s">
        <v>4197</v>
      </c>
      <c r="D466" s="2" t="s">
        <v>4197</v>
      </c>
      <c r="E466" s="2" t="s">
        <v>3458</v>
      </c>
      <c r="F466" s="7">
        <v>488651.55</v>
      </c>
      <c r="G466" s="13">
        <v>3</v>
      </c>
      <c r="H466" s="15">
        <f t="shared" ref="H466:H529" si="22">+F466*G466</f>
        <v>1465954.65</v>
      </c>
      <c r="I466" s="7">
        <f t="shared" ref="I466:I529" si="23">+H466*0.18</f>
        <v>263871.837</v>
      </c>
      <c r="J466" s="7">
        <f t="shared" si="21"/>
        <v>1729826.487</v>
      </c>
    </row>
    <row r="467" spans="1:10" ht="15" customHeight="1" x14ac:dyDescent="0.3">
      <c r="A467" s="2">
        <v>451</v>
      </c>
      <c r="B467" s="2" t="s">
        <v>3699</v>
      </c>
      <c r="C467" s="2" t="s">
        <v>4198</v>
      </c>
      <c r="D467" s="2" t="s">
        <v>4198</v>
      </c>
      <c r="E467" s="2" t="s">
        <v>3458</v>
      </c>
      <c r="F467" s="7">
        <v>488651.55</v>
      </c>
      <c r="G467" s="13">
        <v>3</v>
      </c>
      <c r="H467" s="15">
        <f t="shared" si="22"/>
        <v>1465954.65</v>
      </c>
      <c r="I467" s="7">
        <f t="shared" si="23"/>
        <v>263871.837</v>
      </c>
      <c r="J467" s="7">
        <f t="shared" si="21"/>
        <v>1729826.487</v>
      </c>
    </row>
    <row r="468" spans="1:10" ht="15" customHeight="1" x14ac:dyDescent="0.3">
      <c r="A468" s="2">
        <v>452</v>
      </c>
      <c r="B468" s="2" t="s">
        <v>3700</v>
      </c>
      <c r="C468" s="2" t="s">
        <v>4199</v>
      </c>
      <c r="D468" s="2" t="s">
        <v>4199</v>
      </c>
      <c r="E468" s="2" t="s">
        <v>3458</v>
      </c>
      <c r="F468" s="7">
        <v>488651.55</v>
      </c>
      <c r="G468" s="13">
        <v>3</v>
      </c>
      <c r="H468" s="15">
        <f t="shared" si="22"/>
        <v>1465954.65</v>
      </c>
      <c r="I468" s="7">
        <f t="shared" si="23"/>
        <v>263871.837</v>
      </c>
      <c r="J468" s="7">
        <f t="shared" si="21"/>
        <v>1729826.487</v>
      </c>
    </row>
    <row r="469" spans="1:10" ht="15" customHeight="1" x14ac:dyDescent="0.3">
      <c r="A469" s="2">
        <v>453</v>
      </c>
      <c r="B469" s="2" t="s">
        <v>1273</v>
      </c>
      <c r="C469" s="2" t="s">
        <v>1274</v>
      </c>
      <c r="D469" s="2" t="s">
        <v>1274</v>
      </c>
      <c r="E469" s="2" t="s">
        <v>3458</v>
      </c>
      <c r="F469" s="7">
        <v>488651.55</v>
      </c>
      <c r="G469" s="13">
        <v>3</v>
      </c>
      <c r="H469" s="15">
        <f t="shared" si="22"/>
        <v>1465954.65</v>
      </c>
      <c r="I469" s="7">
        <f t="shared" si="23"/>
        <v>263871.837</v>
      </c>
      <c r="J469" s="7">
        <f t="shared" si="21"/>
        <v>1729826.487</v>
      </c>
    </row>
    <row r="470" spans="1:10" ht="15" customHeight="1" x14ac:dyDescent="0.3">
      <c r="A470" s="2">
        <v>454</v>
      </c>
      <c r="B470" s="2" t="s">
        <v>1138</v>
      </c>
      <c r="C470" s="2" t="s">
        <v>1139</v>
      </c>
      <c r="D470" s="2" t="s">
        <v>1139</v>
      </c>
      <c r="E470" s="2" t="s">
        <v>3458</v>
      </c>
      <c r="F470" s="7">
        <v>488651.55</v>
      </c>
      <c r="G470" s="13">
        <v>3</v>
      </c>
      <c r="H470" s="15">
        <f t="shared" si="22"/>
        <v>1465954.65</v>
      </c>
      <c r="I470" s="7">
        <f t="shared" si="23"/>
        <v>263871.837</v>
      </c>
      <c r="J470" s="7">
        <f t="shared" si="21"/>
        <v>1729826.487</v>
      </c>
    </row>
    <row r="471" spans="1:10" ht="15" customHeight="1" x14ac:dyDescent="0.3">
      <c r="A471" s="2">
        <v>455</v>
      </c>
      <c r="B471" s="2" t="s">
        <v>1776</v>
      </c>
      <c r="C471" s="2" t="s">
        <v>1777</v>
      </c>
      <c r="D471" s="2" t="s">
        <v>1777</v>
      </c>
      <c r="E471" s="2" t="s">
        <v>3458</v>
      </c>
      <c r="F471" s="7">
        <v>488651.55</v>
      </c>
      <c r="G471" s="13">
        <v>3</v>
      </c>
      <c r="H471" s="15">
        <f t="shared" si="22"/>
        <v>1465954.65</v>
      </c>
      <c r="I471" s="7">
        <f t="shared" si="23"/>
        <v>263871.837</v>
      </c>
      <c r="J471" s="7">
        <f t="shared" si="21"/>
        <v>1729826.487</v>
      </c>
    </row>
    <row r="472" spans="1:10" ht="15" customHeight="1" x14ac:dyDescent="0.3">
      <c r="A472" s="2">
        <v>456</v>
      </c>
      <c r="B472" s="2" t="s">
        <v>1210</v>
      </c>
      <c r="C472" s="2" t="s">
        <v>1211</v>
      </c>
      <c r="D472" s="2" t="s">
        <v>1211</v>
      </c>
      <c r="E472" s="2" t="s">
        <v>3458</v>
      </c>
      <c r="F472" s="7">
        <v>488651.55</v>
      </c>
      <c r="G472" s="13">
        <v>3</v>
      </c>
      <c r="H472" s="15">
        <f t="shared" si="22"/>
        <v>1465954.65</v>
      </c>
      <c r="I472" s="7">
        <f t="shared" si="23"/>
        <v>263871.837</v>
      </c>
      <c r="J472" s="7">
        <f t="shared" si="21"/>
        <v>1729826.487</v>
      </c>
    </row>
    <row r="473" spans="1:10" ht="15" customHeight="1" x14ac:dyDescent="0.3">
      <c r="A473" s="2">
        <v>457</v>
      </c>
      <c r="B473" s="2" t="s">
        <v>3701</v>
      </c>
      <c r="C473" s="2" t="s">
        <v>4200</v>
      </c>
      <c r="D473" s="2" t="s">
        <v>4200</v>
      </c>
      <c r="E473" s="2" t="s">
        <v>3458</v>
      </c>
      <c r="F473" s="7">
        <v>488651.55</v>
      </c>
      <c r="G473" s="13">
        <v>3</v>
      </c>
      <c r="H473" s="15">
        <f t="shared" si="22"/>
        <v>1465954.65</v>
      </c>
      <c r="I473" s="7">
        <f t="shared" si="23"/>
        <v>263871.837</v>
      </c>
      <c r="J473" s="7">
        <f t="shared" si="21"/>
        <v>1729826.487</v>
      </c>
    </row>
    <row r="474" spans="1:10" ht="15" customHeight="1" x14ac:dyDescent="0.3">
      <c r="A474" s="2">
        <v>458</v>
      </c>
      <c r="B474" s="2" t="s">
        <v>3702</v>
      </c>
      <c r="C474" s="2" t="s">
        <v>4201</v>
      </c>
      <c r="D474" s="2" t="s">
        <v>4201</v>
      </c>
      <c r="E474" s="2" t="s">
        <v>3458</v>
      </c>
      <c r="F474" s="7">
        <v>488651.55</v>
      </c>
      <c r="G474" s="13">
        <v>3</v>
      </c>
      <c r="H474" s="15">
        <f t="shared" si="22"/>
        <v>1465954.65</v>
      </c>
      <c r="I474" s="7">
        <f t="shared" si="23"/>
        <v>263871.837</v>
      </c>
      <c r="J474" s="7">
        <f t="shared" si="21"/>
        <v>1729826.487</v>
      </c>
    </row>
    <row r="475" spans="1:10" ht="15" customHeight="1" x14ac:dyDescent="0.3">
      <c r="A475" s="2">
        <v>459</v>
      </c>
      <c r="B475" s="2" t="s">
        <v>3703</v>
      </c>
      <c r="C475" s="2" t="s">
        <v>4202</v>
      </c>
      <c r="D475" s="2" t="s">
        <v>4202</v>
      </c>
      <c r="E475" s="2" t="s">
        <v>3458</v>
      </c>
      <c r="F475" s="7">
        <v>488651.55</v>
      </c>
      <c r="G475" s="13">
        <v>3</v>
      </c>
      <c r="H475" s="15">
        <f t="shared" si="22"/>
        <v>1465954.65</v>
      </c>
      <c r="I475" s="7">
        <f t="shared" si="23"/>
        <v>263871.837</v>
      </c>
      <c r="J475" s="7">
        <f t="shared" si="21"/>
        <v>1729826.487</v>
      </c>
    </row>
    <row r="476" spans="1:10" ht="15" customHeight="1" x14ac:dyDescent="0.3">
      <c r="A476" s="2">
        <v>460</v>
      </c>
      <c r="B476" s="2" t="s">
        <v>1685</v>
      </c>
      <c r="C476" s="2" t="s">
        <v>1686</v>
      </c>
      <c r="D476" s="2" t="s">
        <v>1686</v>
      </c>
      <c r="E476" s="2" t="s">
        <v>3458</v>
      </c>
      <c r="F476" s="7">
        <v>488651.55</v>
      </c>
      <c r="G476" s="13">
        <v>3</v>
      </c>
      <c r="H476" s="15">
        <f t="shared" si="22"/>
        <v>1465954.65</v>
      </c>
      <c r="I476" s="7">
        <f t="shared" si="23"/>
        <v>263871.837</v>
      </c>
      <c r="J476" s="7">
        <f t="shared" si="21"/>
        <v>1729826.487</v>
      </c>
    </row>
    <row r="477" spans="1:10" ht="15" customHeight="1" x14ac:dyDescent="0.3">
      <c r="A477" s="2">
        <v>461</v>
      </c>
      <c r="B477" s="2" t="s">
        <v>3704</v>
      </c>
      <c r="C477" s="2" t="s">
        <v>4203</v>
      </c>
      <c r="D477" s="2" t="s">
        <v>4203</v>
      </c>
      <c r="E477" s="2" t="s">
        <v>3458</v>
      </c>
      <c r="F477" s="7">
        <v>488651.55</v>
      </c>
      <c r="G477" s="13">
        <v>3</v>
      </c>
      <c r="H477" s="15">
        <f t="shared" si="22"/>
        <v>1465954.65</v>
      </c>
      <c r="I477" s="7">
        <f t="shared" si="23"/>
        <v>263871.837</v>
      </c>
      <c r="J477" s="7">
        <f t="shared" si="21"/>
        <v>1729826.487</v>
      </c>
    </row>
    <row r="478" spans="1:10" ht="15" customHeight="1" x14ac:dyDescent="0.3">
      <c r="A478" s="2">
        <v>462</v>
      </c>
      <c r="B478" s="2" t="s">
        <v>3705</v>
      </c>
      <c r="C478" s="2" t="s">
        <v>4204</v>
      </c>
      <c r="D478" s="2" t="s">
        <v>4204</v>
      </c>
      <c r="E478" s="2" t="s">
        <v>3458</v>
      </c>
      <c r="F478" s="7">
        <v>488651.55</v>
      </c>
      <c r="G478" s="13">
        <v>3</v>
      </c>
      <c r="H478" s="15">
        <f t="shared" si="22"/>
        <v>1465954.65</v>
      </c>
      <c r="I478" s="7">
        <f t="shared" si="23"/>
        <v>263871.837</v>
      </c>
      <c r="J478" s="7">
        <f t="shared" si="21"/>
        <v>1729826.487</v>
      </c>
    </row>
    <row r="479" spans="1:10" ht="15" customHeight="1" x14ac:dyDescent="0.3">
      <c r="A479" s="2">
        <v>463</v>
      </c>
      <c r="B479" s="2" t="s">
        <v>1475</v>
      </c>
      <c r="C479" s="2" t="s">
        <v>1476</v>
      </c>
      <c r="D479" s="2" t="s">
        <v>1476</v>
      </c>
      <c r="E479" s="2" t="s">
        <v>3458</v>
      </c>
      <c r="F479" s="7">
        <v>488651.55</v>
      </c>
      <c r="G479" s="13">
        <v>3</v>
      </c>
      <c r="H479" s="15">
        <f t="shared" si="22"/>
        <v>1465954.65</v>
      </c>
      <c r="I479" s="7">
        <f t="shared" si="23"/>
        <v>263871.837</v>
      </c>
      <c r="J479" s="7">
        <f t="shared" si="21"/>
        <v>1729826.487</v>
      </c>
    </row>
    <row r="480" spans="1:10" ht="15" customHeight="1" x14ac:dyDescent="0.3">
      <c r="A480" s="2">
        <v>464</v>
      </c>
      <c r="B480" s="2" t="s">
        <v>3706</v>
      </c>
      <c r="C480" s="2" t="s">
        <v>4205</v>
      </c>
      <c r="D480" s="2" t="s">
        <v>4205</v>
      </c>
      <c r="E480" s="2" t="s">
        <v>3458</v>
      </c>
      <c r="F480" s="7">
        <v>488651.55</v>
      </c>
      <c r="G480" s="13">
        <v>3</v>
      </c>
      <c r="H480" s="15">
        <f t="shared" si="22"/>
        <v>1465954.65</v>
      </c>
      <c r="I480" s="7">
        <f t="shared" si="23"/>
        <v>263871.837</v>
      </c>
      <c r="J480" s="7">
        <f t="shared" si="21"/>
        <v>1729826.487</v>
      </c>
    </row>
    <row r="481" spans="1:10" ht="15" customHeight="1" x14ac:dyDescent="0.3">
      <c r="A481" s="2">
        <v>465</v>
      </c>
      <c r="B481" s="2" t="s">
        <v>3707</v>
      </c>
      <c r="C481" s="2" t="s">
        <v>4206</v>
      </c>
      <c r="D481" s="2" t="s">
        <v>4206</v>
      </c>
      <c r="E481" s="2" t="s">
        <v>3458</v>
      </c>
      <c r="F481" s="7">
        <v>488651.55</v>
      </c>
      <c r="G481" s="13">
        <v>3</v>
      </c>
      <c r="H481" s="15">
        <f t="shared" si="22"/>
        <v>1465954.65</v>
      </c>
      <c r="I481" s="7">
        <f t="shared" si="23"/>
        <v>263871.837</v>
      </c>
      <c r="J481" s="7">
        <f t="shared" si="21"/>
        <v>1729826.487</v>
      </c>
    </row>
    <row r="482" spans="1:10" ht="15" customHeight="1" x14ac:dyDescent="0.3">
      <c r="A482" s="2">
        <v>466</v>
      </c>
      <c r="B482" s="2" t="s">
        <v>3085</v>
      </c>
      <c r="C482" s="2" t="s">
        <v>3086</v>
      </c>
      <c r="D482" s="2" t="s">
        <v>3086</v>
      </c>
      <c r="E482" s="2" t="s">
        <v>3458</v>
      </c>
      <c r="F482" s="7">
        <v>488651.55</v>
      </c>
      <c r="G482" s="13">
        <v>3</v>
      </c>
      <c r="H482" s="15">
        <f t="shared" si="22"/>
        <v>1465954.65</v>
      </c>
      <c r="I482" s="7">
        <f t="shared" si="23"/>
        <v>263871.837</v>
      </c>
      <c r="J482" s="7">
        <f t="shared" si="21"/>
        <v>1729826.487</v>
      </c>
    </row>
    <row r="483" spans="1:10" ht="15" customHeight="1" x14ac:dyDescent="0.3">
      <c r="A483" s="2">
        <v>467</v>
      </c>
      <c r="B483" s="2" t="s">
        <v>3708</v>
      </c>
      <c r="C483" s="2" t="s">
        <v>4207</v>
      </c>
      <c r="D483" s="2" t="s">
        <v>4207</v>
      </c>
      <c r="E483" s="2" t="s">
        <v>3458</v>
      </c>
      <c r="F483" s="7">
        <v>488651.55</v>
      </c>
      <c r="G483" s="13">
        <v>3</v>
      </c>
      <c r="H483" s="15">
        <f t="shared" si="22"/>
        <v>1465954.65</v>
      </c>
      <c r="I483" s="7">
        <f t="shared" si="23"/>
        <v>263871.837</v>
      </c>
      <c r="J483" s="7">
        <f t="shared" si="21"/>
        <v>1729826.487</v>
      </c>
    </row>
    <row r="484" spans="1:10" ht="15" customHeight="1" x14ac:dyDescent="0.3">
      <c r="A484" s="2">
        <v>468</v>
      </c>
      <c r="B484" s="2" t="s">
        <v>3709</v>
      </c>
      <c r="C484" s="2" t="s">
        <v>4208</v>
      </c>
      <c r="D484" s="2" t="s">
        <v>4208</v>
      </c>
      <c r="E484" s="2" t="s">
        <v>3458</v>
      </c>
      <c r="F484" s="7">
        <v>488651.55</v>
      </c>
      <c r="G484" s="13">
        <v>3</v>
      </c>
      <c r="H484" s="15">
        <f t="shared" si="22"/>
        <v>1465954.65</v>
      </c>
      <c r="I484" s="7">
        <f t="shared" si="23"/>
        <v>263871.837</v>
      </c>
      <c r="J484" s="7">
        <f t="shared" si="21"/>
        <v>1729826.487</v>
      </c>
    </row>
    <row r="485" spans="1:10" ht="15" customHeight="1" x14ac:dyDescent="0.3">
      <c r="A485" s="2">
        <v>469</v>
      </c>
      <c r="B485" s="2" t="s">
        <v>1790</v>
      </c>
      <c r="C485" s="2" t="s">
        <v>1791</v>
      </c>
      <c r="D485" s="2" t="s">
        <v>1791</v>
      </c>
      <c r="E485" s="2" t="s">
        <v>3458</v>
      </c>
      <c r="F485" s="7">
        <v>488651.55</v>
      </c>
      <c r="G485" s="13">
        <v>3</v>
      </c>
      <c r="H485" s="15">
        <f t="shared" si="22"/>
        <v>1465954.65</v>
      </c>
      <c r="I485" s="7">
        <f t="shared" si="23"/>
        <v>263871.837</v>
      </c>
      <c r="J485" s="7">
        <f t="shared" si="21"/>
        <v>1729826.487</v>
      </c>
    </row>
    <row r="486" spans="1:10" ht="15" customHeight="1" x14ac:dyDescent="0.3">
      <c r="A486" s="2">
        <v>470</v>
      </c>
      <c r="B486" s="2" t="s">
        <v>3710</v>
      </c>
      <c r="C486" s="2" t="s">
        <v>4209</v>
      </c>
      <c r="D486" s="2" t="s">
        <v>4209</v>
      </c>
      <c r="E486" s="2" t="s">
        <v>3458</v>
      </c>
      <c r="F486" s="7">
        <v>488651.55</v>
      </c>
      <c r="G486" s="13">
        <v>3</v>
      </c>
      <c r="H486" s="15">
        <f t="shared" si="22"/>
        <v>1465954.65</v>
      </c>
      <c r="I486" s="7">
        <f t="shared" si="23"/>
        <v>263871.837</v>
      </c>
      <c r="J486" s="7">
        <f t="shared" si="21"/>
        <v>1729826.487</v>
      </c>
    </row>
    <row r="487" spans="1:10" ht="15" customHeight="1" x14ac:dyDescent="0.3">
      <c r="A487" s="2">
        <v>471</v>
      </c>
      <c r="B487" s="2" t="s">
        <v>3711</v>
      </c>
      <c r="C487" s="2" t="s">
        <v>4210</v>
      </c>
      <c r="D487" s="2" t="s">
        <v>4210</v>
      </c>
      <c r="E487" s="2" t="s">
        <v>3458</v>
      </c>
      <c r="F487" s="7">
        <v>488651.55</v>
      </c>
      <c r="G487" s="13">
        <v>3</v>
      </c>
      <c r="H487" s="15">
        <f t="shared" si="22"/>
        <v>1465954.65</v>
      </c>
      <c r="I487" s="7">
        <f t="shared" si="23"/>
        <v>263871.837</v>
      </c>
      <c r="J487" s="7">
        <f t="shared" si="21"/>
        <v>1729826.487</v>
      </c>
    </row>
    <row r="488" spans="1:10" ht="15" customHeight="1" x14ac:dyDescent="0.3">
      <c r="A488" s="2">
        <v>472</v>
      </c>
      <c r="B488" s="2" t="s">
        <v>3712</v>
      </c>
      <c r="C488" s="2" t="s">
        <v>4211</v>
      </c>
      <c r="D488" s="2" t="s">
        <v>4211</v>
      </c>
      <c r="E488" s="2" t="s">
        <v>3458</v>
      </c>
      <c r="F488" s="7">
        <v>488651.55</v>
      </c>
      <c r="G488" s="13">
        <v>3</v>
      </c>
      <c r="H488" s="15">
        <f t="shared" si="22"/>
        <v>1465954.65</v>
      </c>
      <c r="I488" s="7">
        <f t="shared" si="23"/>
        <v>263871.837</v>
      </c>
      <c r="J488" s="7">
        <f t="shared" si="21"/>
        <v>1729826.487</v>
      </c>
    </row>
    <row r="489" spans="1:10" ht="15" customHeight="1" x14ac:dyDescent="0.3">
      <c r="A489" s="2">
        <v>473</v>
      </c>
      <c r="B489" s="2" t="s">
        <v>3713</v>
      </c>
      <c r="C489" s="2" t="s">
        <v>4212</v>
      </c>
      <c r="D489" s="2" t="s">
        <v>4212</v>
      </c>
      <c r="E489" s="2" t="s">
        <v>3458</v>
      </c>
      <c r="F489" s="7">
        <v>488651.55</v>
      </c>
      <c r="G489" s="13">
        <v>3</v>
      </c>
      <c r="H489" s="15">
        <f t="shared" si="22"/>
        <v>1465954.65</v>
      </c>
      <c r="I489" s="7">
        <f t="shared" si="23"/>
        <v>263871.837</v>
      </c>
      <c r="J489" s="7">
        <f t="shared" si="21"/>
        <v>1729826.487</v>
      </c>
    </row>
    <row r="490" spans="1:10" ht="15" customHeight="1" x14ac:dyDescent="0.3">
      <c r="A490" s="2">
        <v>474</v>
      </c>
      <c r="B490" s="2" t="s">
        <v>1580</v>
      </c>
      <c r="C490" s="2" t="s">
        <v>1581</v>
      </c>
      <c r="D490" s="2" t="s">
        <v>1581</v>
      </c>
      <c r="E490" s="2" t="s">
        <v>3458</v>
      </c>
      <c r="F490" s="7">
        <v>488651.55</v>
      </c>
      <c r="G490" s="13">
        <v>3</v>
      </c>
      <c r="H490" s="15">
        <f t="shared" si="22"/>
        <v>1465954.65</v>
      </c>
      <c r="I490" s="7">
        <f t="shared" si="23"/>
        <v>263871.837</v>
      </c>
      <c r="J490" s="7">
        <f t="shared" si="21"/>
        <v>1729826.487</v>
      </c>
    </row>
    <row r="491" spans="1:10" ht="15" customHeight="1" x14ac:dyDescent="0.3">
      <c r="A491" s="2">
        <v>475</v>
      </c>
      <c r="B491" s="2" t="s">
        <v>1712</v>
      </c>
      <c r="C491" s="2" t="s">
        <v>1713</v>
      </c>
      <c r="D491" s="2" t="s">
        <v>1713</v>
      </c>
      <c r="E491" s="2" t="s">
        <v>3458</v>
      </c>
      <c r="F491" s="7">
        <v>488651.55</v>
      </c>
      <c r="G491" s="13">
        <v>3</v>
      </c>
      <c r="H491" s="15">
        <f t="shared" si="22"/>
        <v>1465954.65</v>
      </c>
      <c r="I491" s="7">
        <f t="shared" si="23"/>
        <v>263871.837</v>
      </c>
      <c r="J491" s="7">
        <f t="shared" si="21"/>
        <v>1729826.487</v>
      </c>
    </row>
    <row r="492" spans="1:10" ht="15" customHeight="1" x14ac:dyDescent="0.3">
      <c r="A492" s="2">
        <v>476</v>
      </c>
      <c r="B492" s="2" t="s">
        <v>1590</v>
      </c>
      <c r="C492" s="2" t="s">
        <v>1591</v>
      </c>
      <c r="D492" s="2" t="s">
        <v>1591</v>
      </c>
      <c r="E492" s="2" t="s">
        <v>3458</v>
      </c>
      <c r="F492" s="7">
        <v>488651.55</v>
      </c>
      <c r="G492" s="13">
        <v>3</v>
      </c>
      <c r="H492" s="15">
        <f t="shared" si="22"/>
        <v>1465954.65</v>
      </c>
      <c r="I492" s="7">
        <f t="shared" si="23"/>
        <v>263871.837</v>
      </c>
      <c r="J492" s="7">
        <f t="shared" si="21"/>
        <v>1729826.487</v>
      </c>
    </row>
    <row r="493" spans="1:10" ht="15" customHeight="1" x14ac:dyDescent="0.3">
      <c r="A493" s="2">
        <v>477</v>
      </c>
      <c r="B493" s="2" t="s">
        <v>1758</v>
      </c>
      <c r="C493" s="2" t="s">
        <v>1759</v>
      </c>
      <c r="D493" s="2" t="s">
        <v>1759</v>
      </c>
      <c r="E493" s="2" t="s">
        <v>3458</v>
      </c>
      <c r="F493" s="7">
        <v>488651.55</v>
      </c>
      <c r="G493" s="13">
        <v>3</v>
      </c>
      <c r="H493" s="15">
        <f t="shared" si="22"/>
        <v>1465954.65</v>
      </c>
      <c r="I493" s="7">
        <f t="shared" si="23"/>
        <v>263871.837</v>
      </c>
      <c r="J493" s="7">
        <f t="shared" si="21"/>
        <v>1729826.487</v>
      </c>
    </row>
    <row r="494" spans="1:10" ht="15" customHeight="1" x14ac:dyDescent="0.3">
      <c r="A494" s="2">
        <v>478</v>
      </c>
      <c r="B494" s="2" t="s">
        <v>3714</v>
      </c>
      <c r="C494" s="2" t="s">
        <v>4213</v>
      </c>
      <c r="D494" s="2" t="s">
        <v>4213</v>
      </c>
      <c r="E494" s="2" t="s">
        <v>3458</v>
      </c>
      <c r="F494" s="7">
        <v>488651.55</v>
      </c>
      <c r="G494" s="13">
        <v>3</v>
      </c>
      <c r="H494" s="15">
        <f t="shared" si="22"/>
        <v>1465954.65</v>
      </c>
      <c r="I494" s="7">
        <f t="shared" si="23"/>
        <v>263871.837</v>
      </c>
      <c r="J494" s="7">
        <f t="shared" si="21"/>
        <v>1729826.487</v>
      </c>
    </row>
    <row r="495" spans="1:10" ht="15" customHeight="1" x14ac:dyDescent="0.3">
      <c r="A495" s="2">
        <v>479</v>
      </c>
      <c r="B495" s="2" t="s">
        <v>3715</v>
      </c>
      <c r="C495" s="2" t="s">
        <v>4214</v>
      </c>
      <c r="D495" s="2" t="s">
        <v>4214</v>
      </c>
      <c r="E495" s="2" t="s">
        <v>3458</v>
      </c>
      <c r="F495" s="7">
        <v>488651.55</v>
      </c>
      <c r="G495" s="13">
        <v>3</v>
      </c>
      <c r="H495" s="15">
        <f t="shared" si="22"/>
        <v>1465954.65</v>
      </c>
      <c r="I495" s="7">
        <f t="shared" si="23"/>
        <v>263871.837</v>
      </c>
      <c r="J495" s="7">
        <f t="shared" si="21"/>
        <v>1729826.487</v>
      </c>
    </row>
    <row r="496" spans="1:10" ht="15" customHeight="1" x14ac:dyDescent="0.3">
      <c r="A496" s="2">
        <v>480</v>
      </c>
      <c r="B496" s="2" t="s">
        <v>3716</v>
      </c>
      <c r="C496" s="2" t="s">
        <v>4215</v>
      </c>
      <c r="D496" s="2" t="s">
        <v>4215</v>
      </c>
      <c r="E496" s="2" t="s">
        <v>3458</v>
      </c>
      <c r="F496" s="7">
        <v>488651.55</v>
      </c>
      <c r="G496" s="13">
        <v>3</v>
      </c>
      <c r="H496" s="15">
        <f t="shared" si="22"/>
        <v>1465954.65</v>
      </c>
      <c r="I496" s="7">
        <f t="shared" si="23"/>
        <v>263871.837</v>
      </c>
      <c r="J496" s="7">
        <f t="shared" si="21"/>
        <v>1729826.487</v>
      </c>
    </row>
    <row r="497" spans="1:10" ht="15" customHeight="1" x14ac:dyDescent="0.3">
      <c r="A497" s="2">
        <v>481</v>
      </c>
      <c r="B497" s="2" t="s">
        <v>1349</v>
      </c>
      <c r="C497" s="2" t="s">
        <v>1350</v>
      </c>
      <c r="D497" s="2" t="s">
        <v>1350</v>
      </c>
      <c r="E497" s="2" t="s">
        <v>3458</v>
      </c>
      <c r="F497" s="7">
        <v>488651.55</v>
      </c>
      <c r="G497" s="13">
        <v>3</v>
      </c>
      <c r="H497" s="15">
        <f t="shared" si="22"/>
        <v>1465954.65</v>
      </c>
      <c r="I497" s="7">
        <f t="shared" si="23"/>
        <v>263871.837</v>
      </c>
      <c r="J497" s="7">
        <f t="shared" si="21"/>
        <v>1729826.487</v>
      </c>
    </row>
    <row r="498" spans="1:10" ht="15" customHeight="1" x14ac:dyDescent="0.3">
      <c r="A498" s="2">
        <v>482</v>
      </c>
      <c r="B498" s="2" t="s">
        <v>3717</v>
      </c>
      <c r="C498" s="2" t="s">
        <v>4216</v>
      </c>
      <c r="D498" s="2" t="s">
        <v>4216</v>
      </c>
      <c r="E498" s="2" t="s">
        <v>3458</v>
      </c>
      <c r="F498" s="7">
        <v>488651.55</v>
      </c>
      <c r="G498" s="13">
        <v>3</v>
      </c>
      <c r="H498" s="15">
        <f t="shared" si="22"/>
        <v>1465954.65</v>
      </c>
      <c r="I498" s="7">
        <f t="shared" si="23"/>
        <v>263871.837</v>
      </c>
      <c r="J498" s="7">
        <f t="shared" si="21"/>
        <v>1729826.487</v>
      </c>
    </row>
    <row r="499" spans="1:10" ht="15" customHeight="1" x14ac:dyDescent="0.3">
      <c r="A499" s="2">
        <v>483</v>
      </c>
      <c r="B499" s="2" t="s">
        <v>3718</v>
      </c>
      <c r="C499" s="2" t="s">
        <v>4217</v>
      </c>
      <c r="D499" s="2" t="s">
        <v>4217</v>
      </c>
      <c r="E499" s="2" t="s">
        <v>3458</v>
      </c>
      <c r="F499" s="7">
        <v>488651.55</v>
      </c>
      <c r="G499" s="13">
        <v>3</v>
      </c>
      <c r="H499" s="15">
        <f t="shared" si="22"/>
        <v>1465954.65</v>
      </c>
      <c r="I499" s="7">
        <f t="shared" si="23"/>
        <v>263871.837</v>
      </c>
      <c r="J499" s="7">
        <f t="shared" si="21"/>
        <v>1729826.487</v>
      </c>
    </row>
    <row r="500" spans="1:10" ht="15" customHeight="1" x14ac:dyDescent="0.3">
      <c r="A500" s="2">
        <v>484</v>
      </c>
      <c r="B500" s="2" t="s">
        <v>3719</v>
      </c>
      <c r="C500" s="2" t="s">
        <v>4218</v>
      </c>
      <c r="D500" s="2" t="s">
        <v>4218</v>
      </c>
      <c r="E500" s="2" t="s">
        <v>3458</v>
      </c>
      <c r="F500" s="7">
        <v>488651.55</v>
      </c>
      <c r="G500" s="13">
        <v>3</v>
      </c>
      <c r="H500" s="15">
        <f t="shared" si="22"/>
        <v>1465954.65</v>
      </c>
      <c r="I500" s="7">
        <f t="shared" si="23"/>
        <v>263871.837</v>
      </c>
      <c r="J500" s="7">
        <f t="shared" si="21"/>
        <v>1729826.487</v>
      </c>
    </row>
    <row r="501" spans="1:10" ht="15" customHeight="1" x14ac:dyDescent="0.3">
      <c r="A501" s="2">
        <v>485</v>
      </c>
      <c r="B501" s="2" t="s">
        <v>3720</v>
      </c>
      <c r="C501" s="2" t="s">
        <v>4219</v>
      </c>
      <c r="D501" s="2" t="s">
        <v>4219</v>
      </c>
      <c r="E501" s="2" t="s">
        <v>3458</v>
      </c>
      <c r="F501" s="7">
        <v>488651.55</v>
      </c>
      <c r="G501" s="13">
        <v>3</v>
      </c>
      <c r="H501" s="15">
        <f t="shared" si="22"/>
        <v>1465954.65</v>
      </c>
      <c r="I501" s="7">
        <f t="shared" si="23"/>
        <v>263871.837</v>
      </c>
      <c r="J501" s="7">
        <f t="shared" si="21"/>
        <v>1729826.487</v>
      </c>
    </row>
    <row r="502" spans="1:10" ht="15" customHeight="1" x14ac:dyDescent="0.3">
      <c r="A502" s="2">
        <v>486</v>
      </c>
      <c r="B502" s="2" t="s">
        <v>3721</v>
      </c>
      <c r="C502" s="2" t="s">
        <v>4220</v>
      </c>
      <c r="D502" s="2" t="s">
        <v>4220</v>
      </c>
      <c r="E502" s="2" t="s">
        <v>3458</v>
      </c>
      <c r="F502" s="7">
        <v>488651.55</v>
      </c>
      <c r="G502" s="13">
        <v>3</v>
      </c>
      <c r="H502" s="15">
        <f t="shared" si="22"/>
        <v>1465954.65</v>
      </c>
      <c r="I502" s="7">
        <f t="shared" si="23"/>
        <v>263871.837</v>
      </c>
      <c r="J502" s="7">
        <f t="shared" si="21"/>
        <v>1729826.487</v>
      </c>
    </row>
    <row r="503" spans="1:10" ht="15" customHeight="1" x14ac:dyDescent="0.3">
      <c r="A503" s="2">
        <v>487</v>
      </c>
      <c r="B503" s="2" t="s">
        <v>3722</v>
      </c>
      <c r="C503" s="2" t="s">
        <v>4221</v>
      </c>
      <c r="D503" s="2" t="s">
        <v>4221</v>
      </c>
      <c r="E503" s="2" t="s">
        <v>3458</v>
      </c>
      <c r="F503" s="7">
        <v>488651.55</v>
      </c>
      <c r="G503" s="13">
        <v>3</v>
      </c>
      <c r="H503" s="15">
        <f t="shared" si="22"/>
        <v>1465954.65</v>
      </c>
      <c r="I503" s="7">
        <f t="shared" si="23"/>
        <v>263871.837</v>
      </c>
      <c r="J503" s="7">
        <f t="shared" si="21"/>
        <v>1729826.487</v>
      </c>
    </row>
    <row r="504" spans="1:10" ht="15" customHeight="1" x14ac:dyDescent="0.3">
      <c r="A504" s="2">
        <v>488</v>
      </c>
      <c r="B504" s="2" t="s">
        <v>3723</v>
      </c>
      <c r="C504" s="2" t="s">
        <v>4222</v>
      </c>
      <c r="D504" s="2" t="s">
        <v>4222</v>
      </c>
      <c r="E504" s="2" t="s">
        <v>3458</v>
      </c>
      <c r="F504" s="7">
        <v>488651.55</v>
      </c>
      <c r="G504" s="13">
        <v>3</v>
      </c>
      <c r="H504" s="15">
        <f t="shared" si="22"/>
        <v>1465954.65</v>
      </c>
      <c r="I504" s="7">
        <f t="shared" si="23"/>
        <v>263871.837</v>
      </c>
      <c r="J504" s="7">
        <f t="shared" si="21"/>
        <v>1729826.487</v>
      </c>
    </row>
    <row r="505" spans="1:10" ht="15" customHeight="1" x14ac:dyDescent="0.3">
      <c r="A505" s="2">
        <v>489</v>
      </c>
      <c r="B505" s="2" t="s">
        <v>1850</v>
      </c>
      <c r="C505" s="2" t="s">
        <v>1851</v>
      </c>
      <c r="D505" s="2" t="s">
        <v>1851</v>
      </c>
      <c r="E505" s="2" t="s">
        <v>3458</v>
      </c>
      <c r="F505" s="7">
        <v>488651.55</v>
      </c>
      <c r="G505" s="13">
        <v>3</v>
      </c>
      <c r="H505" s="15">
        <f t="shared" si="22"/>
        <v>1465954.65</v>
      </c>
      <c r="I505" s="7">
        <f t="shared" si="23"/>
        <v>263871.837</v>
      </c>
      <c r="J505" s="7">
        <f t="shared" si="21"/>
        <v>1729826.487</v>
      </c>
    </row>
    <row r="506" spans="1:10" ht="15" customHeight="1" x14ac:dyDescent="0.3">
      <c r="A506" s="2">
        <v>490</v>
      </c>
      <c r="B506" s="2" t="s">
        <v>3724</v>
      </c>
      <c r="C506" s="2" t="s">
        <v>4223</v>
      </c>
      <c r="D506" s="2" t="s">
        <v>4223</v>
      </c>
      <c r="E506" s="2" t="s">
        <v>3458</v>
      </c>
      <c r="F506" s="7">
        <v>488651.55</v>
      </c>
      <c r="G506" s="13">
        <v>3</v>
      </c>
      <c r="H506" s="15">
        <f t="shared" si="22"/>
        <v>1465954.65</v>
      </c>
      <c r="I506" s="7">
        <f t="shared" si="23"/>
        <v>263871.837</v>
      </c>
      <c r="J506" s="7">
        <f t="shared" si="21"/>
        <v>1729826.487</v>
      </c>
    </row>
    <row r="507" spans="1:10" ht="15" customHeight="1" x14ac:dyDescent="0.3">
      <c r="A507" s="2">
        <v>491</v>
      </c>
      <c r="B507" s="2" t="s">
        <v>3725</v>
      </c>
      <c r="C507" s="2" t="s">
        <v>4224</v>
      </c>
      <c r="D507" s="2" t="s">
        <v>4224</v>
      </c>
      <c r="E507" s="2" t="s">
        <v>3458</v>
      </c>
      <c r="F507" s="7">
        <v>488651.55</v>
      </c>
      <c r="G507" s="13">
        <v>3</v>
      </c>
      <c r="H507" s="15">
        <f t="shared" si="22"/>
        <v>1465954.65</v>
      </c>
      <c r="I507" s="7">
        <f t="shared" si="23"/>
        <v>263871.837</v>
      </c>
      <c r="J507" s="7">
        <f t="shared" si="21"/>
        <v>1729826.487</v>
      </c>
    </row>
    <row r="508" spans="1:10" ht="15" customHeight="1" x14ac:dyDescent="0.3">
      <c r="A508" s="2">
        <v>492</v>
      </c>
      <c r="B508" s="2" t="s">
        <v>3726</v>
      </c>
      <c r="C508" s="2" t="s">
        <v>4225</v>
      </c>
      <c r="D508" s="2" t="s">
        <v>4225</v>
      </c>
      <c r="E508" s="2" t="s">
        <v>3458</v>
      </c>
      <c r="F508" s="7">
        <v>488651.55</v>
      </c>
      <c r="G508" s="13">
        <v>3</v>
      </c>
      <c r="H508" s="15">
        <f t="shared" si="22"/>
        <v>1465954.65</v>
      </c>
      <c r="I508" s="7">
        <f t="shared" si="23"/>
        <v>263871.837</v>
      </c>
      <c r="J508" s="7">
        <f t="shared" si="21"/>
        <v>1729826.487</v>
      </c>
    </row>
    <row r="509" spans="1:10" ht="15" customHeight="1" x14ac:dyDescent="0.3">
      <c r="A509" s="2">
        <v>493</v>
      </c>
      <c r="B509" s="2" t="s">
        <v>3727</v>
      </c>
      <c r="C509" s="2" t="s">
        <v>4226</v>
      </c>
      <c r="D509" s="2" t="s">
        <v>4226</v>
      </c>
      <c r="E509" s="2" t="s">
        <v>3458</v>
      </c>
      <c r="F509" s="7">
        <v>488651.55</v>
      </c>
      <c r="G509" s="13">
        <v>3</v>
      </c>
      <c r="H509" s="15">
        <f t="shared" si="22"/>
        <v>1465954.65</v>
      </c>
      <c r="I509" s="7">
        <f t="shared" si="23"/>
        <v>263871.837</v>
      </c>
      <c r="J509" s="7">
        <f t="shared" si="21"/>
        <v>1729826.487</v>
      </c>
    </row>
    <row r="510" spans="1:10" ht="15" customHeight="1" x14ac:dyDescent="0.3">
      <c r="A510" s="2">
        <v>494</v>
      </c>
      <c r="B510" s="2" t="s">
        <v>3728</v>
      </c>
      <c r="C510" s="2" t="s">
        <v>4227</v>
      </c>
      <c r="D510" s="2" t="s">
        <v>4227</v>
      </c>
      <c r="E510" s="2" t="s">
        <v>3458</v>
      </c>
      <c r="F510" s="7">
        <v>488651.55</v>
      </c>
      <c r="G510" s="13">
        <v>3</v>
      </c>
      <c r="H510" s="15">
        <f t="shared" si="22"/>
        <v>1465954.65</v>
      </c>
      <c r="I510" s="7">
        <f t="shared" si="23"/>
        <v>263871.837</v>
      </c>
      <c r="J510" s="7">
        <f t="shared" si="21"/>
        <v>1729826.487</v>
      </c>
    </row>
    <row r="511" spans="1:10" ht="15" customHeight="1" x14ac:dyDescent="0.3">
      <c r="A511" s="2">
        <v>495</v>
      </c>
      <c r="B511" s="2" t="s">
        <v>3729</v>
      </c>
      <c r="C511" s="2" t="s">
        <v>4228</v>
      </c>
      <c r="D511" s="2" t="s">
        <v>4228</v>
      </c>
      <c r="E511" s="2" t="s">
        <v>3458</v>
      </c>
      <c r="F511" s="7">
        <v>488651.55</v>
      </c>
      <c r="G511" s="13">
        <v>3</v>
      </c>
      <c r="H511" s="15">
        <f t="shared" si="22"/>
        <v>1465954.65</v>
      </c>
      <c r="I511" s="7">
        <f t="shared" si="23"/>
        <v>263871.837</v>
      </c>
      <c r="J511" s="7">
        <f t="shared" si="21"/>
        <v>1729826.487</v>
      </c>
    </row>
    <row r="512" spans="1:10" ht="15" customHeight="1" x14ac:dyDescent="0.3">
      <c r="A512" s="2">
        <v>496</v>
      </c>
      <c r="B512" s="2" t="s">
        <v>3730</v>
      </c>
      <c r="C512" s="2" t="s">
        <v>4229</v>
      </c>
      <c r="D512" s="2" t="s">
        <v>4229</v>
      </c>
      <c r="E512" s="2" t="s">
        <v>3458</v>
      </c>
      <c r="F512" s="7">
        <v>488651.55</v>
      </c>
      <c r="G512" s="13">
        <v>3</v>
      </c>
      <c r="H512" s="15">
        <f t="shared" si="22"/>
        <v>1465954.65</v>
      </c>
      <c r="I512" s="7">
        <f t="shared" si="23"/>
        <v>263871.837</v>
      </c>
      <c r="J512" s="7">
        <f t="shared" si="21"/>
        <v>1729826.487</v>
      </c>
    </row>
    <row r="513" spans="1:10" ht="15" customHeight="1" x14ac:dyDescent="0.3">
      <c r="A513" s="2">
        <v>497</v>
      </c>
      <c r="B513" s="2" t="s">
        <v>3731</v>
      </c>
      <c r="C513" s="2" t="s">
        <v>4230</v>
      </c>
      <c r="D513" s="2" t="s">
        <v>4230</v>
      </c>
      <c r="E513" s="2" t="s">
        <v>3458</v>
      </c>
      <c r="F513" s="7">
        <v>488651.55</v>
      </c>
      <c r="G513" s="13">
        <v>3</v>
      </c>
      <c r="H513" s="15">
        <f t="shared" si="22"/>
        <v>1465954.65</v>
      </c>
      <c r="I513" s="7">
        <f t="shared" si="23"/>
        <v>263871.837</v>
      </c>
      <c r="J513" s="7">
        <f t="shared" si="21"/>
        <v>1729826.487</v>
      </c>
    </row>
    <row r="514" spans="1:10" ht="15" customHeight="1" x14ac:dyDescent="0.3">
      <c r="A514" s="2">
        <v>498</v>
      </c>
      <c r="B514" s="2" t="s">
        <v>3732</v>
      </c>
      <c r="C514" s="2" t="s">
        <v>4231</v>
      </c>
      <c r="D514" s="2" t="s">
        <v>4231</v>
      </c>
      <c r="E514" s="2" t="s">
        <v>3458</v>
      </c>
      <c r="F514" s="7">
        <v>488651.55</v>
      </c>
      <c r="G514" s="13">
        <v>3</v>
      </c>
      <c r="H514" s="15">
        <f t="shared" si="22"/>
        <v>1465954.65</v>
      </c>
      <c r="I514" s="7">
        <f t="shared" si="23"/>
        <v>263871.837</v>
      </c>
      <c r="J514" s="7">
        <f t="shared" si="21"/>
        <v>1729826.487</v>
      </c>
    </row>
    <row r="515" spans="1:10" ht="15" customHeight="1" x14ac:dyDescent="0.3">
      <c r="A515" s="2">
        <v>499</v>
      </c>
      <c r="B515" s="2" t="s">
        <v>3733</v>
      </c>
      <c r="C515" s="2" t="s">
        <v>4232</v>
      </c>
      <c r="D515" s="2" t="s">
        <v>4232</v>
      </c>
      <c r="E515" s="2" t="s">
        <v>3458</v>
      </c>
      <c r="F515" s="7">
        <v>488651.55</v>
      </c>
      <c r="G515" s="13">
        <v>3</v>
      </c>
      <c r="H515" s="15">
        <f t="shared" si="22"/>
        <v>1465954.65</v>
      </c>
      <c r="I515" s="7">
        <f t="shared" si="23"/>
        <v>263871.837</v>
      </c>
      <c r="J515" s="7">
        <f t="shared" si="21"/>
        <v>1729826.487</v>
      </c>
    </row>
    <row r="516" spans="1:10" ht="15" customHeight="1" x14ac:dyDescent="0.3">
      <c r="A516" s="2">
        <v>500</v>
      </c>
      <c r="B516" s="2" t="s">
        <v>3734</v>
      </c>
      <c r="C516" s="2" t="s">
        <v>4233</v>
      </c>
      <c r="D516" s="2" t="s">
        <v>4233</v>
      </c>
      <c r="E516" s="2" t="s">
        <v>3458</v>
      </c>
      <c r="F516" s="7">
        <v>488651.55</v>
      </c>
      <c r="G516" s="13">
        <v>3</v>
      </c>
      <c r="H516" s="15">
        <f t="shared" si="22"/>
        <v>1465954.65</v>
      </c>
      <c r="I516" s="7">
        <f t="shared" si="23"/>
        <v>263871.837</v>
      </c>
      <c r="J516" s="7">
        <f t="shared" si="21"/>
        <v>1729826.487</v>
      </c>
    </row>
    <row r="517" spans="1:10" ht="15" customHeight="1" x14ac:dyDescent="0.3">
      <c r="A517" s="2">
        <v>501</v>
      </c>
      <c r="B517" s="2" t="s">
        <v>3735</v>
      </c>
      <c r="C517" s="2" t="s">
        <v>4234</v>
      </c>
      <c r="D517" s="2" t="s">
        <v>4234</v>
      </c>
      <c r="E517" s="2" t="s">
        <v>3458</v>
      </c>
      <c r="F517" s="7">
        <v>488651.55</v>
      </c>
      <c r="G517" s="13">
        <v>3</v>
      </c>
      <c r="H517" s="15">
        <f t="shared" si="22"/>
        <v>1465954.65</v>
      </c>
      <c r="I517" s="7">
        <f t="shared" si="23"/>
        <v>263871.837</v>
      </c>
      <c r="J517" s="7">
        <f t="shared" si="21"/>
        <v>1729826.487</v>
      </c>
    </row>
    <row r="518" spans="1:10" ht="15" customHeight="1" x14ac:dyDescent="0.3">
      <c r="A518" s="2">
        <v>502</v>
      </c>
      <c r="B518" s="2" t="s">
        <v>1852</v>
      </c>
      <c r="C518" s="2" t="s">
        <v>1853</v>
      </c>
      <c r="D518" s="2" t="s">
        <v>1853</v>
      </c>
      <c r="E518" s="2" t="s">
        <v>3458</v>
      </c>
      <c r="F518" s="7">
        <v>488651.55</v>
      </c>
      <c r="G518" s="13">
        <v>3</v>
      </c>
      <c r="H518" s="15">
        <f t="shared" si="22"/>
        <v>1465954.65</v>
      </c>
      <c r="I518" s="7">
        <f t="shared" si="23"/>
        <v>263871.837</v>
      </c>
      <c r="J518" s="7">
        <f t="shared" si="21"/>
        <v>1729826.487</v>
      </c>
    </row>
    <row r="519" spans="1:10" ht="15" customHeight="1" x14ac:dyDescent="0.3">
      <c r="A519" s="2">
        <v>503</v>
      </c>
      <c r="B519" s="2" t="s">
        <v>1285</v>
      </c>
      <c r="C519" s="2" t="s">
        <v>1286</v>
      </c>
      <c r="D519" s="2" t="s">
        <v>1286</v>
      </c>
      <c r="E519" s="2" t="s">
        <v>3458</v>
      </c>
      <c r="F519" s="7">
        <v>488651.55</v>
      </c>
      <c r="G519" s="13">
        <v>3</v>
      </c>
      <c r="H519" s="15">
        <f t="shared" si="22"/>
        <v>1465954.65</v>
      </c>
      <c r="I519" s="7">
        <f t="shared" si="23"/>
        <v>263871.837</v>
      </c>
      <c r="J519" s="7">
        <f t="shared" si="21"/>
        <v>1729826.487</v>
      </c>
    </row>
    <row r="520" spans="1:10" ht="15" customHeight="1" x14ac:dyDescent="0.3">
      <c r="A520" s="2">
        <v>504</v>
      </c>
      <c r="B520" s="2" t="s">
        <v>3736</v>
      </c>
      <c r="C520" s="2" t="s">
        <v>4235</v>
      </c>
      <c r="D520" s="2" t="s">
        <v>4235</v>
      </c>
      <c r="E520" s="2" t="s">
        <v>3458</v>
      </c>
      <c r="F520" s="7">
        <v>488651.55</v>
      </c>
      <c r="G520" s="13">
        <v>3</v>
      </c>
      <c r="H520" s="15">
        <f t="shared" si="22"/>
        <v>1465954.65</v>
      </c>
      <c r="I520" s="7">
        <f t="shared" si="23"/>
        <v>263871.837</v>
      </c>
      <c r="J520" s="7">
        <f t="shared" si="21"/>
        <v>1729826.487</v>
      </c>
    </row>
    <row r="521" spans="1:10" ht="15" customHeight="1" x14ac:dyDescent="0.3">
      <c r="A521" s="2">
        <v>505</v>
      </c>
      <c r="B521" s="2" t="s">
        <v>1361</v>
      </c>
      <c r="C521" s="2" t="s">
        <v>1362</v>
      </c>
      <c r="D521" s="2" t="s">
        <v>1362</v>
      </c>
      <c r="E521" s="2" t="s">
        <v>3458</v>
      </c>
      <c r="F521" s="7">
        <v>488651.55</v>
      </c>
      <c r="G521" s="13">
        <v>3</v>
      </c>
      <c r="H521" s="15">
        <f t="shared" si="22"/>
        <v>1465954.65</v>
      </c>
      <c r="I521" s="7">
        <f t="shared" si="23"/>
        <v>263871.837</v>
      </c>
      <c r="J521" s="7">
        <f t="shared" si="21"/>
        <v>1729826.487</v>
      </c>
    </row>
    <row r="522" spans="1:10" ht="15" customHeight="1" x14ac:dyDescent="0.3">
      <c r="A522" s="2">
        <v>506</v>
      </c>
      <c r="B522" s="2" t="s">
        <v>1164</v>
      </c>
      <c r="C522" s="2" t="s">
        <v>1165</v>
      </c>
      <c r="D522" s="2" t="s">
        <v>1165</v>
      </c>
      <c r="E522" s="2" t="s">
        <v>3458</v>
      </c>
      <c r="F522" s="7">
        <v>488651.55</v>
      </c>
      <c r="G522" s="13">
        <v>3</v>
      </c>
      <c r="H522" s="15">
        <f t="shared" si="22"/>
        <v>1465954.65</v>
      </c>
      <c r="I522" s="7">
        <f t="shared" si="23"/>
        <v>263871.837</v>
      </c>
      <c r="J522" s="7">
        <f t="shared" si="21"/>
        <v>1729826.487</v>
      </c>
    </row>
    <row r="523" spans="1:10" ht="15" customHeight="1" x14ac:dyDescent="0.3">
      <c r="A523" s="2">
        <v>507</v>
      </c>
      <c r="B523" s="2" t="s">
        <v>1491</v>
      </c>
      <c r="C523" s="2" t="s">
        <v>1492</v>
      </c>
      <c r="D523" s="2" t="s">
        <v>1492</v>
      </c>
      <c r="E523" s="2" t="s">
        <v>3458</v>
      </c>
      <c r="F523" s="7">
        <v>488651.55</v>
      </c>
      <c r="G523" s="13">
        <v>3</v>
      </c>
      <c r="H523" s="15">
        <f t="shared" si="22"/>
        <v>1465954.65</v>
      </c>
      <c r="I523" s="7">
        <f t="shared" si="23"/>
        <v>263871.837</v>
      </c>
      <c r="J523" s="7">
        <f t="shared" si="21"/>
        <v>1729826.487</v>
      </c>
    </row>
    <row r="524" spans="1:10" ht="15" customHeight="1" x14ac:dyDescent="0.3">
      <c r="A524" s="2">
        <v>508</v>
      </c>
      <c r="B524" s="2" t="s">
        <v>1463</v>
      </c>
      <c r="C524" s="2" t="s">
        <v>1464</v>
      </c>
      <c r="D524" s="2" t="s">
        <v>1464</v>
      </c>
      <c r="E524" s="2" t="s">
        <v>3458</v>
      </c>
      <c r="F524" s="7">
        <v>488651.55</v>
      </c>
      <c r="G524" s="13">
        <v>3</v>
      </c>
      <c r="H524" s="15">
        <f t="shared" si="22"/>
        <v>1465954.65</v>
      </c>
      <c r="I524" s="7">
        <f t="shared" si="23"/>
        <v>263871.837</v>
      </c>
      <c r="J524" s="7">
        <f t="shared" si="21"/>
        <v>1729826.487</v>
      </c>
    </row>
    <row r="525" spans="1:10" ht="15" customHeight="1" x14ac:dyDescent="0.3">
      <c r="A525" s="2">
        <v>509</v>
      </c>
      <c r="B525" s="2" t="s">
        <v>1275</v>
      </c>
      <c r="C525" s="2" t="s">
        <v>1276</v>
      </c>
      <c r="D525" s="2" t="s">
        <v>1276</v>
      </c>
      <c r="E525" s="2" t="s">
        <v>3458</v>
      </c>
      <c r="F525" s="7">
        <v>488651.55</v>
      </c>
      <c r="G525" s="13">
        <v>3</v>
      </c>
      <c r="H525" s="15">
        <f t="shared" si="22"/>
        <v>1465954.65</v>
      </c>
      <c r="I525" s="7">
        <f t="shared" si="23"/>
        <v>263871.837</v>
      </c>
      <c r="J525" s="7">
        <f t="shared" si="21"/>
        <v>1729826.487</v>
      </c>
    </row>
    <row r="526" spans="1:10" ht="15" customHeight="1" x14ac:dyDescent="0.3">
      <c r="A526" s="2">
        <v>510</v>
      </c>
      <c r="B526" s="2" t="s">
        <v>5017</v>
      </c>
      <c r="C526" s="2" t="s">
        <v>4236</v>
      </c>
      <c r="D526" s="2" t="s">
        <v>5018</v>
      </c>
      <c r="E526" s="2" t="s">
        <v>3458</v>
      </c>
      <c r="F526" s="7">
        <v>488651.55</v>
      </c>
      <c r="G526" s="13">
        <v>3</v>
      </c>
      <c r="H526" s="15">
        <f t="shared" si="22"/>
        <v>1465954.65</v>
      </c>
      <c r="I526" s="7">
        <f t="shared" si="23"/>
        <v>263871.837</v>
      </c>
      <c r="J526" s="52">
        <f t="shared" ref="J526:J587" si="24">+H526+I526</f>
        <v>1729826.487</v>
      </c>
    </row>
    <row r="527" spans="1:10" ht="15" customHeight="1" x14ac:dyDescent="0.3">
      <c r="A527" s="2">
        <v>511</v>
      </c>
      <c r="B527" s="2" t="s">
        <v>1379</v>
      </c>
      <c r="C527" s="2" t="s">
        <v>1380</v>
      </c>
      <c r="D527" s="2" t="s">
        <v>1380</v>
      </c>
      <c r="E527" s="2" t="s">
        <v>3458</v>
      </c>
      <c r="F527" s="7">
        <v>488651.55</v>
      </c>
      <c r="G527" s="13">
        <v>3</v>
      </c>
      <c r="H527" s="15">
        <f t="shared" si="22"/>
        <v>1465954.65</v>
      </c>
      <c r="I527" s="7">
        <f t="shared" si="23"/>
        <v>263871.837</v>
      </c>
      <c r="J527" s="7">
        <f t="shared" si="24"/>
        <v>1729826.487</v>
      </c>
    </row>
    <row r="528" spans="1:10" ht="15" customHeight="1" x14ac:dyDescent="0.3">
      <c r="A528" s="2">
        <v>512</v>
      </c>
      <c r="B528" s="2" t="s">
        <v>3737</v>
      </c>
      <c r="C528" s="2" t="s">
        <v>4237</v>
      </c>
      <c r="D528" s="2" t="s">
        <v>4237</v>
      </c>
      <c r="E528" s="2" t="s">
        <v>3458</v>
      </c>
      <c r="F528" s="7">
        <v>488651.55</v>
      </c>
      <c r="G528" s="13">
        <v>3</v>
      </c>
      <c r="H528" s="15">
        <f t="shared" si="22"/>
        <v>1465954.65</v>
      </c>
      <c r="I528" s="7">
        <f t="shared" si="23"/>
        <v>263871.837</v>
      </c>
      <c r="J528" s="7">
        <f t="shared" si="24"/>
        <v>1729826.487</v>
      </c>
    </row>
    <row r="529" spans="1:10" ht="15" customHeight="1" x14ac:dyDescent="0.3">
      <c r="A529" s="2">
        <v>513</v>
      </c>
      <c r="B529" s="2" t="s">
        <v>3738</v>
      </c>
      <c r="C529" s="2" t="s">
        <v>4238</v>
      </c>
      <c r="D529" s="2" t="s">
        <v>4238</v>
      </c>
      <c r="E529" s="2" t="s">
        <v>3458</v>
      </c>
      <c r="F529" s="7">
        <v>488651.55</v>
      </c>
      <c r="G529" s="13">
        <v>3</v>
      </c>
      <c r="H529" s="15">
        <f t="shared" si="22"/>
        <v>1465954.65</v>
      </c>
      <c r="I529" s="7">
        <f t="shared" si="23"/>
        <v>263871.837</v>
      </c>
      <c r="J529" s="7">
        <f t="shared" si="24"/>
        <v>1729826.487</v>
      </c>
    </row>
    <row r="530" spans="1:10" ht="15" customHeight="1" x14ac:dyDescent="0.3">
      <c r="A530" s="2">
        <v>514</v>
      </c>
      <c r="B530" s="2" t="s">
        <v>3739</v>
      </c>
      <c r="C530" s="2" t="s">
        <v>4239</v>
      </c>
      <c r="D530" s="2" t="s">
        <v>4239</v>
      </c>
      <c r="E530" s="2" t="s">
        <v>3458</v>
      </c>
      <c r="F530" s="7">
        <v>488651.55</v>
      </c>
      <c r="G530" s="13">
        <v>3</v>
      </c>
      <c r="H530" s="15">
        <f t="shared" ref="H530:H592" si="25">+F530*G530</f>
        <v>1465954.65</v>
      </c>
      <c r="I530" s="7">
        <f t="shared" ref="I530:I592" si="26">+H530*0.18</f>
        <v>263871.837</v>
      </c>
      <c r="J530" s="7">
        <f t="shared" si="24"/>
        <v>1729826.487</v>
      </c>
    </row>
    <row r="531" spans="1:10" ht="15" customHeight="1" x14ac:dyDescent="0.3">
      <c r="A531" s="2">
        <v>515</v>
      </c>
      <c r="B531" s="2" t="s">
        <v>3740</v>
      </c>
      <c r="C531" s="2" t="s">
        <v>4240</v>
      </c>
      <c r="D531" s="2" t="s">
        <v>4240</v>
      </c>
      <c r="E531" s="2" t="s">
        <v>3458</v>
      </c>
      <c r="F531" s="7">
        <v>488651.55</v>
      </c>
      <c r="G531" s="13">
        <v>3</v>
      </c>
      <c r="H531" s="15">
        <f t="shared" si="25"/>
        <v>1465954.65</v>
      </c>
      <c r="I531" s="7">
        <f t="shared" si="26"/>
        <v>263871.837</v>
      </c>
      <c r="J531" s="7">
        <f t="shared" si="24"/>
        <v>1729826.487</v>
      </c>
    </row>
    <row r="532" spans="1:10" ht="15" customHeight="1" x14ac:dyDescent="0.3">
      <c r="A532" s="2">
        <v>516</v>
      </c>
      <c r="B532" s="2" t="s">
        <v>1212</v>
      </c>
      <c r="C532" s="2" t="s">
        <v>1213</v>
      </c>
      <c r="D532" s="2" t="s">
        <v>1213</v>
      </c>
      <c r="E532" s="2" t="s">
        <v>3458</v>
      </c>
      <c r="F532" s="7">
        <v>488651.55</v>
      </c>
      <c r="G532" s="13">
        <v>3</v>
      </c>
      <c r="H532" s="15">
        <f t="shared" si="25"/>
        <v>1465954.65</v>
      </c>
      <c r="I532" s="7">
        <f t="shared" si="26"/>
        <v>263871.837</v>
      </c>
      <c r="J532" s="7">
        <f t="shared" si="24"/>
        <v>1729826.487</v>
      </c>
    </row>
    <row r="533" spans="1:10" ht="15" customHeight="1" x14ac:dyDescent="0.3">
      <c r="A533" s="2">
        <v>517</v>
      </c>
      <c r="B533" s="2" t="s">
        <v>3741</v>
      </c>
      <c r="C533" s="2" t="s">
        <v>4241</v>
      </c>
      <c r="D533" s="2" t="s">
        <v>4241</v>
      </c>
      <c r="E533" s="2" t="s">
        <v>3458</v>
      </c>
      <c r="F533" s="7">
        <v>488651.55</v>
      </c>
      <c r="G533" s="13">
        <v>3</v>
      </c>
      <c r="H533" s="15">
        <f t="shared" si="25"/>
        <v>1465954.65</v>
      </c>
      <c r="I533" s="7">
        <f t="shared" si="26"/>
        <v>263871.837</v>
      </c>
      <c r="J533" s="7">
        <f t="shared" si="24"/>
        <v>1729826.487</v>
      </c>
    </row>
    <row r="534" spans="1:10" ht="15" customHeight="1" x14ac:dyDescent="0.3">
      <c r="A534" s="2">
        <v>518</v>
      </c>
      <c r="B534" s="2" t="s">
        <v>3742</v>
      </c>
      <c r="C534" s="2" t="s">
        <v>4242</v>
      </c>
      <c r="D534" s="2" t="s">
        <v>4242</v>
      </c>
      <c r="E534" s="2" t="s">
        <v>3458</v>
      </c>
      <c r="F534" s="7">
        <v>488651.55</v>
      </c>
      <c r="G534" s="13">
        <v>3</v>
      </c>
      <c r="H534" s="15">
        <f t="shared" si="25"/>
        <v>1465954.65</v>
      </c>
      <c r="I534" s="7">
        <f t="shared" si="26"/>
        <v>263871.837</v>
      </c>
      <c r="J534" s="7">
        <f t="shared" si="24"/>
        <v>1729826.487</v>
      </c>
    </row>
    <row r="535" spans="1:10" ht="15" customHeight="1" x14ac:dyDescent="0.3">
      <c r="A535" s="2">
        <v>519</v>
      </c>
      <c r="B535" s="2" t="s">
        <v>1247</v>
      </c>
      <c r="C535" s="2" t="s">
        <v>1248</v>
      </c>
      <c r="D535" s="2" t="s">
        <v>1248</v>
      </c>
      <c r="E535" s="2" t="s">
        <v>3458</v>
      </c>
      <c r="F535" s="7">
        <v>488651.55</v>
      </c>
      <c r="G535" s="13">
        <v>3</v>
      </c>
      <c r="H535" s="15">
        <f t="shared" si="25"/>
        <v>1465954.65</v>
      </c>
      <c r="I535" s="7">
        <f t="shared" si="26"/>
        <v>263871.837</v>
      </c>
      <c r="J535" s="7">
        <f t="shared" si="24"/>
        <v>1729826.487</v>
      </c>
    </row>
    <row r="536" spans="1:10" ht="15" customHeight="1" x14ac:dyDescent="0.3">
      <c r="A536" s="2">
        <v>520</v>
      </c>
      <c r="B536" s="2" t="s">
        <v>1936</v>
      </c>
      <c r="C536" s="2" t="s">
        <v>1937</v>
      </c>
      <c r="D536" s="2" t="s">
        <v>1937</v>
      </c>
      <c r="E536" s="2" t="s">
        <v>3458</v>
      </c>
      <c r="F536" s="7">
        <v>488651.55</v>
      </c>
      <c r="G536" s="13">
        <v>3</v>
      </c>
      <c r="H536" s="15">
        <f t="shared" si="25"/>
        <v>1465954.65</v>
      </c>
      <c r="I536" s="7">
        <f t="shared" si="26"/>
        <v>263871.837</v>
      </c>
      <c r="J536" s="7">
        <f t="shared" si="24"/>
        <v>1729826.487</v>
      </c>
    </row>
    <row r="537" spans="1:10" ht="15" customHeight="1" x14ac:dyDescent="0.3">
      <c r="A537" s="2">
        <v>521</v>
      </c>
      <c r="B537" s="2" t="s">
        <v>1780</v>
      </c>
      <c r="C537" s="2" t="s">
        <v>1781</v>
      </c>
      <c r="D537" s="2" t="s">
        <v>1781</v>
      </c>
      <c r="E537" s="2" t="s">
        <v>3458</v>
      </c>
      <c r="F537" s="7">
        <v>488651.55</v>
      </c>
      <c r="G537" s="13">
        <v>3</v>
      </c>
      <c r="H537" s="15">
        <f t="shared" si="25"/>
        <v>1465954.65</v>
      </c>
      <c r="I537" s="7">
        <f t="shared" si="26"/>
        <v>263871.837</v>
      </c>
      <c r="J537" s="7">
        <f t="shared" si="24"/>
        <v>1729826.487</v>
      </c>
    </row>
    <row r="538" spans="1:10" ht="15" customHeight="1" x14ac:dyDescent="0.3">
      <c r="A538" s="2">
        <v>522</v>
      </c>
      <c r="B538" s="2" t="s">
        <v>3743</v>
      </c>
      <c r="C538" s="2" t="s">
        <v>4243</v>
      </c>
      <c r="D538" s="2" t="s">
        <v>4243</v>
      </c>
      <c r="E538" s="2" t="s">
        <v>3458</v>
      </c>
      <c r="F538" s="7">
        <v>488651.55</v>
      </c>
      <c r="G538" s="13">
        <v>3</v>
      </c>
      <c r="H538" s="15">
        <f t="shared" si="25"/>
        <v>1465954.65</v>
      </c>
      <c r="I538" s="7">
        <f t="shared" si="26"/>
        <v>263871.837</v>
      </c>
      <c r="J538" s="7">
        <f t="shared" si="24"/>
        <v>1729826.487</v>
      </c>
    </row>
    <row r="539" spans="1:10" ht="15" customHeight="1" x14ac:dyDescent="0.3">
      <c r="A539" s="2">
        <v>523</v>
      </c>
      <c r="B539" s="2" t="s">
        <v>1770</v>
      </c>
      <c r="C539" s="2" t="s">
        <v>1771</v>
      </c>
      <c r="D539" s="2" t="s">
        <v>1771</v>
      </c>
      <c r="E539" s="2" t="s">
        <v>3458</v>
      </c>
      <c r="F539" s="7">
        <v>488651.55</v>
      </c>
      <c r="G539" s="13">
        <v>3</v>
      </c>
      <c r="H539" s="15">
        <f t="shared" si="25"/>
        <v>1465954.65</v>
      </c>
      <c r="I539" s="7">
        <f t="shared" si="26"/>
        <v>263871.837</v>
      </c>
      <c r="J539" s="7">
        <f t="shared" si="24"/>
        <v>1729826.487</v>
      </c>
    </row>
    <row r="540" spans="1:10" ht="15" customHeight="1" x14ac:dyDescent="0.3">
      <c r="A540" s="2">
        <v>524</v>
      </c>
      <c r="B540" s="2" t="s">
        <v>1706</v>
      </c>
      <c r="C540" s="2" t="s">
        <v>1707</v>
      </c>
      <c r="D540" s="2" t="s">
        <v>1707</v>
      </c>
      <c r="E540" s="2" t="s">
        <v>3458</v>
      </c>
      <c r="F540" s="7">
        <v>488651.55</v>
      </c>
      <c r="G540" s="13">
        <v>3</v>
      </c>
      <c r="H540" s="15">
        <f t="shared" si="25"/>
        <v>1465954.65</v>
      </c>
      <c r="I540" s="7">
        <f t="shared" si="26"/>
        <v>263871.837</v>
      </c>
      <c r="J540" s="7">
        <f t="shared" si="24"/>
        <v>1729826.487</v>
      </c>
    </row>
    <row r="541" spans="1:10" ht="15" customHeight="1" x14ac:dyDescent="0.3">
      <c r="A541" s="2">
        <v>525</v>
      </c>
      <c r="B541" s="2" t="s">
        <v>1601</v>
      </c>
      <c r="C541" s="2" t="s">
        <v>1602</v>
      </c>
      <c r="D541" s="2" t="s">
        <v>1602</v>
      </c>
      <c r="E541" s="2" t="s">
        <v>3458</v>
      </c>
      <c r="F541" s="7">
        <v>488651.55</v>
      </c>
      <c r="G541" s="13">
        <v>3</v>
      </c>
      <c r="H541" s="15">
        <f t="shared" si="25"/>
        <v>1465954.65</v>
      </c>
      <c r="I541" s="7">
        <f t="shared" si="26"/>
        <v>263871.837</v>
      </c>
      <c r="J541" s="7">
        <f t="shared" si="24"/>
        <v>1729826.487</v>
      </c>
    </row>
    <row r="542" spans="1:10" ht="15" customHeight="1" x14ac:dyDescent="0.3">
      <c r="A542" s="2">
        <v>526</v>
      </c>
      <c r="B542" s="2" t="s">
        <v>3744</v>
      </c>
      <c r="C542" s="2" t="s">
        <v>4244</v>
      </c>
      <c r="D542" s="2" t="s">
        <v>4244</v>
      </c>
      <c r="E542" s="2" t="s">
        <v>3458</v>
      </c>
      <c r="F542" s="7">
        <v>488651.55</v>
      </c>
      <c r="G542" s="13">
        <v>3</v>
      </c>
      <c r="H542" s="15">
        <f t="shared" si="25"/>
        <v>1465954.65</v>
      </c>
      <c r="I542" s="7">
        <f t="shared" si="26"/>
        <v>263871.837</v>
      </c>
      <c r="J542" s="7">
        <f t="shared" si="24"/>
        <v>1729826.487</v>
      </c>
    </row>
    <row r="543" spans="1:10" ht="15" customHeight="1" x14ac:dyDescent="0.3">
      <c r="A543" s="2">
        <v>527</v>
      </c>
      <c r="B543" s="2" t="s">
        <v>1140</v>
      </c>
      <c r="C543" s="2" t="s">
        <v>1141</v>
      </c>
      <c r="D543" s="2" t="s">
        <v>1141</v>
      </c>
      <c r="E543" s="2" t="s">
        <v>3458</v>
      </c>
      <c r="F543" s="7">
        <v>488651.55</v>
      </c>
      <c r="G543" s="13">
        <v>3</v>
      </c>
      <c r="H543" s="15">
        <f t="shared" si="25"/>
        <v>1465954.65</v>
      </c>
      <c r="I543" s="7">
        <f t="shared" si="26"/>
        <v>263871.837</v>
      </c>
      <c r="J543" s="7">
        <f t="shared" si="24"/>
        <v>1729826.487</v>
      </c>
    </row>
    <row r="544" spans="1:10" ht="15" customHeight="1" x14ac:dyDescent="0.3">
      <c r="A544" s="2">
        <v>528</v>
      </c>
      <c r="B544" s="2" t="s">
        <v>1607</v>
      </c>
      <c r="C544" s="2" t="s">
        <v>1608</v>
      </c>
      <c r="D544" s="2" t="s">
        <v>1608</v>
      </c>
      <c r="E544" s="2" t="s">
        <v>3458</v>
      </c>
      <c r="F544" s="7">
        <v>488651.55</v>
      </c>
      <c r="G544" s="13">
        <v>3</v>
      </c>
      <c r="H544" s="15">
        <f t="shared" si="25"/>
        <v>1465954.65</v>
      </c>
      <c r="I544" s="7">
        <f t="shared" si="26"/>
        <v>263871.837</v>
      </c>
      <c r="J544" s="7">
        <f t="shared" si="24"/>
        <v>1729826.487</v>
      </c>
    </row>
    <row r="545" spans="1:10" ht="15" customHeight="1" x14ac:dyDescent="0.3">
      <c r="A545" s="2">
        <v>529</v>
      </c>
      <c r="B545" s="2" t="s">
        <v>3745</v>
      </c>
      <c r="C545" s="2" t="s">
        <v>4245</v>
      </c>
      <c r="D545" s="2" t="s">
        <v>4245</v>
      </c>
      <c r="E545" s="2" t="s">
        <v>3458</v>
      </c>
      <c r="F545" s="7">
        <v>488651.55</v>
      </c>
      <c r="G545" s="13">
        <v>3</v>
      </c>
      <c r="H545" s="15">
        <f t="shared" si="25"/>
        <v>1465954.65</v>
      </c>
      <c r="I545" s="7">
        <f t="shared" si="26"/>
        <v>263871.837</v>
      </c>
      <c r="J545" s="7">
        <f t="shared" si="24"/>
        <v>1729826.487</v>
      </c>
    </row>
    <row r="546" spans="1:10" ht="15" customHeight="1" x14ac:dyDescent="0.3">
      <c r="A546" s="2">
        <v>530</v>
      </c>
      <c r="B546" s="2" t="s">
        <v>3746</v>
      </c>
      <c r="C546" s="2" t="s">
        <v>4246</v>
      </c>
      <c r="D546" s="2" t="s">
        <v>4246</v>
      </c>
      <c r="E546" s="2" t="s">
        <v>3458</v>
      </c>
      <c r="F546" s="7">
        <v>488651.55</v>
      </c>
      <c r="G546" s="13">
        <v>3</v>
      </c>
      <c r="H546" s="15">
        <f t="shared" si="25"/>
        <v>1465954.65</v>
      </c>
      <c r="I546" s="7">
        <f t="shared" si="26"/>
        <v>263871.837</v>
      </c>
      <c r="J546" s="7">
        <f t="shared" si="24"/>
        <v>1729826.487</v>
      </c>
    </row>
    <row r="547" spans="1:10" ht="15" customHeight="1" x14ac:dyDescent="0.3">
      <c r="A547" s="2">
        <v>531</v>
      </c>
      <c r="B547" s="2" t="s">
        <v>1549</v>
      </c>
      <c r="C547" s="2" t="s">
        <v>1550</v>
      </c>
      <c r="D547" s="2" t="s">
        <v>1550</v>
      </c>
      <c r="E547" s="2" t="s">
        <v>3458</v>
      </c>
      <c r="F547" s="7">
        <v>488651.55</v>
      </c>
      <c r="G547" s="13">
        <v>3</v>
      </c>
      <c r="H547" s="15">
        <f t="shared" si="25"/>
        <v>1465954.65</v>
      </c>
      <c r="I547" s="7">
        <f t="shared" si="26"/>
        <v>263871.837</v>
      </c>
      <c r="J547" s="7">
        <f t="shared" si="24"/>
        <v>1729826.487</v>
      </c>
    </row>
    <row r="548" spans="1:10" ht="15" customHeight="1" x14ac:dyDescent="0.3">
      <c r="A548" s="2">
        <v>532</v>
      </c>
      <c r="B548" s="2" t="s">
        <v>1898</v>
      </c>
      <c r="C548" s="2" t="s">
        <v>1899</v>
      </c>
      <c r="D548" s="2" t="s">
        <v>1899</v>
      </c>
      <c r="E548" s="2" t="s">
        <v>3458</v>
      </c>
      <c r="F548" s="7">
        <v>488651.55</v>
      </c>
      <c r="G548" s="13">
        <v>3</v>
      </c>
      <c r="H548" s="15">
        <f t="shared" si="25"/>
        <v>1465954.65</v>
      </c>
      <c r="I548" s="7">
        <f t="shared" si="26"/>
        <v>263871.837</v>
      </c>
      <c r="J548" s="7">
        <f t="shared" si="24"/>
        <v>1729826.487</v>
      </c>
    </row>
    <row r="549" spans="1:10" ht="15" customHeight="1" x14ac:dyDescent="0.3">
      <c r="A549" s="2">
        <v>533</v>
      </c>
      <c r="B549" s="2" t="s">
        <v>1271</v>
      </c>
      <c r="C549" s="2" t="s">
        <v>1272</v>
      </c>
      <c r="D549" s="2" t="s">
        <v>1272</v>
      </c>
      <c r="E549" s="2" t="s">
        <v>3458</v>
      </c>
      <c r="F549" s="7">
        <v>488651.55</v>
      </c>
      <c r="G549" s="13">
        <v>3</v>
      </c>
      <c r="H549" s="15">
        <f t="shared" si="25"/>
        <v>1465954.65</v>
      </c>
      <c r="I549" s="7">
        <f t="shared" si="26"/>
        <v>263871.837</v>
      </c>
      <c r="J549" s="7">
        <f t="shared" si="24"/>
        <v>1729826.487</v>
      </c>
    </row>
    <row r="550" spans="1:10" ht="15" customHeight="1" x14ac:dyDescent="0.3">
      <c r="A550" s="2">
        <v>534</v>
      </c>
      <c r="B550" s="2" t="s">
        <v>3747</v>
      </c>
      <c r="C550" s="2" t="s">
        <v>4247</v>
      </c>
      <c r="D550" s="2" t="s">
        <v>4247</v>
      </c>
      <c r="E550" s="2" t="s">
        <v>3458</v>
      </c>
      <c r="F550" s="7">
        <v>488651.55</v>
      </c>
      <c r="G550" s="13">
        <v>3</v>
      </c>
      <c r="H550" s="15">
        <f t="shared" si="25"/>
        <v>1465954.65</v>
      </c>
      <c r="I550" s="7">
        <f t="shared" si="26"/>
        <v>263871.837</v>
      </c>
      <c r="J550" s="7">
        <f t="shared" si="24"/>
        <v>1729826.487</v>
      </c>
    </row>
    <row r="551" spans="1:10" ht="15" customHeight="1" x14ac:dyDescent="0.3">
      <c r="A551" s="2">
        <v>535</v>
      </c>
      <c r="B551" s="2" t="s">
        <v>3748</v>
      </c>
      <c r="C551" s="2" t="s">
        <v>4248</v>
      </c>
      <c r="D551" s="2" t="s">
        <v>4248</v>
      </c>
      <c r="E551" s="2" t="s">
        <v>3458</v>
      </c>
      <c r="F551" s="7">
        <v>488651.55</v>
      </c>
      <c r="G551" s="13">
        <v>3</v>
      </c>
      <c r="H551" s="15">
        <f t="shared" si="25"/>
        <v>1465954.65</v>
      </c>
      <c r="I551" s="7">
        <f t="shared" si="26"/>
        <v>263871.837</v>
      </c>
      <c r="J551" s="7">
        <f t="shared" si="24"/>
        <v>1729826.487</v>
      </c>
    </row>
    <row r="552" spans="1:10" ht="15" customHeight="1" x14ac:dyDescent="0.3">
      <c r="A552" s="2">
        <v>536</v>
      </c>
      <c r="B552" s="2" t="s">
        <v>3749</v>
      </c>
      <c r="C552" s="2" t="s">
        <v>4249</v>
      </c>
      <c r="D552" s="2" t="s">
        <v>4249</v>
      </c>
      <c r="E552" s="2" t="s">
        <v>3458</v>
      </c>
      <c r="F552" s="7">
        <v>488651.55</v>
      </c>
      <c r="G552" s="13">
        <v>3</v>
      </c>
      <c r="H552" s="15">
        <f t="shared" si="25"/>
        <v>1465954.65</v>
      </c>
      <c r="I552" s="7">
        <f t="shared" si="26"/>
        <v>263871.837</v>
      </c>
      <c r="J552" s="7">
        <f t="shared" si="24"/>
        <v>1729826.487</v>
      </c>
    </row>
    <row r="553" spans="1:10" ht="15" customHeight="1" x14ac:dyDescent="0.3">
      <c r="A553" s="2">
        <v>537</v>
      </c>
      <c r="B553" s="2" t="s">
        <v>1578</v>
      </c>
      <c r="C553" s="2" t="s">
        <v>1579</v>
      </c>
      <c r="D553" s="2" t="s">
        <v>1579</v>
      </c>
      <c r="E553" s="2" t="s">
        <v>3458</v>
      </c>
      <c r="F553" s="7">
        <v>488651.55</v>
      </c>
      <c r="G553" s="13">
        <v>3</v>
      </c>
      <c r="H553" s="15">
        <f t="shared" si="25"/>
        <v>1465954.65</v>
      </c>
      <c r="I553" s="7">
        <f t="shared" si="26"/>
        <v>263871.837</v>
      </c>
      <c r="J553" s="7">
        <f t="shared" si="24"/>
        <v>1729826.487</v>
      </c>
    </row>
    <row r="554" spans="1:10" ht="15" customHeight="1" x14ac:dyDescent="0.3">
      <c r="A554" s="2">
        <v>538</v>
      </c>
      <c r="B554" s="2" t="s">
        <v>1489</v>
      </c>
      <c r="C554" s="2" t="s">
        <v>1490</v>
      </c>
      <c r="D554" s="2" t="s">
        <v>1490</v>
      </c>
      <c r="E554" s="2" t="s">
        <v>3458</v>
      </c>
      <c r="F554" s="7">
        <v>488651.55</v>
      </c>
      <c r="G554" s="13">
        <v>3</v>
      </c>
      <c r="H554" s="15">
        <f t="shared" si="25"/>
        <v>1465954.65</v>
      </c>
      <c r="I554" s="7">
        <f t="shared" si="26"/>
        <v>263871.837</v>
      </c>
      <c r="J554" s="7">
        <f t="shared" si="24"/>
        <v>1729826.487</v>
      </c>
    </row>
    <row r="555" spans="1:10" ht="15" customHeight="1" x14ac:dyDescent="0.3">
      <c r="A555" s="2">
        <v>539</v>
      </c>
      <c r="B555" s="2" t="s">
        <v>3750</v>
      </c>
      <c r="C555" s="2" t="s">
        <v>4250</v>
      </c>
      <c r="D555" s="2" t="s">
        <v>4250</v>
      </c>
      <c r="E555" s="2" t="s">
        <v>3458</v>
      </c>
      <c r="F555" s="7">
        <v>488651.55</v>
      </c>
      <c r="G555" s="13">
        <v>3</v>
      </c>
      <c r="H555" s="15">
        <f t="shared" si="25"/>
        <v>1465954.65</v>
      </c>
      <c r="I555" s="7">
        <f t="shared" si="26"/>
        <v>263871.837</v>
      </c>
      <c r="J555" s="7">
        <f t="shared" si="24"/>
        <v>1729826.487</v>
      </c>
    </row>
    <row r="556" spans="1:10" ht="15" customHeight="1" x14ac:dyDescent="0.3">
      <c r="A556" s="2">
        <v>540</v>
      </c>
      <c r="B556" s="2" t="s">
        <v>1365</v>
      </c>
      <c r="C556" s="2" t="s">
        <v>1366</v>
      </c>
      <c r="D556" s="2" t="s">
        <v>1366</v>
      </c>
      <c r="E556" s="2" t="s">
        <v>3458</v>
      </c>
      <c r="F556" s="7">
        <v>488651.55</v>
      </c>
      <c r="G556" s="13">
        <v>3</v>
      </c>
      <c r="H556" s="15">
        <f t="shared" si="25"/>
        <v>1465954.65</v>
      </c>
      <c r="I556" s="7">
        <f t="shared" si="26"/>
        <v>263871.837</v>
      </c>
      <c r="J556" s="7">
        <f t="shared" si="24"/>
        <v>1729826.487</v>
      </c>
    </row>
    <row r="557" spans="1:10" ht="15" customHeight="1" x14ac:dyDescent="0.3">
      <c r="A557" s="2">
        <v>541</v>
      </c>
      <c r="B557" s="2" t="s">
        <v>1576</v>
      </c>
      <c r="C557" s="2" t="s">
        <v>1577</v>
      </c>
      <c r="D557" s="2" t="s">
        <v>1577</v>
      </c>
      <c r="E557" s="2" t="s">
        <v>3458</v>
      </c>
      <c r="F557" s="7">
        <v>488651.55</v>
      </c>
      <c r="G557" s="13">
        <v>3</v>
      </c>
      <c r="H557" s="15">
        <f t="shared" si="25"/>
        <v>1465954.65</v>
      </c>
      <c r="I557" s="7">
        <f t="shared" si="26"/>
        <v>263871.837</v>
      </c>
      <c r="J557" s="7">
        <f t="shared" si="24"/>
        <v>1729826.487</v>
      </c>
    </row>
    <row r="558" spans="1:10" ht="15" customHeight="1" x14ac:dyDescent="0.3">
      <c r="A558" s="2">
        <v>542</v>
      </c>
      <c r="B558" s="2" t="s">
        <v>1796</v>
      </c>
      <c r="C558" s="2" t="s">
        <v>1797</v>
      </c>
      <c r="D558" s="2" t="s">
        <v>1797</v>
      </c>
      <c r="E558" s="2" t="s">
        <v>3458</v>
      </c>
      <c r="F558" s="7">
        <v>488651.55</v>
      </c>
      <c r="G558" s="13">
        <v>3</v>
      </c>
      <c r="H558" s="15">
        <f t="shared" si="25"/>
        <v>1465954.65</v>
      </c>
      <c r="I558" s="7">
        <f t="shared" si="26"/>
        <v>263871.837</v>
      </c>
      <c r="J558" s="7">
        <f t="shared" si="24"/>
        <v>1729826.487</v>
      </c>
    </row>
    <row r="559" spans="1:10" ht="15" customHeight="1" x14ac:dyDescent="0.3">
      <c r="A559" s="2">
        <v>543</v>
      </c>
      <c r="B559" s="2" t="s">
        <v>1718</v>
      </c>
      <c r="C559" s="2" t="s">
        <v>1719</v>
      </c>
      <c r="D559" s="2" t="s">
        <v>1719</v>
      </c>
      <c r="E559" s="2" t="s">
        <v>3458</v>
      </c>
      <c r="F559" s="7">
        <v>488651.55</v>
      </c>
      <c r="G559" s="13">
        <v>3</v>
      </c>
      <c r="H559" s="15">
        <f t="shared" si="25"/>
        <v>1465954.65</v>
      </c>
      <c r="I559" s="7">
        <f t="shared" si="26"/>
        <v>263871.837</v>
      </c>
      <c r="J559" s="7">
        <f t="shared" si="24"/>
        <v>1729826.487</v>
      </c>
    </row>
    <row r="560" spans="1:10" ht="15" customHeight="1" x14ac:dyDescent="0.3">
      <c r="A560" s="2">
        <v>544</v>
      </c>
      <c r="B560" s="2" t="s">
        <v>3751</v>
      </c>
      <c r="C560" s="2" t="s">
        <v>4251</v>
      </c>
      <c r="D560" s="2" t="s">
        <v>4251</v>
      </c>
      <c r="E560" s="2" t="s">
        <v>3458</v>
      </c>
      <c r="F560" s="7">
        <v>488651.55</v>
      </c>
      <c r="G560" s="13">
        <v>3</v>
      </c>
      <c r="H560" s="15">
        <f t="shared" si="25"/>
        <v>1465954.65</v>
      </c>
      <c r="I560" s="7">
        <f t="shared" si="26"/>
        <v>263871.837</v>
      </c>
      <c r="J560" s="7">
        <f t="shared" si="24"/>
        <v>1729826.487</v>
      </c>
    </row>
    <row r="561" spans="1:10" ht="15" customHeight="1" x14ac:dyDescent="0.3">
      <c r="A561" s="2">
        <v>545</v>
      </c>
      <c r="B561" s="2" t="s">
        <v>1455</v>
      </c>
      <c r="C561" s="2" t="s">
        <v>1456</v>
      </c>
      <c r="D561" s="2" t="s">
        <v>1456</v>
      </c>
      <c r="E561" s="2" t="s">
        <v>3458</v>
      </c>
      <c r="F561" s="7">
        <v>488651.55</v>
      </c>
      <c r="G561" s="13">
        <v>3</v>
      </c>
      <c r="H561" s="15">
        <f t="shared" si="25"/>
        <v>1465954.65</v>
      </c>
      <c r="I561" s="7">
        <f t="shared" si="26"/>
        <v>263871.837</v>
      </c>
      <c r="J561" s="7">
        <f t="shared" si="24"/>
        <v>1729826.487</v>
      </c>
    </row>
    <row r="562" spans="1:10" ht="15" customHeight="1" x14ac:dyDescent="0.3">
      <c r="A562" s="2">
        <v>546</v>
      </c>
      <c r="B562" s="2" t="s">
        <v>1782</v>
      </c>
      <c r="C562" s="2" t="s">
        <v>1783</v>
      </c>
      <c r="D562" s="2" t="s">
        <v>1783</v>
      </c>
      <c r="E562" s="2" t="s">
        <v>3458</v>
      </c>
      <c r="F562" s="7">
        <v>488651.55</v>
      </c>
      <c r="G562" s="13">
        <v>3</v>
      </c>
      <c r="H562" s="15">
        <f t="shared" si="25"/>
        <v>1465954.65</v>
      </c>
      <c r="I562" s="7">
        <f t="shared" si="26"/>
        <v>263871.837</v>
      </c>
      <c r="J562" s="7">
        <f t="shared" si="24"/>
        <v>1729826.487</v>
      </c>
    </row>
    <row r="563" spans="1:10" ht="15" customHeight="1" x14ac:dyDescent="0.3">
      <c r="A563" s="2">
        <v>547</v>
      </c>
      <c r="B563" s="2" t="s">
        <v>3752</v>
      </c>
      <c r="C563" s="2" t="s">
        <v>4252</v>
      </c>
      <c r="D563" s="2" t="s">
        <v>4252</v>
      </c>
      <c r="E563" s="2" t="s">
        <v>3458</v>
      </c>
      <c r="F563" s="7">
        <v>488651.55</v>
      </c>
      <c r="G563" s="13">
        <v>3</v>
      </c>
      <c r="H563" s="15">
        <f t="shared" si="25"/>
        <v>1465954.65</v>
      </c>
      <c r="I563" s="7">
        <f t="shared" si="26"/>
        <v>263871.837</v>
      </c>
      <c r="J563" s="7">
        <f t="shared" si="24"/>
        <v>1729826.487</v>
      </c>
    </row>
    <row r="564" spans="1:10" ht="15" customHeight="1" x14ac:dyDescent="0.3">
      <c r="A564" s="2">
        <v>548</v>
      </c>
      <c r="B564" s="2" t="s">
        <v>3753</v>
      </c>
      <c r="C564" s="2" t="s">
        <v>4253</v>
      </c>
      <c r="D564" s="2" t="s">
        <v>4253</v>
      </c>
      <c r="E564" s="2" t="s">
        <v>3458</v>
      </c>
      <c r="F564" s="7">
        <v>488651.55</v>
      </c>
      <c r="G564" s="13">
        <v>3</v>
      </c>
      <c r="H564" s="15">
        <f t="shared" si="25"/>
        <v>1465954.65</v>
      </c>
      <c r="I564" s="7">
        <f t="shared" si="26"/>
        <v>263871.837</v>
      </c>
      <c r="J564" s="7">
        <f t="shared" si="24"/>
        <v>1729826.487</v>
      </c>
    </row>
    <row r="565" spans="1:10" ht="15" customHeight="1" x14ac:dyDescent="0.3">
      <c r="A565" s="2">
        <v>549</v>
      </c>
      <c r="B565" s="2" t="s">
        <v>1722</v>
      </c>
      <c r="C565" s="2" t="s">
        <v>1723</v>
      </c>
      <c r="D565" s="2" t="s">
        <v>1723</v>
      </c>
      <c r="E565" s="2" t="s">
        <v>3458</v>
      </c>
      <c r="F565" s="7">
        <v>488651.55</v>
      </c>
      <c r="G565" s="13">
        <v>3</v>
      </c>
      <c r="H565" s="15">
        <f t="shared" si="25"/>
        <v>1465954.65</v>
      </c>
      <c r="I565" s="7">
        <f t="shared" si="26"/>
        <v>263871.837</v>
      </c>
      <c r="J565" s="7">
        <f t="shared" si="24"/>
        <v>1729826.487</v>
      </c>
    </row>
    <row r="566" spans="1:10" ht="15" customHeight="1" x14ac:dyDescent="0.3">
      <c r="A566" s="2">
        <v>550</v>
      </c>
      <c r="B566" s="2" t="s">
        <v>3754</v>
      </c>
      <c r="C566" s="2" t="s">
        <v>4254</v>
      </c>
      <c r="D566" s="2" t="s">
        <v>4254</v>
      </c>
      <c r="E566" s="2" t="s">
        <v>3458</v>
      </c>
      <c r="F566" s="7">
        <v>488651.55</v>
      </c>
      <c r="G566" s="13">
        <v>3</v>
      </c>
      <c r="H566" s="15">
        <f t="shared" si="25"/>
        <v>1465954.65</v>
      </c>
      <c r="I566" s="7">
        <f t="shared" si="26"/>
        <v>263871.837</v>
      </c>
      <c r="J566" s="7">
        <f t="shared" si="24"/>
        <v>1729826.487</v>
      </c>
    </row>
    <row r="567" spans="1:10" ht="15" customHeight="1" x14ac:dyDescent="0.3">
      <c r="A567" s="2">
        <v>551</v>
      </c>
      <c r="B567" s="2" t="s">
        <v>3755</v>
      </c>
      <c r="C567" s="2" t="s">
        <v>4255</v>
      </c>
      <c r="D567" s="2" t="s">
        <v>4255</v>
      </c>
      <c r="E567" s="2" t="s">
        <v>3458</v>
      </c>
      <c r="F567" s="7">
        <v>488651.55</v>
      </c>
      <c r="G567" s="13">
        <v>3</v>
      </c>
      <c r="H567" s="15">
        <f t="shared" si="25"/>
        <v>1465954.65</v>
      </c>
      <c r="I567" s="7">
        <f t="shared" si="26"/>
        <v>263871.837</v>
      </c>
      <c r="J567" s="7">
        <f t="shared" si="24"/>
        <v>1729826.487</v>
      </c>
    </row>
    <row r="568" spans="1:10" ht="15" customHeight="1" x14ac:dyDescent="0.3">
      <c r="A568" s="2">
        <v>552</v>
      </c>
      <c r="B568" s="2" t="s">
        <v>1555</v>
      </c>
      <c r="C568" s="2" t="s">
        <v>1556</v>
      </c>
      <c r="D568" s="2" t="s">
        <v>1556</v>
      </c>
      <c r="E568" s="2" t="s">
        <v>3458</v>
      </c>
      <c r="F568" s="7">
        <v>488651.55</v>
      </c>
      <c r="G568" s="13">
        <v>3</v>
      </c>
      <c r="H568" s="15">
        <f t="shared" si="25"/>
        <v>1465954.65</v>
      </c>
      <c r="I568" s="7">
        <f t="shared" si="26"/>
        <v>263871.837</v>
      </c>
      <c r="J568" s="7">
        <f t="shared" si="24"/>
        <v>1729826.487</v>
      </c>
    </row>
    <row r="569" spans="1:10" ht="15" customHeight="1" x14ac:dyDescent="0.3">
      <c r="A569" s="2">
        <v>553</v>
      </c>
      <c r="B569" s="2" t="s">
        <v>3756</v>
      </c>
      <c r="C569" s="2" t="s">
        <v>4256</v>
      </c>
      <c r="D569" s="2" t="s">
        <v>4256</v>
      </c>
      <c r="E569" s="2" t="s">
        <v>3458</v>
      </c>
      <c r="F569" s="7">
        <v>488651.55</v>
      </c>
      <c r="G569" s="13">
        <v>3</v>
      </c>
      <c r="H569" s="15">
        <f t="shared" si="25"/>
        <v>1465954.65</v>
      </c>
      <c r="I569" s="7">
        <f t="shared" si="26"/>
        <v>263871.837</v>
      </c>
      <c r="J569" s="7">
        <f t="shared" si="24"/>
        <v>1729826.487</v>
      </c>
    </row>
    <row r="570" spans="1:10" ht="15" customHeight="1" x14ac:dyDescent="0.3">
      <c r="A570" s="2">
        <v>554</v>
      </c>
      <c r="B570" s="2" t="s">
        <v>3757</v>
      </c>
      <c r="C570" s="2" t="s">
        <v>4257</v>
      </c>
      <c r="D570" s="2" t="s">
        <v>4257</v>
      </c>
      <c r="E570" s="2" t="s">
        <v>3458</v>
      </c>
      <c r="F570" s="7">
        <v>488651.55</v>
      </c>
      <c r="G570" s="13">
        <v>3</v>
      </c>
      <c r="H570" s="15">
        <f t="shared" si="25"/>
        <v>1465954.65</v>
      </c>
      <c r="I570" s="7">
        <f t="shared" si="26"/>
        <v>263871.837</v>
      </c>
      <c r="J570" s="7">
        <f t="shared" si="24"/>
        <v>1729826.487</v>
      </c>
    </row>
    <row r="571" spans="1:10" ht="15" customHeight="1" x14ac:dyDescent="0.3">
      <c r="A571" s="2">
        <v>555</v>
      </c>
      <c r="B571" s="2" t="s">
        <v>3758</v>
      </c>
      <c r="C571" s="2" t="s">
        <v>4258</v>
      </c>
      <c r="D571" s="2" t="s">
        <v>4258</v>
      </c>
      <c r="E571" s="2" t="s">
        <v>3458</v>
      </c>
      <c r="F571" s="7">
        <v>488651.55</v>
      </c>
      <c r="G571" s="13">
        <v>3</v>
      </c>
      <c r="H571" s="15">
        <f t="shared" si="25"/>
        <v>1465954.65</v>
      </c>
      <c r="I571" s="7">
        <f t="shared" si="26"/>
        <v>263871.837</v>
      </c>
      <c r="J571" s="7">
        <f t="shared" si="24"/>
        <v>1729826.487</v>
      </c>
    </row>
    <row r="572" spans="1:10" ht="15" customHeight="1" x14ac:dyDescent="0.3">
      <c r="A572" s="2">
        <v>556</v>
      </c>
      <c r="B572" s="2" t="s">
        <v>3759</v>
      </c>
      <c r="C572" s="2" t="s">
        <v>4259</v>
      </c>
      <c r="D572" s="2" t="s">
        <v>4259</v>
      </c>
      <c r="E572" s="2" t="s">
        <v>3458</v>
      </c>
      <c r="F572" s="7">
        <v>488651.55</v>
      </c>
      <c r="G572" s="13">
        <v>3</v>
      </c>
      <c r="H572" s="15">
        <f t="shared" si="25"/>
        <v>1465954.65</v>
      </c>
      <c r="I572" s="7">
        <f t="shared" si="26"/>
        <v>263871.837</v>
      </c>
      <c r="J572" s="7">
        <f t="shared" si="24"/>
        <v>1729826.487</v>
      </c>
    </row>
    <row r="573" spans="1:10" ht="15" customHeight="1" x14ac:dyDescent="0.3">
      <c r="A573" s="2">
        <v>557</v>
      </c>
      <c r="B573" s="2" t="s">
        <v>1082</v>
      </c>
      <c r="C573" s="2" t="s">
        <v>1083</v>
      </c>
      <c r="D573" s="2" t="s">
        <v>1083</v>
      </c>
      <c r="E573" s="2" t="s">
        <v>3458</v>
      </c>
      <c r="F573" s="7">
        <v>488651.55</v>
      </c>
      <c r="G573" s="13">
        <v>3</v>
      </c>
      <c r="H573" s="15">
        <f t="shared" si="25"/>
        <v>1465954.65</v>
      </c>
      <c r="I573" s="7">
        <f t="shared" si="26"/>
        <v>263871.837</v>
      </c>
      <c r="J573" s="7">
        <f t="shared" si="24"/>
        <v>1729826.487</v>
      </c>
    </row>
    <row r="574" spans="1:10" ht="15" customHeight="1" x14ac:dyDescent="0.3">
      <c r="A574" s="2">
        <v>558</v>
      </c>
      <c r="B574" s="2" t="s">
        <v>1878</v>
      </c>
      <c r="C574" s="2" t="s">
        <v>1879</v>
      </c>
      <c r="D574" s="2" t="s">
        <v>1879</v>
      </c>
      <c r="E574" s="2" t="s">
        <v>3458</v>
      </c>
      <c r="F574" s="7">
        <v>488651.55</v>
      </c>
      <c r="G574" s="13">
        <v>3</v>
      </c>
      <c r="H574" s="15">
        <f t="shared" si="25"/>
        <v>1465954.65</v>
      </c>
      <c r="I574" s="7">
        <f t="shared" si="26"/>
        <v>263871.837</v>
      </c>
      <c r="J574" s="7">
        <f t="shared" si="24"/>
        <v>1729826.487</v>
      </c>
    </row>
    <row r="575" spans="1:10" ht="15" customHeight="1" x14ac:dyDescent="0.3">
      <c r="A575" s="2">
        <v>559</v>
      </c>
      <c r="B575" s="2" t="s">
        <v>3760</v>
      </c>
      <c r="C575" s="2" t="s">
        <v>4260</v>
      </c>
      <c r="D575" s="2" t="s">
        <v>4260</v>
      </c>
      <c r="E575" s="2" t="s">
        <v>3458</v>
      </c>
      <c r="F575" s="7">
        <v>488651.55</v>
      </c>
      <c r="G575" s="13">
        <v>3</v>
      </c>
      <c r="H575" s="15">
        <f t="shared" si="25"/>
        <v>1465954.65</v>
      </c>
      <c r="I575" s="7">
        <f t="shared" si="26"/>
        <v>263871.837</v>
      </c>
      <c r="J575" s="7">
        <f t="shared" si="24"/>
        <v>1729826.487</v>
      </c>
    </row>
    <row r="576" spans="1:10" ht="15" customHeight="1" x14ac:dyDescent="0.3">
      <c r="A576" s="2">
        <v>560</v>
      </c>
      <c r="B576" s="2" t="s">
        <v>3761</v>
      </c>
      <c r="C576" s="2" t="s">
        <v>4261</v>
      </c>
      <c r="D576" s="2" t="s">
        <v>4261</v>
      </c>
      <c r="E576" s="2" t="s">
        <v>3458</v>
      </c>
      <c r="F576" s="7">
        <v>488651.55</v>
      </c>
      <c r="G576" s="13">
        <v>3</v>
      </c>
      <c r="H576" s="15">
        <f t="shared" si="25"/>
        <v>1465954.65</v>
      </c>
      <c r="I576" s="7">
        <f t="shared" si="26"/>
        <v>263871.837</v>
      </c>
      <c r="J576" s="7">
        <f t="shared" si="24"/>
        <v>1729826.487</v>
      </c>
    </row>
    <row r="577" spans="1:10" ht="15" customHeight="1" x14ac:dyDescent="0.3">
      <c r="A577" s="2">
        <v>561</v>
      </c>
      <c r="B577" s="2" t="s">
        <v>3762</v>
      </c>
      <c r="C577" s="2" t="s">
        <v>4262</v>
      </c>
      <c r="D577" s="2" t="s">
        <v>4262</v>
      </c>
      <c r="E577" s="2" t="s">
        <v>3458</v>
      </c>
      <c r="F577" s="7">
        <v>488651.55</v>
      </c>
      <c r="G577" s="13">
        <v>3</v>
      </c>
      <c r="H577" s="15">
        <f t="shared" si="25"/>
        <v>1465954.65</v>
      </c>
      <c r="I577" s="7">
        <f t="shared" si="26"/>
        <v>263871.837</v>
      </c>
      <c r="J577" s="7">
        <f t="shared" si="24"/>
        <v>1729826.487</v>
      </c>
    </row>
    <row r="578" spans="1:10" ht="15" customHeight="1" x14ac:dyDescent="0.3">
      <c r="A578" s="2">
        <v>562</v>
      </c>
      <c r="B578" s="2" t="s">
        <v>2067</v>
      </c>
      <c r="C578" s="2" t="s">
        <v>2068</v>
      </c>
      <c r="D578" s="2" t="s">
        <v>2068</v>
      </c>
      <c r="E578" s="2" t="s">
        <v>3458</v>
      </c>
      <c r="F578" s="7">
        <v>488651.55</v>
      </c>
      <c r="G578" s="13">
        <v>3</v>
      </c>
      <c r="H578" s="15">
        <f t="shared" si="25"/>
        <v>1465954.65</v>
      </c>
      <c r="I578" s="7">
        <f t="shared" si="26"/>
        <v>263871.837</v>
      </c>
      <c r="J578" s="7">
        <f t="shared" si="24"/>
        <v>1729826.487</v>
      </c>
    </row>
    <row r="579" spans="1:10" ht="15" customHeight="1" x14ac:dyDescent="0.3">
      <c r="A579" s="2">
        <v>563</v>
      </c>
      <c r="B579" s="2" t="s">
        <v>3763</v>
      </c>
      <c r="C579" s="2" t="s">
        <v>4263</v>
      </c>
      <c r="D579" s="2" t="s">
        <v>4263</v>
      </c>
      <c r="E579" s="2" t="s">
        <v>3458</v>
      </c>
      <c r="F579" s="7">
        <v>488651.55</v>
      </c>
      <c r="G579" s="13">
        <v>3</v>
      </c>
      <c r="H579" s="15">
        <f t="shared" si="25"/>
        <v>1465954.65</v>
      </c>
      <c r="I579" s="7">
        <f t="shared" si="26"/>
        <v>263871.837</v>
      </c>
      <c r="J579" s="7">
        <f t="shared" si="24"/>
        <v>1729826.487</v>
      </c>
    </row>
    <row r="580" spans="1:10" ht="15" customHeight="1" x14ac:dyDescent="0.3">
      <c r="A580" s="2">
        <v>564</v>
      </c>
      <c r="B580" s="2" t="s">
        <v>1112</v>
      </c>
      <c r="C580" s="2" t="s">
        <v>1113</v>
      </c>
      <c r="D580" s="2" t="s">
        <v>1113</v>
      </c>
      <c r="E580" s="2" t="s">
        <v>3458</v>
      </c>
      <c r="F580" s="7">
        <v>488651.55</v>
      </c>
      <c r="G580" s="13">
        <v>3</v>
      </c>
      <c r="H580" s="15">
        <f t="shared" si="25"/>
        <v>1465954.65</v>
      </c>
      <c r="I580" s="7">
        <f t="shared" si="26"/>
        <v>263871.837</v>
      </c>
      <c r="J580" s="7">
        <f t="shared" si="24"/>
        <v>1729826.487</v>
      </c>
    </row>
    <row r="581" spans="1:10" ht="15" customHeight="1" x14ac:dyDescent="0.3">
      <c r="A581" s="2">
        <v>565</v>
      </c>
      <c r="B581" s="2" t="s">
        <v>3764</v>
      </c>
      <c r="C581" s="2" t="s">
        <v>4264</v>
      </c>
      <c r="D581" s="2" t="s">
        <v>4264</v>
      </c>
      <c r="E581" s="2" t="s">
        <v>3458</v>
      </c>
      <c r="F581" s="7">
        <v>488651.55</v>
      </c>
      <c r="G581" s="13">
        <v>3</v>
      </c>
      <c r="H581" s="15">
        <f t="shared" si="25"/>
        <v>1465954.65</v>
      </c>
      <c r="I581" s="7">
        <f t="shared" si="26"/>
        <v>263871.837</v>
      </c>
      <c r="J581" s="7">
        <f t="shared" si="24"/>
        <v>1729826.487</v>
      </c>
    </row>
    <row r="582" spans="1:10" ht="15" customHeight="1" x14ac:dyDescent="0.3">
      <c r="A582" s="2">
        <v>566</v>
      </c>
      <c r="B582" s="2" t="s">
        <v>1239</v>
      </c>
      <c r="C582" s="2" t="s">
        <v>1240</v>
      </c>
      <c r="D582" s="2" t="s">
        <v>1240</v>
      </c>
      <c r="E582" s="2" t="s">
        <v>3458</v>
      </c>
      <c r="F582" s="7">
        <v>488651.55</v>
      </c>
      <c r="G582" s="13">
        <v>3</v>
      </c>
      <c r="H582" s="15">
        <f t="shared" si="25"/>
        <v>1465954.65</v>
      </c>
      <c r="I582" s="7">
        <f t="shared" si="26"/>
        <v>263871.837</v>
      </c>
      <c r="J582" s="7">
        <f t="shared" si="24"/>
        <v>1729826.487</v>
      </c>
    </row>
    <row r="583" spans="1:10" ht="15" customHeight="1" x14ac:dyDescent="0.3">
      <c r="A583" s="2">
        <v>567</v>
      </c>
      <c r="B583" s="2" t="s">
        <v>3765</v>
      </c>
      <c r="C583" s="2" t="s">
        <v>4265</v>
      </c>
      <c r="D583" s="2" t="s">
        <v>4265</v>
      </c>
      <c r="E583" s="2" t="s">
        <v>3458</v>
      </c>
      <c r="F583" s="7">
        <v>488651.55</v>
      </c>
      <c r="G583" s="13">
        <v>3</v>
      </c>
      <c r="H583" s="15">
        <f t="shared" si="25"/>
        <v>1465954.65</v>
      </c>
      <c r="I583" s="7">
        <f t="shared" si="26"/>
        <v>263871.837</v>
      </c>
      <c r="J583" s="7">
        <f t="shared" si="24"/>
        <v>1729826.487</v>
      </c>
    </row>
    <row r="584" spans="1:10" ht="15" customHeight="1" x14ac:dyDescent="0.3">
      <c r="A584" s="2">
        <v>568</v>
      </c>
      <c r="B584" s="2" t="s">
        <v>3766</v>
      </c>
      <c r="C584" s="2" t="s">
        <v>4266</v>
      </c>
      <c r="D584" s="2" t="s">
        <v>4266</v>
      </c>
      <c r="E584" s="2" t="s">
        <v>3458</v>
      </c>
      <c r="F584" s="7">
        <v>488651.55</v>
      </c>
      <c r="G584" s="13">
        <v>3</v>
      </c>
      <c r="H584" s="15">
        <f t="shared" si="25"/>
        <v>1465954.65</v>
      </c>
      <c r="I584" s="7">
        <f t="shared" si="26"/>
        <v>263871.837</v>
      </c>
      <c r="J584" s="7">
        <f t="shared" si="24"/>
        <v>1729826.487</v>
      </c>
    </row>
    <row r="585" spans="1:10" ht="15" customHeight="1" x14ac:dyDescent="0.3">
      <c r="A585" s="2">
        <v>569</v>
      </c>
      <c r="B585" s="2" t="s">
        <v>1653</v>
      </c>
      <c r="C585" s="2" t="s">
        <v>1654</v>
      </c>
      <c r="D585" s="2" t="s">
        <v>1654</v>
      </c>
      <c r="E585" s="2" t="s">
        <v>3458</v>
      </c>
      <c r="F585" s="7">
        <v>488651.55</v>
      </c>
      <c r="G585" s="13">
        <v>3</v>
      </c>
      <c r="H585" s="15">
        <f t="shared" si="25"/>
        <v>1465954.65</v>
      </c>
      <c r="I585" s="7">
        <f t="shared" si="26"/>
        <v>263871.837</v>
      </c>
      <c r="J585" s="7">
        <f t="shared" si="24"/>
        <v>1729826.487</v>
      </c>
    </row>
    <row r="586" spans="1:10" ht="15" customHeight="1" x14ac:dyDescent="0.3">
      <c r="A586" s="2">
        <v>570</v>
      </c>
      <c r="B586" s="2" t="s">
        <v>2124</v>
      </c>
      <c r="C586" s="2" t="s">
        <v>2125</v>
      </c>
      <c r="D586" s="2" t="s">
        <v>2125</v>
      </c>
      <c r="E586" s="2" t="s">
        <v>3458</v>
      </c>
      <c r="F586" s="7">
        <v>488651.55</v>
      </c>
      <c r="G586" s="13">
        <v>3</v>
      </c>
      <c r="H586" s="15">
        <f t="shared" si="25"/>
        <v>1465954.65</v>
      </c>
      <c r="I586" s="7">
        <f t="shared" si="26"/>
        <v>263871.837</v>
      </c>
      <c r="J586" s="7">
        <f t="shared" si="24"/>
        <v>1729826.487</v>
      </c>
    </row>
    <row r="587" spans="1:10" ht="15" customHeight="1" x14ac:dyDescent="0.3">
      <c r="A587" s="2">
        <v>571</v>
      </c>
      <c r="B587" s="2" t="s">
        <v>3767</v>
      </c>
      <c r="C587" s="2" t="s">
        <v>4267</v>
      </c>
      <c r="D587" s="2" t="s">
        <v>4267</v>
      </c>
      <c r="E587" s="2" t="s">
        <v>3458</v>
      </c>
      <c r="F587" s="7">
        <v>488651.55</v>
      </c>
      <c r="G587" s="13">
        <v>3</v>
      </c>
      <c r="H587" s="15">
        <f t="shared" si="25"/>
        <v>1465954.65</v>
      </c>
      <c r="I587" s="7">
        <f t="shared" si="26"/>
        <v>263871.837</v>
      </c>
      <c r="J587" s="7">
        <f t="shared" si="24"/>
        <v>1729826.487</v>
      </c>
    </row>
    <row r="588" spans="1:10" ht="15" customHeight="1" x14ac:dyDescent="0.3">
      <c r="A588" s="2">
        <v>572</v>
      </c>
      <c r="B588" s="2" t="s">
        <v>1892</v>
      </c>
      <c r="C588" s="2" t="s">
        <v>1893</v>
      </c>
      <c r="D588" s="2" t="s">
        <v>1893</v>
      </c>
      <c r="E588" s="2" t="s">
        <v>3458</v>
      </c>
      <c r="F588" s="7">
        <v>488651.55</v>
      </c>
      <c r="G588" s="13">
        <v>3</v>
      </c>
      <c r="H588" s="15">
        <f t="shared" si="25"/>
        <v>1465954.65</v>
      </c>
      <c r="I588" s="7">
        <f t="shared" si="26"/>
        <v>263871.837</v>
      </c>
      <c r="J588" s="7">
        <f t="shared" ref="J588:J649" si="27">+H588+I588</f>
        <v>1729826.487</v>
      </c>
    </row>
    <row r="589" spans="1:10" ht="15" customHeight="1" x14ac:dyDescent="0.3">
      <c r="A589" s="2">
        <v>573</v>
      </c>
      <c r="B589" s="2" t="s">
        <v>1084</v>
      </c>
      <c r="C589" s="2" t="s">
        <v>1085</v>
      </c>
      <c r="D589" s="2" t="s">
        <v>1085</v>
      </c>
      <c r="E589" s="2" t="s">
        <v>3458</v>
      </c>
      <c r="F589" s="7">
        <v>488651.55</v>
      </c>
      <c r="G589" s="13">
        <v>3</v>
      </c>
      <c r="H589" s="15">
        <f t="shared" si="25"/>
        <v>1465954.65</v>
      </c>
      <c r="I589" s="7">
        <f t="shared" si="26"/>
        <v>263871.837</v>
      </c>
      <c r="J589" s="7">
        <f t="shared" si="27"/>
        <v>1729826.487</v>
      </c>
    </row>
    <row r="590" spans="1:10" ht="15" customHeight="1" x14ac:dyDescent="0.3">
      <c r="A590" s="2">
        <v>574</v>
      </c>
      <c r="B590" s="2" t="s">
        <v>1459</v>
      </c>
      <c r="C590" s="2" t="s">
        <v>1460</v>
      </c>
      <c r="D590" s="2" t="s">
        <v>1460</v>
      </c>
      <c r="E590" s="2" t="s">
        <v>3458</v>
      </c>
      <c r="F590" s="7">
        <v>488651.55</v>
      </c>
      <c r="G590" s="13">
        <v>3</v>
      </c>
      <c r="H590" s="15">
        <f t="shared" si="25"/>
        <v>1465954.65</v>
      </c>
      <c r="I590" s="7">
        <f t="shared" si="26"/>
        <v>263871.837</v>
      </c>
      <c r="J590" s="7">
        <f t="shared" si="27"/>
        <v>1729826.487</v>
      </c>
    </row>
    <row r="591" spans="1:10" ht="15" customHeight="1" x14ac:dyDescent="0.3">
      <c r="A591" s="2">
        <v>575</v>
      </c>
      <c r="B591" s="2" t="s">
        <v>3768</v>
      </c>
      <c r="C591" s="2" t="s">
        <v>4268</v>
      </c>
      <c r="D591" s="2" t="s">
        <v>4268</v>
      </c>
      <c r="E591" s="2" t="s">
        <v>3458</v>
      </c>
      <c r="F591" s="7">
        <v>488651.55</v>
      </c>
      <c r="G591" s="13">
        <v>3</v>
      </c>
      <c r="H591" s="15">
        <f t="shared" si="25"/>
        <v>1465954.65</v>
      </c>
      <c r="I591" s="7">
        <f t="shared" si="26"/>
        <v>263871.837</v>
      </c>
      <c r="J591" s="7">
        <f t="shared" si="27"/>
        <v>1729826.487</v>
      </c>
    </row>
    <row r="592" spans="1:10" ht="15" customHeight="1" x14ac:dyDescent="0.3">
      <c r="A592" s="2">
        <v>576</v>
      </c>
      <c r="B592" s="2" t="s">
        <v>3769</v>
      </c>
      <c r="C592" s="2" t="s">
        <v>4269</v>
      </c>
      <c r="D592" s="2" t="s">
        <v>4269</v>
      </c>
      <c r="E592" s="2" t="s">
        <v>3458</v>
      </c>
      <c r="F592" s="7">
        <v>488651.55</v>
      </c>
      <c r="G592" s="13">
        <v>3</v>
      </c>
      <c r="H592" s="15">
        <f t="shared" si="25"/>
        <v>1465954.65</v>
      </c>
      <c r="I592" s="7">
        <f t="shared" si="26"/>
        <v>263871.837</v>
      </c>
      <c r="J592" s="7">
        <f t="shared" si="27"/>
        <v>1729826.487</v>
      </c>
    </row>
    <row r="593" spans="1:10" ht="15" customHeight="1" x14ac:dyDescent="0.3">
      <c r="A593" s="2">
        <v>577</v>
      </c>
      <c r="B593" s="2" t="s">
        <v>1872</v>
      </c>
      <c r="C593" s="2" t="s">
        <v>1873</v>
      </c>
      <c r="D593" s="2" t="s">
        <v>1873</v>
      </c>
      <c r="E593" s="2" t="s">
        <v>3458</v>
      </c>
      <c r="F593" s="7">
        <v>488651.55</v>
      </c>
      <c r="G593" s="13">
        <v>3</v>
      </c>
      <c r="H593" s="15">
        <f t="shared" ref="H593:H655" si="28">+F593*G593</f>
        <v>1465954.65</v>
      </c>
      <c r="I593" s="7">
        <f t="shared" ref="I593:I655" si="29">+H593*0.18</f>
        <v>263871.837</v>
      </c>
      <c r="J593" s="7">
        <f t="shared" si="27"/>
        <v>1729826.487</v>
      </c>
    </row>
    <row r="594" spans="1:10" ht="15" customHeight="1" x14ac:dyDescent="0.3">
      <c r="A594" s="2">
        <v>578</v>
      </c>
      <c r="B594" s="2" t="s">
        <v>3771</v>
      </c>
      <c r="C594" s="2" t="s">
        <v>4271</v>
      </c>
      <c r="D594" s="2" t="s">
        <v>4271</v>
      </c>
      <c r="E594" s="2" t="s">
        <v>3458</v>
      </c>
      <c r="F594" s="7">
        <v>488651.55</v>
      </c>
      <c r="G594" s="13">
        <v>3</v>
      </c>
      <c r="H594" s="15">
        <f t="shared" si="28"/>
        <v>1465954.65</v>
      </c>
      <c r="I594" s="7">
        <f t="shared" si="29"/>
        <v>263871.837</v>
      </c>
      <c r="J594" s="7">
        <f t="shared" si="27"/>
        <v>1729826.487</v>
      </c>
    </row>
    <row r="595" spans="1:10" ht="15" customHeight="1" x14ac:dyDescent="0.3">
      <c r="A595" s="2">
        <v>579</v>
      </c>
      <c r="B595" s="2" t="s">
        <v>1724</v>
      </c>
      <c r="C595" s="2" t="s">
        <v>1725</v>
      </c>
      <c r="D595" s="2" t="s">
        <v>1725</v>
      </c>
      <c r="E595" s="2" t="s">
        <v>3458</v>
      </c>
      <c r="F595" s="7">
        <v>488651.55</v>
      </c>
      <c r="G595" s="13">
        <v>3</v>
      </c>
      <c r="H595" s="15">
        <f t="shared" si="28"/>
        <v>1465954.65</v>
      </c>
      <c r="I595" s="7">
        <f t="shared" si="29"/>
        <v>263871.837</v>
      </c>
      <c r="J595" s="7">
        <f t="shared" si="27"/>
        <v>1729826.487</v>
      </c>
    </row>
    <row r="596" spans="1:10" ht="15" customHeight="1" x14ac:dyDescent="0.3">
      <c r="A596" s="2">
        <v>580</v>
      </c>
      <c r="B596" s="2" t="s">
        <v>3772</v>
      </c>
      <c r="C596" s="2" t="s">
        <v>4272</v>
      </c>
      <c r="D596" s="2" t="s">
        <v>4272</v>
      </c>
      <c r="E596" s="2" t="s">
        <v>3458</v>
      </c>
      <c r="F596" s="7">
        <v>488651.55</v>
      </c>
      <c r="G596" s="13">
        <v>3</v>
      </c>
      <c r="H596" s="15">
        <f t="shared" si="28"/>
        <v>1465954.65</v>
      </c>
      <c r="I596" s="7">
        <f t="shared" si="29"/>
        <v>263871.837</v>
      </c>
      <c r="J596" s="7">
        <f t="shared" si="27"/>
        <v>1729826.487</v>
      </c>
    </row>
    <row r="597" spans="1:10" ht="15" customHeight="1" x14ac:dyDescent="0.3">
      <c r="A597" s="2">
        <v>581</v>
      </c>
      <c r="B597" s="2" t="s">
        <v>3773</v>
      </c>
      <c r="C597" s="2" t="s">
        <v>4273</v>
      </c>
      <c r="D597" s="2" t="s">
        <v>4273</v>
      </c>
      <c r="E597" s="2" t="s">
        <v>3458</v>
      </c>
      <c r="F597" s="7">
        <v>488651.55</v>
      </c>
      <c r="G597" s="13">
        <v>3</v>
      </c>
      <c r="H597" s="15">
        <f t="shared" si="28"/>
        <v>1465954.65</v>
      </c>
      <c r="I597" s="7">
        <f t="shared" si="29"/>
        <v>263871.837</v>
      </c>
      <c r="J597" s="7">
        <f t="shared" si="27"/>
        <v>1729826.487</v>
      </c>
    </row>
    <row r="598" spans="1:10" ht="15" customHeight="1" x14ac:dyDescent="0.3">
      <c r="A598" s="2">
        <v>582</v>
      </c>
      <c r="B598" s="2" t="s">
        <v>3774</v>
      </c>
      <c r="C598" s="2" t="s">
        <v>4274</v>
      </c>
      <c r="D598" s="2" t="s">
        <v>4274</v>
      </c>
      <c r="E598" s="2" t="s">
        <v>3458</v>
      </c>
      <c r="F598" s="7">
        <v>488651.55</v>
      </c>
      <c r="G598" s="13">
        <v>3</v>
      </c>
      <c r="H598" s="15">
        <f t="shared" si="28"/>
        <v>1465954.65</v>
      </c>
      <c r="I598" s="7">
        <f t="shared" si="29"/>
        <v>263871.837</v>
      </c>
      <c r="J598" s="7">
        <f t="shared" si="27"/>
        <v>1729826.487</v>
      </c>
    </row>
    <row r="599" spans="1:10" ht="15" customHeight="1" x14ac:dyDescent="0.3">
      <c r="A599" s="2">
        <v>583</v>
      </c>
      <c r="B599" s="2" t="s">
        <v>1862</v>
      </c>
      <c r="C599" s="2" t="s">
        <v>1863</v>
      </c>
      <c r="D599" s="2" t="s">
        <v>1863</v>
      </c>
      <c r="E599" s="2" t="s">
        <v>3458</v>
      </c>
      <c r="F599" s="7">
        <v>488651.55</v>
      </c>
      <c r="G599" s="13">
        <v>3</v>
      </c>
      <c r="H599" s="15">
        <f t="shared" si="28"/>
        <v>1465954.65</v>
      </c>
      <c r="I599" s="7">
        <f t="shared" si="29"/>
        <v>263871.837</v>
      </c>
      <c r="J599" s="7">
        <f t="shared" si="27"/>
        <v>1729826.487</v>
      </c>
    </row>
    <row r="600" spans="1:10" ht="15" customHeight="1" x14ac:dyDescent="0.3">
      <c r="A600" s="2">
        <v>584</v>
      </c>
      <c r="B600" s="2" t="s">
        <v>3775</v>
      </c>
      <c r="C600" s="2" t="s">
        <v>4275</v>
      </c>
      <c r="D600" s="2" t="s">
        <v>4275</v>
      </c>
      <c r="E600" s="2" t="s">
        <v>3458</v>
      </c>
      <c r="F600" s="7">
        <v>488651.55</v>
      </c>
      <c r="G600" s="13">
        <v>3</v>
      </c>
      <c r="H600" s="15">
        <f t="shared" si="28"/>
        <v>1465954.65</v>
      </c>
      <c r="I600" s="7">
        <f t="shared" si="29"/>
        <v>263871.837</v>
      </c>
      <c r="J600" s="7">
        <f t="shared" si="27"/>
        <v>1729826.487</v>
      </c>
    </row>
    <row r="601" spans="1:10" ht="15" customHeight="1" x14ac:dyDescent="0.3">
      <c r="A601" s="2">
        <v>585</v>
      </c>
      <c r="B601" s="2" t="s">
        <v>3776</v>
      </c>
      <c r="C601" s="2" t="s">
        <v>4276</v>
      </c>
      <c r="D601" s="2" t="s">
        <v>4276</v>
      </c>
      <c r="E601" s="2" t="s">
        <v>3458</v>
      </c>
      <c r="F601" s="7">
        <v>488651.55</v>
      </c>
      <c r="G601" s="13">
        <v>3</v>
      </c>
      <c r="H601" s="15">
        <f t="shared" si="28"/>
        <v>1465954.65</v>
      </c>
      <c r="I601" s="7">
        <f t="shared" si="29"/>
        <v>263871.837</v>
      </c>
      <c r="J601" s="7">
        <f t="shared" si="27"/>
        <v>1729826.487</v>
      </c>
    </row>
    <row r="602" spans="1:10" ht="15" customHeight="1" x14ac:dyDescent="0.3">
      <c r="A602" s="2">
        <v>586</v>
      </c>
      <c r="B602" s="2" t="s">
        <v>3777</v>
      </c>
      <c r="C602" s="2" t="s">
        <v>4277</v>
      </c>
      <c r="D602" s="2" t="s">
        <v>4277</v>
      </c>
      <c r="E602" s="2" t="s">
        <v>3458</v>
      </c>
      <c r="F602" s="7">
        <v>488651.55</v>
      </c>
      <c r="G602" s="13">
        <v>3</v>
      </c>
      <c r="H602" s="15">
        <f t="shared" si="28"/>
        <v>1465954.65</v>
      </c>
      <c r="I602" s="7">
        <f t="shared" si="29"/>
        <v>263871.837</v>
      </c>
      <c r="J602" s="7">
        <f t="shared" si="27"/>
        <v>1729826.487</v>
      </c>
    </row>
    <row r="603" spans="1:10" ht="15" customHeight="1" x14ac:dyDescent="0.3">
      <c r="A603" s="2">
        <v>587</v>
      </c>
      <c r="B603" s="2" t="s">
        <v>3778</v>
      </c>
      <c r="C603" s="2" t="s">
        <v>4278</v>
      </c>
      <c r="D603" s="2" t="s">
        <v>4278</v>
      </c>
      <c r="E603" s="2" t="s">
        <v>3458</v>
      </c>
      <c r="F603" s="7">
        <v>488651.55</v>
      </c>
      <c r="G603" s="13">
        <v>3</v>
      </c>
      <c r="H603" s="15">
        <f t="shared" si="28"/>
        <v>1465954.65</v>
      </c>
      <c r="I603" s="7">
        <f t="shared" si="29"/>
        <v>263871.837</v>
      </c>
      <c r="J603" s="7">
        <f t="shared" si="27"/>
        <v>1729826.487</v>
      </c>
    </row>
    <row r="604" spans="1:10" ht="15" customHeight="1" x14ac:dyDescent="0.3">
      <c r="A604" s="2">
        <v>588</v>
      </c>
      <c r="B604" s="2" t="s">
        <v>3779</v>
      </c>
      <c r="C604" s="2" t="s">
        <v>4279</v>
      </c>
      <c r="D604" s="2" t="s">
        <v>4279</v>
      </c>
      <c r="E604" s="2" t="s">
        <v>3458</v>
      </c>
      <c r="F604" s="7">
        <v>488651.55</v>
      </c>
      <c r="G604" s="13">
        <v>3</v>
      </c>
      <c r="H604" s="15">
        <f t="shared" si="28"/>
        <v>1465954.65</v>
      </c>
      <c r="I604" s="7">
        <f t="shared" si="29"/>
        <v>263871.837</v>
      </c>
      <c r="J604" s="7">
        <f t="shared" si="27"/>
        <v>1729826.487</v>
      </c>
    </row>
    <row r="605" spans="1:10" ht="15" customHeight="1" x14ac:dyDescent="0.3">
      <c r="A605" s="2">
        <v>589</v>
      </c>
      <c r="B605" s="2" t="s">
        <v>1096</v>
      </c>
      <c r="C605" s="2" t="s">
        <v>1097</v>
      </c>
      <c r="D605" s="2" t="s">
        <v>1097</v>
      </c>
      <c r="E605" s="2" t="s">
        <v>3458</v>
      </c>
      <c r="F605" s="7">
        <v>488651.55</v>
      </c>
      <c r="G605" s="13">
        <v>3</v>
      </c>
      <c r="H605" s="15">
        <f t="shared" si="28"/>
        <v>1465954.65</v>
      </c>
      <c r="I605" s="7">
        <f t="shared" si="29"/>
        <v>263871.837</v>
      </c>
      <c r="J605" s="7">
        <f t="shared" si="27"/>
        <v>1729826.487</v>
      </c>
    </row>
    <row r="606" spans="1:10" ht="15" customHeight="1" x14ac:dyDescent="0.3">
      <c r="A606" s="2">
        <v>590</v>
      </c>
      <c r="B606" s="2" t="s">
        <v>1868</v>
      </c>
      <c r="C606" s="2" t="s">
        <v>1869</v>
      </c>
      <c r="D606" s="2" t="s">
        <v>1869</v>
      </c>
      <c r="E606" s="2" t="s">
        <v>3458</v>
      </c>
      <c r="F606" s="7">
        <v>488651.55</v>
      </c>
      <c r="G606" s="13">
        <v>3</v>
      </c>
      <c r="H606" s="15">
        <f t="shared" si="28"/>
        <v>1465954.65</v>
      </c>
      <c r="I606" s="7">
        <f t="shared" si="29"/>
        <v>263871.837</v>
      </c>
      <c r="J606" s="7">
        <f t="shared" si="27"/>
        <v>1729826.487</v>
      </c>
    </row>
    <row r="607" spans="1:10" ht="15" customHeight="1" x14ac:dyDescent="0.3">
      <c r="A607" s="2">
        <v>591</v>
      </c>
      <c r="B607" s="2" t="s">
        <v>3780</v>
      </c>
      <c r="C607" s="2" t="s">
        <v>4280</v>
      </c>
      <c r="D607" s="2" t="s">
        <v>4280</v>
      </c>
      <c r="E607" s="2" t="s">
        <v>3458</v>
      </c>
      <c r="F607" s="7">
        <v>488651.55</v>
      </c>
      <c r="G607" s="13">
        <v>3</v>
      </c>
      <c r="H607" s="15">
        <f t="shared" si="28"/>
        <v>1465954.65</v>
      </c>
      <c r="I607" s="7">
        <f t="shared" si="29"/>
        <v>263871.837</v>
      </c>
      <c r="J607" s="7">
        <f t="shared" si="27"/>
        <v>1729826.487</v>
      </c>
    </row>
    <row r="608" spans="1:10" ht="15" customHeight="1" x14ac:dyDescent="0.3">
      <c r="A608" s="2">
        <v>592</v>
      </c>
      <c r="B608" s="2" t="s">
        <v>1293</v>
      </c>
      <c r="C608" s="2" t="s">
        <v>1294</v>
      </c>
      <c r="D608" s="2" t="s">
        <v>1294</v>
      </c>
      <c r="E608" s="2" t="s">
        <v>3458</v>
      </c>
      <c r="F608" s="7">
        <v>488651.55</v>
      </c>
      <c r="G608" s="13">
        <v>3</v>
      </c>
      <c r="H608" s="15">
        <f t="shared" si="28"/>
        <v>1465954.65</v>
      </c>
      <c r="I608" s="7">
        <f t="shared" si="29"/>
        <v>263871.837</v>
      </c>
      <c r="J608" s="7">
        <f t="shared" si="27"/>
        <v>1729826.487</v>
      </c>
    </row>
    <row r="609" spans="1:10" ht="15" customHeight="1" x14ac:dyDescent="0.3">
      <c r="A609" s="2">
        <v>593</v>
      </c>
      <c r="B609" s="2" t="s">
        <v>3781</v>
      </c>
      <c r="C609" s="2" t="s">
        <v>4281</v>
      </c>
      <c r="D609" s="2" t="s">
        <v>4281</v>
      </c>
      <c r="E609" s="2" t="s">
        <v>3458</v>
      </c>
      <c r="F609" s="7">
        <v>488651.55</v>
      </c>
      <c r="G609" s="13">
        <v>3</v>
      </c>
      <c r="H609" s="15">
        <f t="shared" si="28"/>
        <v>1465954.65</v>
      </c>
      <c r="I609" s="7">
        <f t="shared" si="29"/>
        <v>263871.837</v>
      </c>
      <c r="J609" s="7">
        <f t="shared" si="27"/>
        <v>1729826.487</v>
      </c>
    </row>
    <row r="610" spans="1:10" ht="15" customHeight="1" x14ac:dyDescent="0.3">
      <c r="A610" s="2">
        <v>594</v>
      </c>
      <c r="B610" s="2" t="s">
        <v>3782</v>
      </c>
      <c r="C610" s="2" t="s">
        <v>4282</v>
      </c>
      <c r="D610" s="2" t="s">
        <v>4282</v>
      </c>
      <c r="E610" s="2" t="s">
        <v>3458</v>
      </c>
      <c r="F610" s="7">
        <v>488651.55</v>
      </c>
      <c r="G610" s="13">
        <v>3</v>
      </c>
      <c r="H610" s="15">
        <f t="shared" si="28"/>
        <v>1465954.65</v>
      </c>
      <c r="I610" s="7">
        <f t="shared" si="29"/>
        <v>263871.837</v>
      </c>
      <c r="J610" s="7">
        <f t="shared" si="27"/>
        <v>1729826.487</v>
      </c>
    </row>
    <row r="611" spans="1:10" ht="15" customHeight="1" x14ac:dyDescent="0.3">
      <c r="A611" s="2">
        <v>595</v>
      </c>
      <c r="B611" s="2" t="s">
        <v>3783</v>
      </c>
      <c r="C611" s="2" t="s">
        <v>4283</v>
      </c>
      <c r="D611" s="2" t="s">
        <v>4283</v>
      </c>
      <c r="E611" s="2" t="s">
        <v>3458</v>
      </c>
      <c r="F611" s="7">
        <v>488651.55</v>
      </c>
      <c r="G611" s="13">
        <v>3</v>
      </c>
      <c r="H611" s="15">
        <f t="shared" si="28"/>
        <v>1465954.65</v>
      </c>
      <c r="I611" s="7">
        <f t="shared" si="29"/>
        <v>263871.837</v>
      </c>
      <c r="J611" s="7">
        <f t="shared" si="27"/>
        <v>1729826.487</v>
      </c>
    </row>
    <row r="612" spans="1:10" ht="15" customHeight="1" x14ac:dyDescent="0.3">
      <c r="A612" s="2">
        <v>596</v>
      </c>
      <c r="B612" s="2" t="s">
        <v>1786</v>
      </c>
      <c r="C612" s="2" t="s">
        <v>1787</v>
      </c>
      <c r="D612" s="2" t="s">
        <v>1787</v>
      </c>
      <c r="E612" s="2" t="s">
        <v>3458</v>
      </c>
      <c r="F612" s="7">
        <v>488651.55</v>
      </c>
      <c r="G612" s="13">
        <v>3</v>
      </c>
      <c r="H612" s="15">
        <f t="shared" si="28"/>
        <v>1465954.65</v>
      </c>
      <c r="I612" s="7">
        <f t="shared" si="29"/>
        <v>263871.837</v>
      </c>
      <c r="J612" s="7">
        <f t="shared" si="27"/>
        <v>1729826.487</v>
      </c>
    </row>
    <row r="613" spans="1:10" ht="15" customHeight="1" x14ac:dyDescent="0.3">
      <c r="A613" s="2">
        <v>597</v>
      </c>
      <c r="B613" s="2" t="s">
        <v>3784</v>
      </c>
      <c r="C613" s="2" t="s">
        <v>4284</v>
      </c>
      <c r="D613" s="2" t="s">
        <v>4284</v>
      </c>
      <c r="E613" s="2" t="s">
        <v>3458</v>
      </c>
      <c r="F613" s="7">
        <v>488651.55</v>
      </c>
      <c r="G613" s="13">
        <v>3</v>
      </c>
      <c r="H613" s="15">
        <f t="shared" si="28"/>
        <v>1465954.65</v>
      </c>
      <c r="I613" s="7">
        <f t="shared" si="29"/>
        <v>263871.837</v>
      </c>
      <c r="J613" s="7">
        <f t="shared" si="27"/>
        <v>1729826.487</v>
      </c>
    </row>
    <row r="614" spans="1:10" ht="15" customHeight="1" x14ac:dyDescent="0.3">
      <c r="A614" s="2">
        <v>598</v>
      </c>
      <c r="B614" s="2" t="s">
        <v>3785</v>
      </c>
      <c r="C614" s="2" t="s">
        <v>4285</v>
      </c>
      <c r="D614" s="2" t="s">
        <v>4285</v>
      </c>
      <c r="E614" s="2" t="s">
        <v>3458</v>
      </c>
      <c r="F614" s="7">
        <v>488651.55</v>
      </c>
      <c r="G614" s="13">
        <v>3</v>
      </c>
      <c r="H614" s="15">
        <f t="shared" si="28"/>
        <v>1465954.65</v>
      </c>
      <c r="I614" s="7">
        <f t="shared" si="29"/>
        <v>263871.837</v>
      </c>
      <c r="J614" s="7">
        <f t="shared" si="27"/>
        <v>1729826.487</v>
      </c>
    </row>
    <row r="615" spans="1:10" ht="15" customHeight="1" x14ac:dyDescent="0.3">
      <c r="A615" s="2">
        <v>599</v>
      </c>
      <c r="B615" s="2" t="s">
        <v>3786</v>
      </c>
      <c r="C615" s="2" t="s">
        <v>4286</v>
      </c>
      <c r="D615" s="2" t="s">
        <v>4286</v>
      </c>
      <c r="E615" s="2" t="s">
        <v>3458</v>
      </c>
      <c r="F615" s="7">
        <v>488651.55</v>
      </c>
      <c r="G615" s="13">
        <v>3</v>
      </c>
      <c r="H615" s="15">
        <f t="shared" si="28"/>
        <v>1465954.65</v>
      </c>
      <c r="I615" s="7">
        <f t="shared" si="29"/>
        <v>263871.837</v>
      </c>
      <c r="J615" s="7">
        <f t="shared" si="27"/>
        <v>1729826.487</v>
      </c>
    </row>
    <row r="616" spans="1:10" ht="15" customHeight="1" x14ac:dyDescent="0.3">
      <c r="A616" s="2">
        <v>600</v>
      </c>
      <c r="B616" s="2" t="s">
        <v>3787</v>
      </c>
      <c r="C616" s="2" t="s">
        <v>4287</v>
      </c>
      <c r="D616" s="2" t="s">
        <v>4287</v>
      </c>
      <c r="E616" s="2" t="s">
        <v>3458</v>
      </c>
      <c r="F616" s="7">
        <v>488651.55</v>
      </c>
      <c r="G616" s="13">
        <v>3</v>
      </c>
      <c r="H616" s="15">
        <f t="shared" si="28"/>
        <v>1465954.65</v>
      </c>
      <c r="I616" s="7">
        <f t="shared" si="29"/>
        <v>263871.837</v>
      </c>
      <c r="J616" s="7">
        <f t="shared" si="27"/>
        <v>1729826.487</v>
      </c>
    </row>
    <row r="617" spans="1:10" ht="15" customHeight="1" x14ac:dyDescent="0.3">
      <c r="A617" s="2">
        <v>601</v>
      </c>
      <c r="B617" s="2" t="s">
        <v>3788</v>
      </c>
      <c r="C617" s="2" t="s">
        <v>4288</v>
      </c>
      <c r="D617" s="2" t="s">
        <v>4288</v>
      </c>
      <c r="E617" s="2" t="s">
        <v>3458</v>
      </c>
      <c r="F617" s="7">
        <v>488651.55</v>
      </c>
      <c r="G617" s="13">
        <v>3</v>
      </c>
      <c r="H617" s="15">
        <f t="shared" si="28"/>
        <v>1465954.65</v>
      </c>
      <c r="I617" s="7">
        <f t="shared" si="29"/>
        <v>263871.837</v>
      </c>
      <c r="J617" s="7">
        <f t="shared" si="27"/>
        <v>1729826.487</v>
      </c>
    </row>
    <row r="618" spans="1:10" ht="15" customHeight="1" x14ac:dyDescent="0.3">
      <c r="A618" s="2">
        <v>602</v>
      </c>
      <c r="B618" s="2" t="s">
        <v>3789</v>
      </c>
      <c r="C618" s="2" t="s">
        <v>4289</v>
      </c>
      <c r="D618" s="2" t="s">
        <v>4289</v>
      </c>
      <c r="E618" s="2" t="s">
        <v>3458</v>
      </c>
      <c r="F618" s="7">
        <v>488651.55</v>
      </c>
      <c r="G618" s="13">
        <v>3</v>
      </c>
      <c r="H618" s="15">
        <f t="shared" si="28"/>
        <v>1465954.65</v>
      </c>
      <c r="I618" s="7">
        <f t="shared" si="29"/>
        <v>263871.837</v>
      </c>
      <c r="J618" s="7">
        <f t="shared" si="27"/>
        <v>1729826.487</v>
      </c>
    </row>
    <row r="619" spans="1:10" ht="15" customHeight="1" x14ac:dyDescent="0.3">
      <c r="A619" s="2">
        <v>603</v>
      </c>
      <c r="B619" s="2" t="s">
        <v>3790</v>
      </c>
      <c r="C619" s="2" t="s">
        <v>4290</v>
      </c>
      <c r="D619" s="2" t="s">
        <v>4290</v>
      </c>
      <c r="E619" s="2" t="s">
        <v>3458</v>
      </c>
      <c r="F619" s="7">
        <v>488651.55</v>
      </c>
      <c r="G619" s="13">
        <v>3</v>
      </c>
      <c r="H619" s="15">
        <f t="shared" si="28"/>
        <v>1465954.65</v>
      </c>
      <c r="I619" s="7">
        <f t="shared" si="29"/>
        <v>263871.837</v>
      </c>
      <c r="J619" s="7">
        <f t="shared" si="27"/>
        <v>1729826.487</v>
      </c>
    </row>
    <row r="620" spans="1:10" ht="15" customHeight="1" x14ac:dyDescent="0.3">
      <c r="A620" s="2">
        <v>604</v>
      </c>
      <c r="B620" s="2" t="s">
        <v>3791</v>
      </c>
      <c r="C620" s="2" t="s">
        <v>4291</v>
      </c>
      <c r="D620" s="2" t="s">
        <v>4291</v>
      </c>
      <c r="E620" s="2" t="s">
        <v>3458</v>
      </c>
      <c r="F620" s="7">
        <v>488651.55</v>
      </c>
      <c r="G620" s="13">
        <v>3</v>
      </c>
      <c r="H620" s="15">
        <f t="shared" si="28"/>
        <v>1465954.65</v>
      </c>
      <c r="I620" s="7">
        <f t="shared" si="29"/>
        <v>263871.837</v>
      </c>
      <c r="J620" s="7">
        <f t="shared" si="27"/>
        <v>1729826.487</v>
      </c>
    </row>
    <row r="621" spans="1:10" ht="15" customHeight="1" x14ac:dyDescent="0.3">
      <c r="A621" s="2">
        <v>605</v>
      </c>
      <c r="B621" s="2" t="s">
        <v>3792</v>
      </c>
      <c r="C621" s="2" t="s">
        <v>4292</v>
      </c>
      <c r="D621" s="2" t="s">
        <v>4292</v>
      </c>
      <c r="E621" s="2" t="s">
        <v>3458</v>
      </c>
      <c r="F621" s="7">
        <v>488651.55</v>
      </c>
      <c r="G621" s="13">
        <v>3</v>
      </c>
      <c r="H621" s="15">
        <f t="shared" si="28"/>
        <v>1465954.65</v>
      </c>
      <c r="I621" s="7">
        <f t="shared" si="29"/>
        <v>263871.837</v>
      </c>
      <c r="J621" s="7">
        <f t="shared" si="27"/>
        <v>1729826.487</v>
      </c>
    </row>
    <row r="622" spans="1:10" ht="15" customHeight="1" x14ac:dyDescent="0.3">
      <c r="A622" s="2">
        <v>606</v>
      </c>
      <c r="B622" s="2" t="s">
        <v>1473</v>
      </c>
      <c r="C622" s="2" t="s">
        <v>1474</v>
      </c>
      <c r="D622" s="2" t="s">
        <v>1474</v>
      </c>
      <c r="E622" s="2" t="s">
        <v>3458</v>
      </c>
      <c r="F622" s="7">
        <v>488651.55</v>
      </c>
      <c r="G622" s="13">
        <v>3</v>
      </c>
      <c r="H622" s="15">
        <f t="shared" si="28"/>
        <v>1465954.65</v>
      </c>
      <c r="I622" s="7">
        <f t="shared" si="29"/>
        <v>263871.837</v>
      </c>
      <c r="J622" s="7">
        <f t="shared" si="27"/>
        <v>1729826.487</v>
      </c>
    </row>
    <row r="623" spans="1:10" ht="15" customHeight="1" x14ac:dyDescent="0.3">
      <c r="A623" s="2">
        <v>607</v>
      </c>
      <c r="B623" s="2" t="s">
        <v>3793</v>
      </c>
      <c r="C623" s="2" t="s">
        <v>4293</v>
      </c>
      <c r="D623" s="2" t="s">
        <v>4293</v>
      </c>
      <c r="E623" s="2" t="s">
        <v>3458</v>
      </c>
      <c r="F623" s="7">
        <v>488651.55</v>
      </c>
      <c r="G623" s="13">
        <v>3</v>
      </c>
      <c r="H623" s="15">
        <f t="shared" si="28"/>
        <v>1465954.65</v>
      </c>
      <c r="I623" s="7">
        <f t="shared" si="29"/>
        <v>263871.837</v>
      </c>
      <c r="J623" s="7">
        <f t="shared" si="27"/>
        <v>1729826.487</v>
      </c>
    </row>
    <row r="624" spans="1:10" ht="15" customHeight="1" x14ac:dyDescent="0.3">
      <c r="A624" s="2">
        <v>608</v>
      </c>
      <c r="B624" s="2" t="s">
        <v>3794</v>
      </c>
      <c r="C624" s="2" t="s">
        <v>4294</v>
      </c>
      <c r="D624" s="2" t="s">
        <v>4294</v>
      </c>
      <c r="E624" s="2" t="s">
        <v>3458</v>
      </c>
      <c r="F624" s="7">
        <v>488651.55</v>
      </c>
      <c r="G624" s="13">
        <v>3</v>
      </c>
      <c r="H624" s="15">
        <f t="shared" si="28"/>
        <v>1465954.65</v>
      </c>
      <c r="I624" s="7">
        <f t="shared" si="29"/>
        <v>263871.837</v>
      </c>
      <c r="J624" s="7">
        <f t="shared" si="27"/>
        <v>1729826.487</v>
      </c>
    </row>
    <row r="625" spans="1:10" ht="15" customHeight="1" x14ac:dyDescent="0.3">
      <c r="A625" s="2">
        <v>609</v>
      </c>
      <c r="B625" s="2" t="s">
        <v>1762</v>
      </c>
      <c r="C625" s="2" t="s">
        <v>1763</v>
      </c>
      <c r="D625" s="2" t="s">
        <v>1763</v>
      </c>
      <c r="E625" s="2" t="s">
        <v>3458</v>
      </c>
      <c r="F625" s="7">
        <v>488651.55</v>
      </c>
      <c r="G625" s="13">
        <v>3</v>
      </c>
      <c r="H625" s="15">
        <f t="shared" si="28"/>
        <v>1465954.65</v>
      </c>
      <c r="I625" s="7">
        <f t="shared" si="29"/>
        <v>263871.837</v>
      </c>
      <c r="J625" s="7">
        <f t="shared" si="27"/>
        <v>1729826.487</v>
      </c>
    </row>
    <row r="626" spans="1:10" ht="15" customHeight="1" x14ac:dyDescent="0.3">
      <c r="A626" s="2">
        <v>610</v>
      </c>
      <c r="B626" s="2" t="s">
        <v>3795</v>
      </c>
      <c r="C626" s="2" t="s">
        <v>4295</v>
      </c>
      <c r="D626" s="2" t="s">
        <v>4295</v>
      </c>
      <c r="E626" s="2" t="s">
        <v>3458</v>
      </c>
      <c r="F626" s="7">
        <v>488651.55</v>
      </c>
      <c r="G626" s="13">
        <v>3</v>
      </c>
      <c r="H626" s="15">
        <f t="shared" si="28"/>
        <v>1465954.65</v>
      </c>
      <c r="I626" s="7">
        <f t="shared" si="29"/>
        <v>263871.837</v>
      </c>
      <c r="J626" s="7">
        <f t="shared" si="27"/>
        <v>1729826.487</v>
      </c>
    </row>
    <row r="627" spans="1:10" ht="15" customHeight="1" x14ac:dyDescent="0.3">
      <c r="A627" s="2">
        <v>611</v>
      </c>
      <c r="B627" s="2" t="s">
        <v>3796</v>
      </c>
      <c r="C627" s="2" t="s">
        <v>4296</v>
      </c>
      <c r="D627" s="2" t="s">
        <v>4296</v>
      </c>
      <c r="E627" s="2" t="s">
        <v>3458</v>
      </c>
      <c r="F627" s="7">
        <v>488651.55</v>
      </c>
      <c r="G627" s="13">
        <v>3</v>
      </c>
      <c r="H627" s="15">
        <f t="shared" si="28"/>
        <v>1465954.65</v>
      </c>
      <c r="I627" s="7">
        <f t="shared" si="29"/>
        <v>263871.837</v>
      </c>
      <c r="J627" s="7">
        <f t="shared" si="27"/>
        <v>1729826.487</v>
      </c>
    </row>
    <row r="628" spans="1:10" ht="15" customHeight="1" x14ac:dyDescent="0.3">
      <c r="A628" s="2">
        <v>612</v>
      </c>
      <c r="B628" s="2" t="s">
        <v>3797</v>
      </c>
      <c r="C628" s="2" t="s">
        <v>4297</v>
      </c>
      <c r="D628" s="2" t="s">
        <v>4297</v>
      </c>
      <c r="E628" s="2" t="s">
        <v>3458</v>
      </c>
      <c r="F628" s="7">
        <v>488651.55</v>
      </c>
      <c r="G628" s="13">
        <v>3</v>
      </c>
      <c r="H628" s="15">
        <f t="shared" si="28"/>
        <v>1465954.65</v>
      </c>
      <c r="I628" s="7">
        <f t="shared" si="29"/>
        <v>263871.837</v>
      </c>
      <c r="J628" s="7">
        <f t="shared" si="27"/>
        <v>1729826.487</v>
      </c>
    </row>
    <row r="629" spans="1:10" ht="15" customHeight="1" x14ac:dyDescent="0.3">
      <c r="A629" s="2">
        <v>613</v>
      </c>
      <c r="B629" s="2" t="s">
        <v>1279</v>
      </c>
      <c r="C629" s="2" t="s">
        <v>1280</v>
      </c>
      <c r="D629" s="2" t="s">
        <v>1280</v>
      </c>
      <c r="E629" s="2" t="s">
        <v>3458</v>
      </c>
      <c r="F629" s="7">
        <v>488651.55</v>
      </c>
      <c r="G629" s="13">
        <v>3</v>
      </c>
      <c r="H629" s="15">
        <f t="shared" si="28"/>
        <v>1465954.65</v>
      </c>
      <c r="I629" s="7">
        <f t="shared" si="29"/>
        <v>263871.837</v>
      </c>
      <c r="J629" s="7">
        <f t="shared" si="27"/>
        <v>1729826.487</v>
      </c>
    </row>
    <row r="630" spans="1:10" ht="15" customHeight="1" x14ac:dyDescent="0.3">
      <c r="A630" s="2">
        <v>614</v>
      </c>
      <c r="B630" s="2" t="s">
        <v>3798</v>
      </c>
      <c r="C630" s="2" t="s">
        <v>4298</v>
      </c>
      <c r="D630" s="2" t="s">
        <v>4298</v>
      </c>
      <c r="E630" s="2" t="s">
        <v>3458</v>
      </c>
      <c r="F630" s="7">
        <v>488651.55</v>
      </c>
      <c r="G630" s="13">
        <v>3</v>
      </c>
      <c r="H630" s="15">
        <f t="shared" si="28"/>
        <v>1465954.65</v>
      </c>
      <c r="I630" s="7">
        <f t="shared" si="29"/>
        <v>263871.837</v>
      </c>
      <c r="J630" s="7">
        <f t="shared" si="27"/>
        <v>1729826.487</v>
      </c>
    </row>
    <row r="631" spans="1:10" ht="15" customHeight="1" x14ac:dyDescent="0.3">
      <c r="A631" s="2">
        <v>615</v>
      </c>
      <c r="B631" s="2" t="s">
        <v>1080</v>
      </c>
      <c r="C631" s="2" t="s">
        <v>1081</v>
      </c>
      <c r="D631" s="2" t="s">
        <v>1081</v>
      </c>
      <c r="E631" s="2" t="s">
        <v>3458</v>
      </c>
      <c r="F631" s="7">
        <v>488651.55</v>
      </c>
      <c r="G631" s="13">
        <v>3</v>
      </c>
      <c r="H631" s="15">
        <f t="shared" si="28"/>
        <v>1465954.65</v>
      </c>
      <c r="I631" s="7">
        <f t="shared" si="29"/>
        <v>263871.837</v>
      </c>
      <c r="J631" s="7">
        <f t="shared" si="27"/>
        <v>1729826.487</v>
      </c>
    </row>
    <row r="632" spans="1:10" ht="15" customHeight="1" x14ac:dyDescent="0.3">
      <c r="A632" s="2">
        <v>616</v>
      </c>
      <c r="B632" s="2" t="s">
        <v>1545</v>
      </c>
      <c r="C632" s="2" t="s">
        <v>1546</v>
      </c>
      <c r="D632" s="2" t="s">
        <v>1546</v>
      </c>
      <c r="E632" s="2" t="s">
        <v>3458</v>
      </c>
      <c r="F632" s="7">
        <v>488651.55</v>
      </c>
      <c r="G632" s="13">
        <v>3</v>
      </c>
      <c r="H632" s="15">
        <f t="shared" si="28"/>
        <v>1465954.65</v>
      </c>
      <c r="I632" s="7">
        <f t="shared" si="29"/>
        <v>263871.837</v>
      </c>
      <c r="J632" s="7">
        <f t="shared" si="27"/>
        <v>1729826.487</v>
      </c>
    </row>
    <row r="633" spans="1:10" ht="15" customHeight="1" x14ac:dyDescent="0.3">
      <c r="A633" s="2">
        <v>617</v>
      </c>
      <c r="B633" s="2" t="s">
        <v>3799</v>
      </c>
      <c r="C633" s="2" t="s">
        <v>4299</v>
      </c>
      <c r="D633" s="2" t="s">
        <v>4299</v>
      </c>
      <c r="E633" s="2" t="s">
        <v>3458</v>
      </c>
      <c r="F633" s="7">
        <v>488651.55</v>
      </c>
      <c r="G633" s="13">
        <v>3</v>
      </c>
      <c r="H633" s="15">
        <f t="shared" si="28"/>
        <v>1465954.65</v>
      </c>
      <c r="I633" s="7">
        <f t="shared" si="29"/>
        <v>263871.837</v>
      </c>
      <c r="J633" s="7">
        <f t="shared" si="27"/>
        <v>1729826.487</v>
      </c>
    </row>
    <row r="634" spans="1:10" ht="15" customHeight="1" x14ac:dyDescent="0.3">
      <c r="A634" s="2">
        <v>618</v>
      </c>
      <c r="B634" s="2" t="s">
        <v>1788</v>
      </c>
      <c r="C634" s="2" t="s">
        <v>1789</v>
      </c>
      <c r="D634" s="2" t="s">
        <v>1789</v>
      </c>
      <c r="E634" s="2" t="s">
        <v>3458</v>
      </c>
      <c r="F634" s="7">
        <v>488651.55</v>
      </c>
      <c r="G634" s="13">
        <v>3</v>
      </c>
      <c r="H634" s="15">
        <f t="shared" si="28"/>
        <v>1465954.65</v>
      </c>
      <c r="I634" s="7">
        <f t="shared" si="29"/>
        <v>263871.837</v>
      </c>
      <c r="J634" s="7">
        <f t="shared" si="27"/>
        <v>1729826.487</v>
      </c>
    </row>
    <row r="635" spans="1:10" ht="15" customHeight="1" x14ac:dyDescent="0.3">
      <c r="A635" s="2">
        <v>619</v>
      </c>
      <c r="B635" s="2" t="s">
        <v>3800</v>
      </c>
      <c r="C635" s="2" t="s">
        <v>4300</v>
      </c>
      <c r="D635" s="2" t="s">
        <v>4300</v>
      </c>
      <c r="E635" s="2" t="s">
        <v>3458</v>
      </c>
      <c r="F635" s="7">
        <v>488651.55</v>
      </c>
      <c r="G635" s="13">
        <v>3</v>
      </c>
      <c r="H635" s="15">
        <f t="shared" si="28"/>
        <v>1465954.65</v>
      </c>
      <c r="I635" s="7">
        <f t="shared" si="29"/>
        <v>263871.837</v>
      </c>
      <c r="J635" s="7">
        <f t="shared" si="27"/>
        <v>1729826.487</v>
      </c>
    </row>
    <row r="636" spans="1:10" ht="15" customHeight="1" x14ac:dyDescent="0.3">
      <c r="A636" s="2">
        <v>620</v>
      </c>
      <c r="B636" s="2" t="s">
        <v>1553</v>
      </c>
      <c r="C636" s="2" t="s">
        <v>1554</v>
      </c>
      <c r="D636" s="2" t="s">
        <v>1554</v>
      </c>
      <c r="E636" s="2" t="s">
        <v>3458</v>
      </c>
      <c r="F636" s="7">
        <v>488651.55</v>
      </c>
      <c r="G636" s="13">
        <v>3</v>
      </c>
      <c r="H636" s="15">
        <f t="shared" si="28"/>
        <v>1465954.65</v>
      </c>
      <c r="I636" s="7">
        <f t="shared" si="29"/>
        <v>263871.837</v>
      </c>
      <c r="J636" s="7">
        <f t="shared" si="27"/>
        <v>1729826.487</v>
      </c>
    </row>
    <row r="637" spans="1:10" ht="15" customHeight="1" x14ac:dyDescent="0.3">
      <c r="A637" s="2">
        <v>621</v>
      </c>
      <c r="B637" s="2" t="s">
        <v>1184</v>
      </c>
      <c r="C637" s="2" t="s">
        <v>1185</v>
      </c>
      <c r="D637" s="2" t="s">
        <v>1185</v>
      </c>
      <c r="E637" s="2" t="s">
        <v>3458</v>
      </c>
      <c r="F637" s="7">
        <v>488651.55</v>
      </c>
      <c r="G637" s="13">
        <v>3</v>
      </c>
      <c r="H637" s="15">
        <f t="shared" si="28"/>
        <v>1465954.65</v>
      </c>
      <c r="I637" s="7">
        <f t="shared" si="29"/>
        <v>263871.837</v>
      </c>
      <c r="J637" s="7">
        <f t="shared" si="27"/>
        <v>1729826.487</v>
      </c>
    </row>
    <row r="638" spans="1:10" ht="15" customHeight="1" x14ac:dyDescent="0.3">
      <c r="A638" s="2">
        <v>622</v>
      </c>
      <c r="B638" s="2" t="s">
        <v>3801</v>
      </c>
      <c r="C638" s="2" t="s">
        <v>4301</v>
      </c>
      <c r="D638" s="2" t="s">
        <v>4301</v>
      </c>
      <c r="E638" s="2" t="s">
        <v>3458</v>
      </c>
      <c r="F638" s="7">
        <v>488651.55</v>
      </c>
      <c r="G638" s="13">
        <v>3</v>
      </c>
      <c r="H638" s="15">
        <f t="shared" si="28"/>
        <v>1465954.65</v>
      </c>
      <c r="I638" s="7">
        <f t="shared" si="29"/>
        <v>263871.837</v>
      </c>
      <c r="J638" s="7">
        <f t="shared" si="27"/>
        <v>1729826.487</v>
      </c>
    </row>
    <row r="639" spans="1:10" ht="15" customHeight="1" x14ac:dyDescent="0.3">
      <c r="A639" s="2">
        <v>623</v>
      </c>
      <c r="B639" s="2" t="s">
        <v>3802</v>
      </c>
      <c r="C639" s="2" t="s">
        <v>4302</v>
      </c>
      <c r="D639" s="2" t="s">
        <v>4302</v>
      </c>
      <c r="E639" s="2" t="s">
        <v>3458</v>
      </c>
      <c r="F639" s="7">
        <v>488651.55</v>
      </c>
      <c r="G639" s="13">
        <v>3</v>
      </c>
      <c r="H639" s="15">
        <f t="shared" si="28"/>
        <v>1465954.65</v>
      </c>
      <c r="I639" s="7">
        <f t="shared" si="29"/>
        <v>263871.837</v>
      </c>
      <c r="J639" s="7">
        <f t="shared" si="27"/>
        <v>1729826.487</v>
      </c>
    </row>
    <row r="640" spans="1:10" ht="15" customHeight="1" x14ac:dyDescent="0.3">
      <c r="A640" s="2">
        <v>624</v>
      </c>
      <c r="B640" s="2" t="s">
        <v>3803</v>
      </c>
      <c r="C640" s="2" t="s">
        <v>4303</v>
      </c>
      <c r="D640" s="2" t="s">
        <v>4303</v>
      </c>
      <c r="E640" s="2" t="s">
        <v>3458</v>
      </c>
      <c r="F640" s="7">
        <v>488651.55</v>
      </c>
      <c r="G640" s="13">
        <v>3</v>
      </c>
      <c r="H640" s="15">
        <f t="shared" si="28"/>
        <v>1465954.65</v>
      </c>
      <c r="I640" s="7">
        <f t="shared" si="29"/>
        <v>263871.837</v>
      </c>
      <c r="J640" s="7">
        <f t="shared" si="27"/>
        <v>1729826.487</v>
      </c>
    </row>
    <row r="641" spans="1:10" ht="15" customHeight="1" x14ac:dyDescent="0.3">
      <c r="A641" s="2">
        <v>625</v>
      </c>
      <c r="B641" s="2" t="s">
        <v>1371</v>
      </c>
      <c r="C641" s="2" t="s">
        <v>1372</v>
      </c>
      <c r="D641" s="2" t="s">
        <v>1372</v>
      </c>
      <c r="E641" s="2" t="s">
        <v>3458</v>
      </c>
      <c r="F641" s="7">
        <v>488651.55</v>
      </c>
      <c r="G641" s="13">
        <v>3</v>
      </c>
      <c r="H641" s="15">
        <f t="shared" si="28"/>
        <v>1465954.65</v>
      </c>
      <c r="I641" s="7">
        <f t="shared" si="29"/>
        <v>263871.837</v>
      </c>
      <c r="J641" s="7">
        <f t="shared" si="27"/>
        <v>1729826.487</v>
      </c>
    </row>
    <row r="642" spans="1:10" ht="15" customHeight="1" x14ac:dyDescent="0.3">
      <c r="A642" s="2">
        <v>626</v>
      </c>
      <c r="B642" s="2" t="s">
        <v>3804</v>
      </c>
      <c r="C642" s="2" t="s">
        <v>4304</v>
      </c>
      <c r="D642" s="2" t="s">
        <v>4304</v>
      </c>
      <c r="E642" s="2" t="s">
        <v>3458</v>
      </c>
      <c r="F642" s="7">
        <v>488651.55</v>
      </c>
      <c r="G642" s="13">
        <v>3</v>
      </c>
      <c r="H642" s="15">
        <f t="shared" si="28"/>
        <v>1465954.65</v>
      </c>
      <c r="I642" s="7">
        <f t="shared" si="29"/>
        <v>263871.837</v>
      </c>
      <c r="J642" s="7">
        <f t="shared" si="27"/>
        <v>1729826.487</v>
      </c>
    </row>
    <row r="643" spans="1:10" ht="15" customHeight="1" x14ac:dyDescent="0.3">
      <c r="A643" s="2">
        <v>627</v>
      </c>
      <c r="B643" s="2" t="s">
        <v>1866</v>
      </c>
      <c r="C643" s="2" t="s">
        <v>1867</v>
      </c>
      <c r="D643" s="2" t="s">
        <v>1867</v>
      </c>
      <c r="E643" s="2" t="s">
        <v>3458</v>
      </c>
      <c r="F643" s="7">
        <v>488651.55</v>
      </c>
      <c r="G643" s="13">
        <v>3</v>
      </c>
      <c r="H643" s="15">
        <f t="shared" si="28"/>
        <v>1465954.65</v>
      </c>
      <c r="I643" s="7">
        <f t="shared" si="29"/>
        <v>263871.837</v>
      </c>
      <c r="J643" s="7">
        <f t="shared" si="27"/>
        <v>1729826.487</v>
      </c>
    </row>
    <row r="644" spans="1:10" ht="15" customHeight="1" x14ac:dyDescent="0.3">
      <c r="A644" s="2">
        <v>628</v>
      </c>
      <c r="B644" s="2" t="s">
        <v>3805</v>
      </c>
      <c r="C644" s="2" t="s">
        <v>4305</v>
      </c>
      <c r="D644" s="2" t="s">
        <v>4305</v>
      </c>
      <c r="E644" s="2" t="s">
        <v>3458</v>
      </c>
      <c r="F644" s="7">
        <v>488651.55</v>
      </c>
      <c r="G644" s="13">
        <v>3</v>
      </c>
      <c r="H644" s="15">
        <f t="shared" si="28"/>
        <v>1465954.65</v>
      </c>
      <c r="I644" s="7">
        <f t="shared" si="29"/>
        <v>263871.837</v>
      </c>
      <c r="J644" s="7">
        <f t="shared" si="27"/>
        <v>1729826.487</v>
      </c>
    </row>
    <row r="645" spans="1:10" ht="15" customHeight="1" x14ac:dyDescent="0.3">
      <c r="A645" s="2">
        <v>629</v>
      </c>
      <c r="B645" s="2" t="s">
        <v>3806</v>
      </c>
      <c r="C645" s="2" t="s">
        <v>4306</v>
      </c>
      <c r="D645" s="2" t="s">
        <v>4306</v>
      </c>
      <c r="E645" s="2" t="s">
        <v>3458</v>
      </c>
      <c r="F645" s="7">
        <v>488651.55</v>
      </c>
      <c r="G645" s="13">
        <v>3</v>
      </c>
      <c r="H645" s="15">
        <f t="shared" si="28"/>
        <v>1465954.65</v>
      </c>
      <c r="I645" s="7">
        <f t="shared" si="29"/>
        <v>263871.837</v>
      </c>
      <c r="J645" s="7">
        <f t="shared" si="27"/>
        <v>1729826.487</v>
      </c>
    </row>
    <row r="646" spans="1:10" ht="15" customHeight="1" x14ac:dyDescent="0.3">
      <c r="A646" s="2">
        <v>630</v>
      </c>
      <c r="B646" s="2" t="s">
        <v>3807</v>
      </c>
      <c r="C646" s="2" t="s">
        <v>4307</v>
      </c>
      <c r="D646" s="2" t="s">
        <v>4307</v>
      </c>
      <c r="E646" s="2" t="s">
        <v>3458</v>
      </c>
      <c r="F646" s="7">
        <v>488651.55</v>
      </c>
      <c r="G646" s="13">
        <v>3</v>
      </c>
      <c r="H646" s="15">
        <f t="shared" si="28"/>
        <v>1465954.65</v>
      </c>
      <c r="I646" s="7">
        <f t="shared" si="29"/>
        <v>263871.837</v>
      </c>
      <c r="J646" s="7">
        <f t="shared" si="27"/>
        <v>1729826.487</v>
      </c>
    </row>
    <row r="647" spans="1:10" ht="15" customHeight="1" x14ac:dyDescent="0.3">
      <c r="A647" s="2">
        <v>631</v>
      </c>
      <c r="B647" s="2" t="s">
        <v>3808</v>
      </c>
      <c r="C647" s="2" t="s">
        <v>4308</v>
      </c>
      <c r="D647" s="2" t="s">
        <v>4308</v>
      </c>
      <c r="E647" s="2" t="s">
        <v>3458</v>
      </c>
      <c r="F647" s="7">
        <v>488651.55</v>
      </c>
      <c r="G647" s="13">
        <v>3</v>
      </c>
      <c r="H647" s="15">
        <f t="shared" si="28"/>
        <v>1465954.65</v>
      </c>
      <c r="I647" s="7">
        <f t="shared" si="29"/>
        <v>263871.837</v>
      </c>
      <c r="J647" s="7">
        <f t="shared" si="27"/>
        <v>1729826.487</v>
      </c>
    </row>
    <row r="648" spans="1:10" ht="15" customHeight="1" x14ac:dyDescent="0.3">
      <c r="A648" s="2">
        <v>632</v>
      </c>
      <c r="B648" s="2" t="s">
        <v>1609</v>
      </c>
      <c r="C648" s="2" t="s">
        <v>1610</v>
      </c>
      <c r="D648" s="2" t="s">
        <v>1610</v>
      </c>
      <c r="E648" s="2" t="s">
        <v>3458</v>
      </c>
      <c r="F648" s="7">
        <v>488651.55</v>
      </c>
      <c r="G648" s="13">
        <v>3</v>
      </c>
      <c r="H648" s="15">
        <f t="shared" si="28"/>
        <v>1465954.65</v>
      </c>
      <c r="I648" s="7">
        <f t="shared" si="29"/>
        <v>263871.837</v>
      </c>
      <c r="J648" s="7">
        <f t="shared" si="27"/>
        <v>1729826.487</v>
      </c>
    </row>
    <row r="649" spans="1:10" ht="15" customHeight="1" x14ac:dyDescent="0.3">
      <c r="A649" s="2">
        <v>633</v>
      </c>
      <c r="B649" s="2" t="s">
        <v>1659</v>
      </c>
      <c r="C649" s="2" t="s">
        <v>1660</v>
      </c>
      <c r="D649" s="2" t="s">
        <v>1660</v>
      </c>
      <c r="E649" s="2" t="s">
        <v>3458</v>
      </c>
      <c r="F649" s="7">
        <v>488651.55</v>
      </c>
      <c r="G649" s="13">
        <v>3</v>
      </c>
      <c r="H649" s="15">
        <f t="shared" si="28"/>
        <v>1465954.65</v>
      </c>
      <c r="I649" s="7">
        <f t="shared" si="29"/>
        <v>263871.837</v>
      </c>
      <c r="J649" s="7">
        <f t="shared" si="27"/>
        <v>1729826.487</v>
      </c>
    </row>
    <row r="650" spans="1:10" ht="15" customHeight="1" x14ac:dyDescent="0.3">
      <c r="A650" s="2">
        <v>634</v>
      </c>
      <c r="B650" s="2" t="s">
        <v>3809</v>
      </c>
      <c r="C650" s="2" t="s">
        <v>4309</v>
      </c>
      <c r="D650" s="2" t="s">
        <v>4309</v>
      </c>
      <c r="E650" s="2" t="s">
        <v>3458</v>
      </c>
      <c r="F650" s="7">
        <v>488651.55</v>
      </c>
      <c r="G650" s="13">
        <v>3</v>
      </c>
      <c r="H650" s="15">
        <f t="shared" si="28"/>
        <v>1465954.65</v>
      </c>
      <c r="I650" s="7">
        <f t="shared" si="29"/>
        <v>263871.837</v>
      </c>
      <c r="J650" s="7">
        <f t="shared" ref="J650:J713" si="30">+H650+I650</f>
        <v>1729826.487</v>
      </c>
    </row>
    <row r="651" spans="1:10" ht="15" customHeight="1" x14ac:dyDescent="0.3">
      <c r="A651" s="2">
        <v>635</v>
      </c>
      <c r="B651" s="2" t="s">
        <v>3810</v>
      </c>
      <c r="C651" s="2" t="s">
        <v>4310</v>
      </c>
      <c r="D651" s="2" t="s">
        <v>4310</v>
      </c>
      <c r="E651" s="2" t="s">
        <v>3458</v>
      </c>
      <c r="F651" s="7">
        <v>488651.55</v>
      </c>
      <c r="G651" s="13">
        <v>3</v>
      </c>
      <c r="H651" s="15">
        <f t="shared" si="28"/>
        <v>1465954.65</v>
      </c>
      <c r="I651" s="7">
        <f t="shared" si="29"/>
        <v>263871.837</v>
      </c>
      <c r="J651" s="7">
        <f t="shared" si="30"/>
        <v>1729826.487</v>
      </c>
    </row>
    <row r="652" spans="1:10" ht="15" customHeight="1" x14ac:dyDescent="0.3">
      <c r="A652" s="2">
        <v>636</v>
      </c>
      <c r="B652" s="2" t="s">
        <v>1792</v>
      </c>
      <c r="C652" s="2" t="s">
        <v>1793</v>
      </c>
      <c r="D652" s="2" t="s">
        <v>1793</v>
      </c>
      <c r="E652" s="2" t="s">
        <v>3458</v>
      </c>
      <c r="F652" s="7">
        <v>488651.55</v>
      </c>
      <c r="G652" s="13">
        <v>3</v>
      </c>
      <c r="H652" s="15">
        <f t="shared" si="28"/>
        <v>1465954.65</v>
      </c>
      <c r="I652" s="7">
        <f t="shared" si="29"/>
        <v>263871.837</v>
      </c>
      <c r="J652" s="7">
        <f t="shared" si="30"/>
        <v>1729826.487</v>
      </c>
    </row>
    <row r="653" spans="1:10" ht="15" customHeight="1" x14ac:dyDescent="0.3">
      <c r="A653" s="2">
        <v>637</v>
      </c>
      <c r="B653" s="2" t="s">
        <v>3811</v>
      </c>
      <c r="C653" s="2" t="s">
        <v>4311</v>
      </c>
      <c r="D653" s="2" t="s">
        <v>4311</v>
      </c>
      <c r="E653" s="2" t="s">
        <v>3458</v>
      </c>
      <c r="F653" s="7">
        <v>488651.55</v>
      </c>
      <c r="G653" s="13">
        <v>3</v>
      </c>
      <c r="H653" s="15">
        <f t="shared" si="28"/>
        <v>1465954.65</v>
      </c>
      <c r="I653" s="7">
        <f t="shared" si="29"/>
        <v>263871.837</v>
      </c>
      <c r="J653" s="7">
        <f t="shared" si="30"/>
        <v>1729826.487</v>
      </c>
    </row>
    <row r="654" spans="1:10" ht="15" customHeight="1" x14ac:dyDescent="0.3">
      <c r="A654" s="2">
        <v>638</v>
      </c>
      <c r="B654" s="2" t="s">
        <v>3812</v>
      </c>
      <c r="C654" s="2" t="s">
        <v>4312</v>
      </c>
      <c r="D654" s="2" t="s">
        <v>4312</v>
      </c>
      <c r="E654" s="2" t="s">
        <v>3458</v>
      </c>
      <c r="F654" s="7">
        <v>488651.55</v>
      </c>
      <c r="G654" s="13">
        <v>3</v>
      </c>
      <c r="H654" s="15">
        <f t="shared" si="28"/>
        <v>1465954.65</v>
      </c>
      <c r="I654" s="7">
        <f t="shared" si="29"/>
        <v>263871.837</v>
      </c>
      <c r="J654" s="7">
        <f t="shared" si="30"/>
        <v>1729826.487</v>
      </c>
    </row>
    <row r="655" spans="1:10" ht="15" customHeight="1" x14ac:dyDescent="0.3">
      <c r="A655" s="2">
        <v>639</v>
      </c>
      <c r="B655" s="2" t="s">
        <v>3813</v>
      </c>
      <c r="C655" s="2" t="s">
        <v>4313</v>
      </c>
      <c r="D655" s="2" t="s">
        <v>4313</v>
      </c>
      <c r="E655" s="2" t="s">
        <v>3458</v>
      </c>
      <c r="F655" s="7">
        <v>488651.55</v>
      </c>
      <c r="G655" s="13">
        <v>3</v>
      </c>
      <c r="H655" s="15">
        <f t="shared" si="28"/>
        <v>1465954.65</v>
      </c>
      <c r="I655" s="7">
        <f t="shared" si="29"/>
        <v>263871.837</v>
      </c>
      <c r="J655" s="7">
        <f t="shared" si="30"/>
        <v>1729826.487</v>
      </c>
    </row>
    <row r="656" spans="1:10" ht="15" customHeight="1" x14ac:dyDescent="0.3">
      <c r="A656" s="2">
        <v>640</v>
      </c>
      <c r="B656" s="2" t="s">
        <v>3814</v>
      </c>
      <c r="C656" s="2" t="s">
        <v>4314</v>
      </c>
      <c r="D656" s="2" t="s">
        <v>4314</v>
      </c>
      <c r="E656" s="2" t="s">
        <v>3458</v>
      </c>
      <c r="F656" s="7">
        <v>488651.55</v>
      </c>
      <c r="G656" s="13">
        <v>3</v>
      </c>
      <c r="H656" s="15">
        <f t="shared" ref="H656:H719" si="31">+F656*G656</f>
        <v>1465954.65</v>
      </c>
      <c r="I656" s="7">
        <f t="shared" ref="I656:I719" si="32">+H656*0.18</f>
        <v>263871.837</v>
      </c>
      <c r="J656" s="7">
        <f t="shared" si="30"/>
        <v>1729826.487</v>
      </c>
    </row>
    <row r="657" spans="1:10" ht="15" customHeight="1" x14ac:dyDescent="0.3">
      <c r="A657" s="2">
        <v>641</v>
      </c>
      <c r="B657" s="2" t="s">
        <v>3815</v>
      </c>
      <c r="C657" s="2" t="s">
        <v>4315</v>
      </c>
      <c r="D657" s="2" t="s">
        <v>4315</v>
      </c>
      <c r="E657" s="2" t="s">
        <v>3458</v>
      </c>
      <c r="F657" s="7">
        <v>488651.55</v>
      </c>
      <c r="G657" s="13">
        <v>3</v>
      </c>
      <c r="H657" s="15">
        <f t="shared" si="31"/>
        <v>1465954.65</v>
      </c>
      <c r="I657" s="7">
        <f t="shared" si="32"/>
        <v>263871.837</v>
      </c>
      <c r="J657" s="7">
        <f t="shared" si="30"/>
        <v>1729826.487</v>
      </c>
    </row>
    <row r="658" spans="1:10" ht="15" customHeight="1" x14ac:dyDescent="0.3">
      <c r="A658" s="2">
        <v>642</v>
      </c>
      <c r="B658" s="2" t="s">
        <v>1367</v>
      </c>
      <c r="C658" s="2" t="s">
        <v>1368</v>
      </c>
      <c r="D658" s="2" t="s">
        <v>1368</v>
      </c>
      <c r="E658" s="2" t="s">
        <v>3458</v>
      </c>
      <c r="F658" s="7">
        <v>488651.55</v>
      </c>
      <c r="G658" s="13">
        <v>3</v>
      </c>
      <c r="H658" s="15">
        <f t="shared" si="31"/>
        <v>1465954.65</v>
      </c>
      <c r="I658" s="7">
        <f t="shared" si="32"/>
        <v>263871.837</v>
      </c>
      <c r="J658" s="7">
        <f t="shared" si="30"/>
        <v>1729826.487</v>
      </c>
    </row>
    <row r="659" spans="1:10" ht="15" customHeight="1" x14ac:dyDescent="0.3">
      <c r="A659" s="2">
        <v>643</v>
      </c>
      <c r="B659" s="2" t="s">
        <v>3816</v>
      </c>
      <c r="C659" s="2" t="s">
        <v>4316</v>
      </c>
      <c r="D659" s="2" t="s">
        <v>4316</v>
      </c>
      <c r="E659" s="2" t="s">
        <v>3458</v>
      </c>
      <c r="F659" s="7">
        <v>488651.55</v>
      </c>
      <c r="G659" s="13">
        <v>3</v>
      </c>
      <c r="H659" s="15">
        <f t="shared" si="31"/>
        <v>1465954.65</v>
      </c>
      <c r="I659" s="7">
        <f t="shared" si="32"/>
        <v>263871.837</v>
      </c>
      <c r="J659" s="7">
        <f t="shared" si="30"/>
        <v>1729826.487</v>
      </c>
    </row>
    <row r="660" spans="1:10" ht="15" customHeight="1" x14ac:dyDescent="0.3">
      <c r="A660" s="2">
        <v>644</v>
      </c>
      <c r="B660" s="2" t="s">
        <v>1704</v>
      </c>
      <c r="C660" s="2" t="s">
        <v>1705</v>
      </c>
      <c r="D660" s="2" t="s">
        <v>1705</v>
      </c>
      <c r="E660" s="2" t="s">
        <v>3458</v>
      </c>
      <c r="F660" s="7">
        <v>488651.55</v>
      </c>
      <c r="G660" s="13">
        <v>3</v>
      </c>
      <c r="H660" s="15">
        <f t="shared" si="31"/>
        <v>1465954.65</v>
      </c>
      <c r="I660" s="7">
        <f t="shared" si="32"/>
        <v>263871.837</v>
      </c>
      <c r="J660" s="7">
        <f t="shared" si="30"/>
        <v>1729826.487</v>
      </c>
    </row>
    <row r="661" spans="1:10" ht="15" customHeight="1" x14ac:dyDescent="0.3">
      <c r="A661" s="2">
        <v>645</v>
      </c>
      <c r="B661" s="2" t="s">
        <v>3817</v>
      </c>
      <c r="C661" s="2" t="s">
        <v>4317</v>
      </c>
      <c r="D661" s="2" t="s">
        <v>4317</v>
      </c>
      <c r="E661" s="2" t="s">
        <v>3458</v>
      </c>
      <c r="F661" s="7">
        <v>488651.55</v>
      </c>
      <c r="G661" s="13">
        <v>3</v>
      </c>
      <c r="H661" s="15">
        <f t="shared" si="31"/>
        <v>1465954.65</v>
      </c>
      <c r="I661" s="7">
        <f t="shared" si="32"/>
        <v>263871.837</v>
      </c>
      <c r="J661" s="7">
        <f t="shared" si="30"/>
        <v>1729826.487</v>
      </c>
    </row>
    <row r="662" spans="1:10" ht="15" customHeight="1" x14ac:dyDescent="0.3">
      <c r="A662" s="2">
        <v>646</v>
      </c>
      <c r="B662" s="2" t="s">
        <v>1665</v>
      </c>
      <c r="C662" s="2" t="s">
        <v>1666</v>
      </c>
      <c r="D662" s="2" t="s">
        <v>1666</v>
      </c>
      <c r="E662" s="2" t="s">
        <v>3458</v>
      </c>
      <c r="F662" s="7">
        <v>488651.55</v>
      </c>
      <c r="G662" s="13">
        <v>3</v>
      </c>
      <c r="H662" s="15">
        <f t="shared" si="31"/>
        <v>1465954.65</v>
      </c>
      <c r="I662" s="7">
        <f t="shared" si="32"/>
        <v>263871.837</v>
      </c>
      <c r="J662" s="7">
        <f t="shared" si="30"/>
        <v>1729826.487</v>
      </c>
    </row>
    <row r="663" spans="1:10" ht="15" customHeight="1" x14ac:dyDescent="0.3">
      <c r="A663" s="2">
        <v>647</v>
      </c>
      <c r="B663" s="2" t="s">
        <v>3818</v>
      </c>
      <c r="C663" s="2" t="s">
        <v>4318</v>
      </c>
      <c r="D663" s="2" t="s">
        <v>4318</v>
      </c>
      <c r="E663" s="2" t="s">
        <v>3458</v>
      </c>
      <c r="F663" s="7">
        <v>488651.55</v>
      </c>
      <c r="G663" s="13">
        <v>3</v>
      </c>
      <c r="H663" s="15">
        <f t="shared" si="31"/>
        <v>1465954.65</v>
      </c>
      <c r="I663" s="7">
        <f t="shared" si="32"/>
        <v>263871.837</v>
      </c>
      <c r="J663" s="7">
        <f t="shared" si="30"/>
        <v>1729826.487</v>
      </c>
    </row>
    <row r="664" spans="1:10" ht="15" customHeight="1" x14ac:dyDescent="0.3">
      <c r="A664" s="2">
        <v>648</v>
      </c>
      <c r="B664" s="2" t="s">
        <v>1216</v>
      </c>
      <c r="C664" s="2" t="s">
        <v>1217</v>
      </c>
      <c r="D664" s="2" t="s">
        <v>1217</v>
      </c>
      <c r="E664" s="2" t="s">
        <v>3458</v>
      </c>
      <c r="F664" s="7">
        <v>488651.55</v>
      </c>
      <c r="G664" s="13">
        <v>3</v>
      </c>
      <c r="H664" s="15">
        <f t="shared" si="31"/>
        <v>1465954.65</v>
      </c>
      <c r="I664" s="7">
        <f t="shared" si="32"/>
        <v>263871.837</v>
      </c>
      <c r="J664" s="7">
        <f t="shared" si="30"/>
        <v>1729826.487</v>
      </c>
    </row>
    <row r="665" spans="1:10" ht="15" customHeight="1" x14ac:dyDescent="0.3">
      <c r="A665" s="2">
        <v>649</v>
      </c>
      <c r="B665" s="2" t="s">
        <v>1076</v>
      </c>
      <c r="C665" s="2" t="s">
        <v>1077</v>
      </c>
      <c r="D665" s="2" t="s">
        <v>1077</v>
      </c>
      <c r="E665" s="2" t="s">
        <v>3458</v>
      </c>
      <c r="F665" s="7">
        <v>488651.55</v>
      </c>
      <c r="G665" s="13">
        <v>3</v>
      </c>
      <c r="H665" s="15">
        <f t="shared" si="31"/>
        <v>1465954.65</v>
      </c>
      <c r="I665" s="7">
        <f t="shared" si="32"/>
        <v>263871.837</v>
      </c>
      <c r="J665" s="7">
        <f t="shared" si="30"/>
        <v>1729826.487</v>
      </c>
    </row>
    <row r="666" spans="1:10" ht="15" customHeight="1" x14ac:dyDescent="0.3">
      <c r="A666" s="2">
        <v>650</v>
      </c>
      <c r="B666" s="2" t="s">
        <v>1122</v>
      </c>
      <c r="C666" s="2" t="s">
        <v>1123</v>
      </c>
      <c r="D666" s="2" t="s">
        <v>1123</v>
      </c>
      <c r="E666" s="2" t="s">
        <v>3458</v>
      </c>
      <c r="F666" s="7">
        <v>488651.55</v>
      </c>
      <c r="G666" s="13">
        <v>3</v>
      </c>
      <c r="H666" s="15">
        <f t="shared" si="31"/>
        <v>1465954.65</v>
      </c>
      <c r="I666" s="7">
        <f t="shared" si="32"/>
        <v>263871.837</v>
      </c>
      <c r="J666" s="7">
        <f t="shared" si="30"/>
        <v>1729826.487</v>
      </c>
    </row>
    <row r="667" spans="1:10" ht="15" customHeight="1" x14ac:dyDescent="0.3">
      <c r="A667" s="2">
        <v>651</v>
      </c>
      <c r="B667" s="2" t="s">
        <v>3819</v>
      </c>
      <c r="C667" s="2" t="s">
        <v>4319</v>
      </c>
      <c r="D667" s="2" t="s">
        <v>4319</v>
      </c>
      <c r="E667" s="2" t="s">
        <v>3458</v>
      </c>
      <c r="F667" s="7">
        <v>488651.55</v>
      </c>
      <c r="G667" s="13">
        <v>3</v>
      </c>
      <c r="H667" s="15">
        <f t="shared" si="31"/>
        <v>1465954.65</v>
      </c>
      <c r="I667" s="7">
        <f t="shared" si="32"/>
        <v>263871.837</v>
      </c>
      <c r="J667" s="7">
        <f t="shared" si="30"/>
        <v>1729826.487</v>
      </c>
    </row>
    <row r="668" spans="1:10" ht="15" customHeight="1" x14ac:dyDescent="0.3">
      <c r="A668" s="2">
        <v>652</v>
      </c>
      <c r="B668" s="2" t="s">
        <v>3820</v>
      </c>
      <c r="C668" s="2" t="s">
        <v>4320</v>
      </c>
      <c r="D668" s="2" t="s">
        <v>4320</v>
      </c>
      <c r="E668" s="2" t="s">
        <v>3458</v>
      </c>
      <c r="F668" s="7">
        <v>488651.55</v>
      </c>
      <c r="G668" s="13">
        <v>3</v>
      </c>
      <c r="H668" s="15">
        <f t="shared" si="31"/>
        <v>1465954.65</v>
      </c>
      <c r="I668" s="7">
        <f t="shared" si="32"/>
        <v>263871.837</v>
      </c>
      <c r="J668" s="7">
        <f t="shared" si="30"/>
        <v>1729826.487</v>
      </c>
    </row>
    <row r="669" spans="1:10" ht="15" customHeight="1" x14ac:dyDescent="0.3">
      <c r="A669" s="2">
        <v>653</v>
      </c>
      <c r="B669" s="2" t="s">
        <v>1098</v>
      </c>
      <c r="C669" s="2" t="s">
        <v>1099</v>
      </c>
      <c r="D669" s="2" t="s">
        <v>1099</v>
      </c>
      <c r="E669" s="2" t="s">
        <v>3458</v>
      </c>
      <c r="F669" s="7">
        <v>488651.55</v>
      </c>
      <c r="G669" s="13">
        <v>3</v>
      </c>
      <c r="H669" s="15">
        <f t="shared" si="31"/>
        <v>1465954.65</v>
      </c>
      <c r="I669" s="7">
        <f t="shared" si="32"/>
        <v>263871.837</v>
      </c>
      <c r="J669" s="7">
        <f t="shared" si="30"/>
        <v>1729826.487</v>
      </c>
    </row>
    <row r="670" spans="1:10" ht="15" customHeight="1" x14ac:dyDescent="0.3">
      <c r="A670" s="2">
        <v>654</v>
      </c>
      <c r="B670" s="2" t="s">
        <v>1702</v>
      </c>
      <c r="C670" s="2" t="s">
        <v>1703</v>
      </c>
      <c r="D670" s="2" t="s">
        <v>1703</v>
      </c>
      <c r="E670" s="2" t="s">
        <v>3458</v>
      </c>
      <c r="F670" s="7">
        <v>488651.55</v>
      </c>
      <c r="G670" s="13">
        <v>3</v>
      </c>
      <c r="H670" s="15">
        <f t="shared" si="31"/>
        <v>1465954.65</v>
      </c>
      <c r="I670" s="7">
        <f t="shared" si="32"/>
        <v>263871.837</v>
      </c>
      <c r="J670" s="7">
        <f t="shared" si="30"/>
        <v>1729826.487</v>
      </c>
    </row>
    <row r="671" spans="1:10" ht="15" customHeight="1" x14ac:dyDescent="0.3">
      <c r="A671" s="2">
        <v>655</v>
      </c>
      <c r="B671" s="2" t="s">
        <v>1226</v>
      </c>
      <c r="C671" s="2" t="s">
        <v>1227</v>
      </c>
      <c r="D671" s="2" t="s">
        <v>1227</v>
      </c>
      <c r="E671" s="2" t="s">
        <v>3458</v>
      </c>
      <c r="F671" s="7">
        <v>488651.55</v>
      </c>
      <c r="G671" s="13">
        <v>3</v>
      </c>
      <c r="H671" s="15">
        <f t="shared" si="31"/>
        <v>1465954.65</v>
      </c>
      <c r="I671" s="7">
        <f t="shared" si="32"/>
        <v>263871.837</v>
      </c>
      <c r="J671" s="7">
        <f t="shared" si="30"/>
        <v>1729826.487</v>
      </c>
    </row>
    <row r="672" spans="1:10" ht="15" customHeight="1" x14ac:dyDescent="0.3">
      <c r="A672" s="2">
        <v>656</v>
      </c>
      <c r="B672" s="2" t="s">
        <v>3821</v>
      </c>
      <c r="C672" s="2" t="s">
        <v>4321</v>
      </c>
      <c r="D672" s="2" t="s">
        <v>4321</v>
      </c>
      <c r="E672" s="2" t="s">
        <v>3458</v>
      </c>
      <c r="F672" s="7">
        <v>488651.55</v>
      </c>
      <c r="G672" s="13">
        <v>3</v>
      </c>
      <c r="H672" s="15">
        <f t="shared" si="31"/>
        <v>1465954.65</v>
      </c>
      <c r="I672" s="7">
        <f t="shared" si="32"/>
        <v>263871.837</v>
      </c>
      <c r="J672" s="7">
        <f t="shared" si="30"/>
        <v>1729826.487</v>
      </c>
    </row>
    <row r="673" spans="1:10" ht="15" customHeight="1" x14ac:dyDescent="0.3">
      <c r="A673" s="2">
        <v>657</v>
      </c>
      <c r="B673" s="2" t="s">
        <v>1186</v>
      </c>
      <c r="C673" s="2" t="s">
        <v>1187</v>
      </c>
      <c r="D673" s="2" t="s">
        <v>1187</v>
      </c>
      <c r="E673" s="2" t="s">
        <v>3458</v>
      </c>
      <c r="F673" s="7">
        <v>488651.55</v>
      </c>
      <c r="G673" s="13">
        <v>3</v>
      </c>
      <c r="H673" s="15">
        <f t="shared" si="31"/>
        <v>1465954.65</v>
      </c>
      <c r="I673" s="7">
        <f t="shared" si="32"/>
        <v>263871.837</v>
      </c>
      <c r="J673" s="7">
        <f t="shared" si="30"/>
        <v>1729826.487</v>
      </c>
    </row>
    <row r="674" spans="1:10" ht="15" customHeight="1" x14ac:dyDescent="0.3">
      <c r="A674" s="2">
        <v>658</v>
      </c>
      <c r="B674" s="2" t="s">
        <v>1433</v>
      </c>
      <c r="C674" s="2" t="s">
        <v>1434</v>
      </c>
      <c r="D674" s="2" t="s">
        <v>1434</v>
      </c>
      <c r="E674" s="2" t="s">
        <v>3458</v>
      </c>
      <c r="F674" s="7">
        <v>488651.55</v>
      </c>
      <c r="G674" s="13">
        <v>3</v>
      </c>
      <c r="H674" s="15">
        <f t="shared" si="31"/>
        <v>1465954.65</v>
      </c>
      <c r="I674" s="7">
        <f t="shared" si="32"/>
        <v>263871.837</v>
      </c>
      <c r="J674" s="7">
        <f t="shared" si="30"/>
        <v>1729826.487</v>
      </c>
    </row>
    <row r="675" spans="1:10" ht="15" customHeight="1" x14ac:dyDescent="0.3">
      <c r="A675" s="2">
        <v>659</v>
      </c>
      <c r="B675" s="2" t="s">
        <v>3822</v>
      </c>
      <c r="C675" s="2" t="s">
        <v>4322</v>
      </c>
      <c r="D675" s="2" t="s">
        <v>4322</v>
      </c>
      <c r="E675" s="2" t="s">
        <v>3458</v>
      </c>
      <c r="F675" s="7">
        <v>488651.55</v>
      </c>
      <c r="G675" s="13">
        <v>3</v>
      </c>
      <c r="H675" s="15">
        <f t="shared" si="31"/>
        <v>1465954.65</v>
      </c>
      <c r="I675" s="7">
        <f t="shared" si="32"/>
        <v>263871.837</v>
      </c>
      <c r="J675" s="7">
        <f t="shared" si="30"/>
        <v>1729826.487</v>
      </c>
    </row>
    <row r="676" spans="1:10" ht="15" customHeight="1" x14ac:dyDescent="0.3">
      <c r="A676" s="2">
        <v>660</v>
      </c>
      <c r="B676" s="2" t="s">
        <v>3823</v>
      </c>
      <c r="C676" s="2" t="s">
        <v>4323</v>
      </c>
      <c r="D676" s="2" t="s">
        <v>4323</v>
      </c>
      <c r="E676" s="2" t="s">
        <v>3458</v>
      </c>
      <c r="F676" s="7">
        <v>488651.55</v>
      </c>
      <c r="G676" s="13">
        <v>3</v>
      </c>
      <c r="H676" s="15">
        <f t="shared" si="31"/>
        <v>1465954.65</v>
      </c>
      <c r="I676" s="7">
        <f t="shared" si="32"/>
        <v>263871.837</v>
      </c>
      <c r="J676" s="7">
        <f t="shared" si="30"/>
        <v>1729826.487</v>
      </c>
    </row>
    <row r="677" spans="1:10" ht="15" customHeight="1" x14ac:dyDescent="0.3">
      <c r="A677" s="2">
        <v>661</v>
      </c>
      <c r="B677" s="2" t="s">
        <v>1467</v>
      </c>
      <c r="C677" s="2" t="s">
        <v>1468</v>
      </c>
      <c r="D677" s="2" t="s">
        <v>1468</v>
      </c>
      <c r="E677" s="2" t="s">
        <v>3458</v>
      </c>
      <c r="F677" s="7">
        <v>488651.55</v>
      </c>
      <c r="G677" s="13">
        <v>3</v>
      </c>
      <c r="H677" s="15">
        <f t="shared" si="31"/>
        <v>1465954.65</v>
      </c>
      <c r="I677" s="7">
        <f t="shared" si="32"/>
        <v>263871.837</v>
      </c>
      <c r="J677" s="7">
        <f t="shared" si="30"/>
        <v>1729826.487</v>
      </c>
    </row>
    <row r="678" spans="1:10" ht="15" customHeight="1" x14ac:dyDescent="0.3">
      <c r="A678" s="2">
        <v>662</v>
      </c>
      <c r="B678" s="2" t="s">
        <v>1353</v>
      </c>
      <c r="C678" s="2" t="s">
        <v>1354</v>
      </c>
      <c r="D678" s="2" t="s">
        <v>1354</v>
      </c>
      <c r="E678" s="2" t="s">
        <v>3458</v>
      </c>
      <c r="F678" s="7">
        <v>488651.55</v>
      </c>
      <c r="G678" s="13">
        <v>3</v>
      </c>
      <c r="H678" s="15">
        <f t="shared" si="31"/>
        <v>1465954.65</v>
      </c>
      <c r="I678" s="7">
        <f t="shared" si="32"/>
        <v>263871.837</v>
      </c>
      <c r="J678" s="7">
        <f t="shared" si="30"/>
        <v>1729826.487</v>
      </c>
    </row>
    <row r="679" spans="1:10" ht="15" customHeight="1" x14ac:dyDescent="0.3">
      <c r="A679" s="2">
        <v>663</v>
      </c>
      <c r="B679" s="2" t="s">
        <v>3824</v>
      </c>
      <c r="C679" s="2" t="s">
        <v>4324</v>
      </c>
      <c r="D679" s="2" t="s">
        <v>4324</v>
      </c>
      <c r="E679" s="2" t="s">
        <v>3458</v>
      </c>
      <c r="F679" s="7">
        <v>488651.55</v>
      </c>
      <c r="G679" s="13">
        <v>3</v>
      </c>
      <c r="H679" s="15">
        <f t="shared" si="31"/>
        <v>1465954.65</v>
      </c>
      <c r="I679" s="7">
        <f t="shared" si="32"/>
        <v>263871.837</v>
      </c>
      <c r="J679" s="7">
        <f t="shared" si="30"/>
        <v>1729826.487</v>
      </c>
    </row>
    <row r="680" spans="1:10" ht="15" customHeight="1" x14ac:dyDescent="0.3">
      <c r="A680" s="2">
        <v>664</v>
      </c>
      <c r="B680" s="2" t="s">
        <v>1118</v>
      </c>
      <c r="C680" s="2" t="s">
        <v>1119</v>
      </c>
      <c r="D680" s="2" t="s">
        <v>1119</v>
      </c>
      <c r="E680" s="2" t="s">
        <v>3458</v>
      </c>
      <c r="F680" s="7">
        <v>488651.55</v>
      </c>
      <c r="G680" s="13">
        <v>3</v>
      </c>
      <c r="H680" s="15">
        <f t="shared" si="31"/>
        <v>1465954.65</v>
      </c>
      <c r="I680" s="7">
        <f t="shared" si="32"/>
        <v>263871.837</v>
      </c>
      <c r="J680" s="7">
        <f t="shared" si="30"/>
        <v>1729826.487</v>
      </c>
    </row>
    <row r="681" spans="1:10" ht="15" customHeight="1" x14ac:dyDescent="0.3">
      <c r="A681" s="2">
        <v>665</v>
      </c>
      <c r="B681" s="2" t="s">
        <v>3825</v>
      </c>
      <c r="C681" s="2" t="s">
        <v>4325</v>
      </c>
      <c r="D681" s="2" t="s">
        <v>4325</v>
      </c>
      <c r="E681" s="2" t="s">
        <v>3458</v>
      </c>
      <c r="F681" s="7">
        <v>488651.55</v>
      </c>
      <c r="G681" s="13">
        <v>3</v>
      </c>
      <c r="H681" s="15">
        <f t="shared" si="31"/>
        <v>1465954.65</v>
      </c>
      <c r="I681" s="7">
        <f t="shared" si="32"/>
        <v>263871.837</v>
      </c>
      <c r="J681" s="7">
        <f t="shared" si="30"/>
        <v>1729826.487</v>
      </c>
    </row>
    <row r="682" spans="1:10" ht="15" customHeight="1" x14ac:dyDescent="0.3">
      <c r="A682" s="2">
        <v>666</v>
      </c>
      <c r="B682" s="2" t="s">
        <v>1774</v>
      </c>
      <c r="C682" s="2" t="s">
        <v>1775</v>
      </c>
      <c r="D682" s="2" t="s">
        <v>1775</v>
      </c>
      <c r="E682" s="2" t="s">
        <v>3458</v>
      </c>
      <c r="F682" s="7">
        <v>488651.55</v>
      </c>
      <c r="G682" s="13">
        <v>3</v>
      </c>
      <c r="H682" s="15">
        <f t="shared" si="31"/>
        <v>1465954.65</v>
      </c>
      <c r="I682" s="7">
        <f t="shared" si="32"/>
        <v>263871.837</v>
      </c>
      <c r="J682" s="7">
        <f t="shared" si="30"/>
        <v>1729826.487</v>
      </c>
    </row>
    <row r="683" spans="1:10" ht="15" customHeight="1" x14ac:dyDescent="0.3">
      <c r="A683" s="2">
        <v>667</v>
      </c>
      <c r="B683" s="2" t="s">
        <v>1651</v>
      </c>
      <c r="C683" s="2" t="s">
        <v>1652</v>
      </c>
      <c r="D683" s="2" t="s">
        <v>1652</v>
      </c>
      <c r="E683" s="2" t="s">
        <v>3458</v>
      </c>
      <c r="F683" s="7">
        <v>488651.55</v>
      </c>
      <c r="G683" s="13">
        <v>3</v>
      </c>
      <c r="H683" s="15">
        <f t="shared" si="31"/>
        <v>1465954.65</v>
      </c>
      <c r="I683" s="7">
        <f t="shared" si="32"/>
        <v>263871.837</v>
      </c>
      <c r="J683" s="7">
        <f t="shared" si="30"/>
        <v>1729826.487</v>
      </c>
    </row>
    <row r="684" spans="1:10" ht="15" customHeight="1" x14ac:dyDescent="0.3">
      <c r="A684" s="2">
        <v>668</v>
      </c>
      <c r="B684" s="2" t="s">
        <v>1748</v>
      </c>
      <c r="C684" s="2" t="s">
        <v>1749</v>
      </c>
      <c r="D684" s="2" t="s">
        <v>1749</v>
      </c>
      <c r="E684" s="2" t="s">
        <v>3458</v>
      </c>
      <c r="F684" s="7">
        <v>488651.55</v>
      </c>
      <c r="G684" s="13">
        <v>3</v>
      </c>
      <c r="H684" s="15">
        <f t="shared" si="31"/>
        <v>1465954.65</v>
      </c>
      <c r="I684" s="7">
        <f t="shared" si="32"/>
        <v>263871.837</v>
      </c>
      <c r="J684" s="7">
        <f t="shared" si="30"/>
        <v>1729826.487</v>
      </c>
    </row>
    <row r="685" spans="1:10" ht="15" customHeight="1" x14ac:dyDescent="0.3">
      <c r="A685" s="2">
        <v>669</v>
      </c>
      <c r="B685" s="2" t="s">
        <v>3826</v>
      </c>
      <c r="C685" s="2" t="s">
        <v>4326</v>
      </c>
      <c r="D685" s="2" t="s">
        <v>4326</v>
      </c>
      <c r="E685" s="2" t="s">
        <v>3458</v>
      </c>
      <c r="F685" s="7">
        <v>488651.55</v>
      </c>
      <c r="G685" s="13">
        <v>3</v>
      </c>
      <c r="H685" s="15">
        <f t="shared" si="31"/>
        <v>1465954.65</v>
      </c>
      <c r="I685" s="7">
        <f t="shared" si="32"/>
        <v>263871.837</v>
      </c>
      <c r="J685" s="7">
        <f t="shared" si="30"/>
        <v>1729826.487</v>
      </c>
    </row>
    <row r="686" spans="1:10" ht="15" customHeight="1" x14ac:dyDescent="0.3">
      <c r="A686" s="2">
        <v>670</v>
      </c>
      <c r="B686" s="2" t="s">
        <v>1094</v>
      </c>
      <c r="C686" s="2" t="s">
        <v>1095</v>
      </c>
      <c r="D686" s="2" t="s">
        <v>1095</v>
      </c>
      <c r="E686" s="2" t="s">
        <v>3458</v>
      </c>
      <c r="F686" s="7">
        <v>488651.55</v>
      </c>
      <c r="G686" s="13">
        <v>3</v>
      </c>
      <c r="H686" s="15">
        <f t="shared" si="31"/>
        <v>1465954.65</v>
      </c>
      <c r="I686" s="7">
        <f t="shared" si="32"/>
        <v>263871.837</v>
      </c>
      <c r="J686" s="7">
        <f t="shared" si="30"/>
        <v>1729826.487</v>
      </c>
    </row>
    <row r="687" spans="1:10" ht="15" customHeight="1" x14ac:dyDescent="0.3">
      <c r="A687" s="2">
        <v>671</v>
      </c>
      <c r="B687" s="2" t="s">
        <v>1090</v>
      </c>
      <c r="C687" s="2" t="s">
        <v>1091</v>
      </c>
      <c r="D687" s="2" t="s">
        <v>1091</v>
      </c>
      <c r="E687" s="2" t="s">
        <v>3458</v>
      </c>
      <c r="F687" s="7">
        <v>488651.55</v>
      </c>
      <c r="G687" s="13">
        <v>3</v>
      </c>
      <c r="H687" s="15">
        <f t="shared" si="31"/>
        <v>1465954.65</v>
      </c>
      <c r="I687" s="7">
        <f t="shared" si="32"/>
        <v>263871.837</v>
      </c>
      <c r="J687" s="7">
        <f t="shared" si="30"/>
        <v>1729826.487</v>
      </c>
    </row>
    <row r="688" spans="1:10" ht="15" customHeight="1" x14ac:dyDescent="0.3">
      <c r="A688" s="2">
        <v>672</v>
      </c>
      <c r="B688" s="2" t="s">
        <v>1998</v>
      </c>
      <c r="C688" s="2" t="s">
        <v>1999</v>
      </c>
      <c r="D688" s="2" t="s">
        <v>1999</v>
      </c>
      <c r="E688" s="2" t="s">
        <v>3458</v>
      </c>
      <c r="F688" s="7">
        <v>488651.55</v>
      </c>
      <c r="G688" s="13">
        <v>3</v>
      </c>
      <c r="H688" s="15">
        <f t="shared" si="31"/>
        <v>1465954.65</v>
      </c>
      <c r="I688" s="7">
        <f t="shared" si="32"/>
        <v>263871.837</v>
      </c>
      <c r="J688" s="7">
        <f t="shared" si="30"/>
        <v>1729826.487</v>
      </c>
    </row>
    <row r="689" spans="1:10" ht="15" customHeight="1" x14ac:dyDescent="0.3">
      <c r="A689" s="2">
        <v>673</v>
      </c>
      <c r="B689" s="2" t="s">
        <v>3827</v>
      </c>
      <c r="C689" s="2" t="s">
        <v>4327</v>
      </c>
      <c r="D689" s="2" t="s">
        <v>4327</v>
      </c>
      <c r="E689" s="2" t="s">
        <v>3458</v>
      </c>
      <c r="F689" s="7">
        <v>488651.55</v>
      </c>
      <c r="G689" s="13">
        <v>3</v>
      </c>
      <c r="H689" s="15">
        <f t="shared" si="31"/>
        <v>1465954.65</v>
      </c>
      <c r="I689" s="7">
        <f t="shared" si="32"/>
        <v>263871.837</v>
      </c>
      <c r="J689" s="7">
        <f t="shared" si="30"/>
        <v>1729826.487</v>
      </c>
    </row>
    <row r="690" spans="1:10" ht="15" customHeight="1" x14ac:dyDescent="0.3">
      <c r="A690" s="2">
        <v>674</v>
      </c>
      <c r="B690" s="2" t="s">
        <v>1176</v>
      </c>
      <c r="C690" s="2" t="s">
        <v>1177</v>
      </c>
      <c r="D690" s="2" t="s">
        <v>1177</v>
      </c>
      <c r="E690" s="2" t="s">
        <v>3458</v>
      </c>
      <c r="F690" s="7">
        <v>488651.55</v>
      </c>
      <c r="G690" s="13">
        <v>3</v>
      </c>
      <c r="H690" s="15">
        <f t="shared" si="31"/>
        <v>1465954.65</v>
      </c>
      <c r="I690" s="7">
        <f t="shared" si="32"/>
        <v>263871.837</v>
      </c>
      <c r="J690" s="7">
        <f t="shared" si="30"/>
        <v>1729826.487</v>
      </c>
    </row>
    <row r="691" spans="1:10" ht="15" customHeight="1" x14ac:dyDescent="0.3">
      <c r="A691" s="2">
        <v>675</v>
      </c>
      <c r="B691" s="2" t="s">
        <v>1950</v>
      </c>
      <c r="C691" s="2" t="s">
        <v>1951</v>
      </c>
      <c r="D691" s="2" t="s">
        <v>1951</v>
      </c>
      <c r="E691" s="2" t="s">
        <v>3458</v>
      </c>
      <c r="F691" s="7">
        <v>488651.55</v>
      </c>
      <c r="G691" s="13">
        <v>3</v>
      </c>
      <c r="H691" s="15">
        <f t="shared" si="31"/>
        <v>1465954.65</v>
      </c>
      <c r="I691" s="7">
        <f t="shared" si="32"/>
        <v>263871.837</v>
      </c>
      <c r="J691" s="7">
        <f t="shared" si="30"/>
        <v>1729826.487</v>
      </c>
    </row>
    <row r="692" spans="1:10" ht="15" customHeight="1" x14ac:dyDescent="0.3">
      <c r="A692" s="2">
        <v>676</v>
      </c>
      <c r="B692" s="2" t="s">
        <v>1172</v>
      </c>
      <c r="C692" s="2" t="s">
        <v>1173</v>
      </c>
      <c r="D692" s="2" t="s">
        <v>1173</v>
      </c>
      <c r="E692" s="2" t="s">
        <v>3458</v>
      </c>
      <c r="F692" s="7">
        <v>488651.55</v>
      </c>
      <c r="G692" s="13">
        <v>3</v>
      </c>
      <c r="H692" s="15">
        <f t="shared" si="31"/>
        <v>1465954.65</v>
      </c>
      <c r="I692" s="7">
        <f t="shared" si="32"/>
        <v>263871.837</v>
      </c>
      <c r="J692" s="7">
        <f t="shared" si="30"/>
        <v>1729826.487</v>
      </c>
    </row>
    <row r="693" spans="1:10" ht="15" customHeight="1" x14ac:dyDescent="0.3">
      <c r="A693" s="2">
        <v>677</v>
      </c>
      <c r="B693" s="2" t="s">
        <v>2118</v>
      </c>
      <c r="C693" s="2" t="s">
        <v>2119</v>
      </c>
      <c r="D693" s="2" t="s">
        <v>2119</v>
      </c>
      <c r="E693" s="2" t="s">
        <v>3458</v>
      </c>
      <c r="F693" s="7">
        <v>488651.55</v>
      </c>
      <c r="G693" s="13">
        <v>3</v>
      </c>
      <c r="H693" s="15">
        <f t="shared" si="31"/>
        <v>1465954.65</v>
      </c>
      <c r="I693" s="7">
        <f t="shared" si="32"/>
        <v>263871.837</v>
      </c>
      <c r="J693" s="7">
        <f t="shared" si="30"/>
        <v>1729826.487</v>
      </c>
    </row>
    <row r="694" spans="1:10" ht="15" customHeight="1" x14ac:dyDescent="0.3">
      <c r="A694" s="2">
        <v>678</v>
      </c>
      <c r="B694" s="2" t="s">
        <v>1537</v>
      </c>
      <c r="C694" s="2" t="s">
        <v>1538</v>
      </c>
      <c r="D694" s="2" t="s">
        <v>1538</v>
      </c>
      <c r="E694" s="2" t="s">
        <v>3458</v>
      </c>
      <c r="F694" s="7">
        <v>488651.55</v>
      </c>
      <c r="G694" s="13">
        <v>3</v>
      </c>
      <c r="H694" s="15">
        <f t="shared" si="31"/>
        <v>1465954.65</v>
      </c>
      <c r="I694" s="7">
        <f t="shared" si="32"/>
        <v>263871.837</v>
      </c>
      <c r="J694" s="7">
        <f t="shared" si="30"/>
        <v>1729826.487</v>
      </c>
    </row>
    <row r="695" spans="1:10" ht="15" customHeight="1" x14ac:dyDescent="0.3">
      <c r="A695" s="2">
        <v>679</v>
      </c>
      <c r="B695" s="2" t="s">
        <v>978</v>
      </c>
      <c r="C695" s="2" t="s">
        <v>979</v>
      </c>
      <c r="D695" s="2" t="s">
        <v>979</v>
      </c>
      <c r="E695" s="2" t="s">
        <v>3458</v>
      </c>
      <c r="F695" s="7">
        <v>488651.55</v>
      </c>
      <c r="G695" s="13">
        <v>3</v>
      </c>
      <c r="H695" s="15">
        <f t="shared" si="31"/>
        <v>1465954.65</v>
      </c>
      <c r="I695" s="7">
        <f t="shared" si="32"/>
        <v>263871.837</v>
      </c>
      <c r="J695" s="7">
        <f t="shared" si="30"/>
        <v>1729826.487</v>
      </c>
    </row>
    <row r="696" spans="1:10" ht="15" customHeight="1" x14ac:dyDescent="0.3">
      <c r="A696" s="2">
        <v>680</v>
      </c>
      <c r="B696" s="2" t="s">
        <v>1359</v>
      </c>
      <c r="C696" s="2" t="s">
        <v>1360</v>
      </c>
      <c r="D696" s="2" t="s">
        <v>1360</v>
      </c>
      <c r="E696" s="2" t="s">
        <v>3458</v>
      </c>
      <c r="F696" s="7">
        <v>488651.55</v>
      </c>
      <c r="G696" s="13">
        <v>3</v>
      </c>
      <c r="H696" s="15">
        <f t="shared" si="31"/>
        <v>1465954.65</v>
      </c>
      <c r="I696" s="7">
        <f t="shared" si="32"/>
        <v>263871.837</v>
      </c>
      <c r="J696" s="7">
        <f t="shared" si="30"/>
        <v>1729826.487</v>
      </c>
    </row>
    <row r="697" spans="1:10" ht="15" customHeight="1" x14ac:dyDescent="0.3">
      <c r="A697" s="2">
        <v>681</v>
      </c>
      <c r="B697" s="2" t="s">
        <v>1411</v>
      </c>
      <c r="C697" s="2" t="s">
        <v>1412</v>
      </c>
      <c r="D697" s="2" t="s">
        <v>1412</v>
      </c>
      <c r="E697" s="2" t="s">
        <v>3458</v>
      </c>
      <c r="F697" s="7">
        <v>488651.55</v>
      </c>
      <c r="G697" s="13">
        <v>3</v>
      </c>
      <c r="H697" s="15">
        <f t="shared" si="31"/>
        <v>1465954.65</v>
      </c>
      <c r="I697" s="7">
        <f t="shared" si="32"/>
        <v>263871.837</v>
      </c>
      <c r="J697" s="7">
        <f t="shared" si="30"/>
        <v>1729826.487</v>
      </c>
    </row>
    <row r="698" spans="1:10" ht="15" customHeight="1" x14ac:dyDescent="0.3">
      <c r="A698" s="2">
        <v>682</v>
      </c>
      <c r="B698" s="2" t="s">
        <v>3828</v>
      </c>
      <c r="C698" s="2" t="s">
        <v>4328</v>
      </c>
      <c r="D698" s="2" t="s">
        <v>4328</v>
      </c>
      <c r="E698" s="2" t="s">
        <v>3458</v>
      </c>
      <c r="F698" s="7">
        <v>488651.55</v>
      </c>
      <c r="G698" s="13">
        <v>3</v>
      </c>
      <c r="H698" s="15">
        <f t="shared" si="31"/>
        <v>1465954.65</v>
      </c>
      <c r="I698" s="7">
        <f t="shared" si="32"/>
        <v>263871.837</v>
      </c>
      <c r="J698" s="7">
        <f t="shared" si="30"/>
        <v>1729826.487</v>
      </c>
    </row>
    <row r="699" spans="1:10" ht="15" customHeight="1" x14ac:dyDescent="0.3">
      <c r="A699" s="2">
        <v>683</v>
      </c>
      <c r="B699" s="2" t="s">
        <v>1347</v>
      </c>
      <c r="C699" s="2" t="s">
        <v>1348</v>
      </c>
      <c r="D699" s="2" t="s">
        <v>1348</v>
      </c>
      <c r="E699" s="2" t="s">
        <v>3458</v>
      </c>
      <c r="F699" s="7">
        <v>488651.55</v>
      </c>
      <c r="G699" s="13">
        <v>3</v>
      </c>
      <c r="H699" s="15">
        <f t="shared" si="31"/>
        <v>1465954.65</v>
      </c>
      <c r="I699" s="7">
        <f t="shared" si="32"/>
        <v>263871.837</v>
      </c>
      <c r="J699" s="7">
        <f t="shared" si="30"/>
        <v>1729826.487</v>
      </c>
    </row>
    <row r="700" spans="1:10" ht="15" customHeight="1" x14ac:dyDescent="0.3">
      <c r="A700" s="2">
        <v>684</v>
      </c>
      <c r="B700" s="2" t="s">
        <v>1517</v>
      </c>
      <c r="C700" s="2" t="s">
        <v>1518</v>
      </c>
      <c r="D700" s="2" t="s">
        <v>1518</v>
      </c>
      <c r="E700" s="2" t="s">
        <v>3458</v>
      </c>
      <c r="F700" s="7">
        <v>488651.55</v>
      </c>
      <c r="G700" s="13">
        <v>3</v>
      </c>
      <c r="H700" s="15">
        <f t="shared" si="31"/>
        <v>1465954.65</v>
      </c>
      <c r="I700" s="7">
        <f t="shared" si="32"/>
        <v>263871.837</v>
      </c>
      <c r="J700" s="7">
        <f t="shared" si="30"/>
        <v>1729826.487</v>
      </c>
    </row>
    <row r="701" spans="1:10" ht="15" customHeight="1" x14ac:dyDescent="0.3">
      <c r="A701" s="2">
        <v>685</v>
      </c>
      <c r="B701" s="2" t="s">
        <v>2108</v>
      </c>
      <c r="C701" s="2" t="s">
        <v>2109</v>
      </c>
      <c r="D701" s="2" t="s">
        <v>2109</v>
      </c>
      <c r="E701" s="2" t="s">
        <v>3458</v>
      </c>
      <c r="F701" s="7">
        <v>488651.55</v>
      </c>
      <c r="G701" s="13">
        <v>3</v>
      </c>
      <c r="H701" s="15">
        <f t="shared" si="31"/>
        <v>1465954.65</v>
      </c>
      <c r="I701" s="7">
        <f t="shared" si="32"/>
        <v>263871.837</v>
      </c>
      <c r="J701" s="7">
        <f t="shared" si="30"/>
        <v>1729826.487</v>
      </c>
    </row>
    <row r="702" spans="1:10" ht="15" customHeight="1" x14ac:dyDescent="0.3">
      <c r="A702" s="2">
        <v>686</v>
      </c>
      <c r="B702" s="2" t="s">
        <v>3829</v>
      </c>
      <c r="C702" s="2" t="s">
        <v>4329</v>
      </c>
      <c r="D702" s="2" t="s">
        <v>4329</v>
      </c>
      <c r="E702" s="2" t="s">
        <v>3458</v>
      </c>
      <c r="F702" s="7">
        <v>488651.55</v>
      </c>
      <c r="G702" s="13">
        <v>3</v>
      </c>
      <c r="H702" s="15">
        <f t="shared" si="31"/>
        <v>1465954.65</v>
      </c>
      <c r="I702" s="7">
        <f t="shared" si="32"/>
        <v>263871.837</v>
      </c>
      <c r="J702" s="7">
        <f t="shared" si="30"/>
        <v>1729826.487</v>
      </c>
    </row>
    <row r="703" spans="1:10" ht="15" customHeight="1" x14ac:dyDescent="0.3">
      <c r="A703" s="2">
        <v>687</v>
      </c>
      <c r="B703" s="2" t="s">
        <v>1924</v>
      </c>
      <c r="C703" s="2" t="s">
        <v>1925</v>
      </c>
      <c r="D703" s="2" t="s">
        <v>1925</v>
      </c>
      <c r="E703" s="2" t="s">
        <v>3458</v>
      </c>
      <c r="F703" s="7">
        <v>488651.55</v>
      </c>
      <c r="G703" s="13">
        <v>3</v>
      </c>
      <c r="H703" s="15">
        <f t="shared" si="31"/>
        <v>1465954.65</v>
      </c>
      <c r="I703" s="7">
        <f t="shared" si="32"/>
        <v>263871.837</v>
      </c>
      <c r="J703" s="7">
        <f t="shared" si="30"/>
        <v>1729826.487</v>
      </c>
    </row>
    <row r="704" spans="1:10" ht="15" customHeight="1" x14ac:dyDescent="0.3">
      <c r="A704" s="2">
        <v>688</v>
      </c>
      <c r="B704" s="2" t="s">
        <v>2008</v>
      </c>
      <c r="C704" s="2" t="s">
        <v>2009</v>
      </c>
      <c r="D704" s="2" t="s">
        <v>2009</v>
      </c>
      <c r="E704" s="2" t="s">
        <v>3458</v>
      </c>
      <c r="F704" s="7">
        <v>488651.55</v>
      </c>
      <c r="G704" s="13">
        <v>3</v>
      </c>
      <c r="H704" s="15">
        <f t="shared" si="31"/>
        <v>1465954.65</v>
      </c>
      <c r="I704" s="7">
        <f t="shared" si="32"/>
        <v>263871.837</v>
      </c>
      <c r="J704" s="7">
        <f t="shared" si="30"/>
        <v>1729826.487</v>
      </c>
    </row>
    <row r="705" spans="1:10" ht="15" customHeight="1" x14ac:dyDescent="0.3">
      <c r="A705" s="2">
        <v>689</v>
      </c>
      <c r="B705" s="2" t="s">
        <v>2143</v>
      </c>
      <c r="C705" s="2" t="s">
        <v>2144</v>
      </c>
      <c r="D705" s="2" t="s">
        <v>2144</v>
      </c>
      <c r="E705" s="2" t="s">
        <v>3458</v>
      </c>
      <c r="F705" s="7">
        <v>488651.55</v>
      </c>
      <c r="G705" s="13">
        <v>3</v>
      </c>
      <c r="H705" s="15">
        <f t="shared" si="31"/>
        <v>1465954.65</v>
      </c>
      <c r="I705" s="7">
        <f t="shared" si="32"/>
        <v>263871.837</v>
      </c>
      <c r="J705" s="7">
        <f t="shared" si="30"/>
        <v>1729826.487</v>
      </c>
    </row>
    <row r="706" spans="1:10" ht="15" customHeight="1" x14ac:dyDescent="0.3">
      <c r="A706" s="2">
        <v>690</v>
      </c>
      <c r="B706" s="2" t="s">
        <v>2112</v>
      </c>
      <c r="C706" s="2" t="s">
        <v>2113</v>
      </c>
      <c r="D706" s="2" t="s">
        <v>2113</v>
      </c>
      <c r="E706" s="2" t="s">
        <v>3458</v>
      </c>
      <c r="F706" s="7">
        <v>488651.55</v>
      </c>
      <c r="G706" s="13">
        <v>3</v>
      </c>
      <c r="H706" s="15">
        <f t="shared" si="31"/>
        <v>1465954.65</v>
      </c>
      <c r="I706" s="7">
        <f t="shared" si="32"/>
        <v>263871.837</v>
      </c>
      <c r="J706" s="7">
        <f t="shared" si="30"/>
        <v>1729826.487</v>
      </c>
    </row>
    <row r="707" spans="1:10" ht="15" customHeight="1" x14ac:dyDescent="0.3">
      <c r="A707" s="2">
        <v>691</v>
      </c>
      <c r="B707" s="2" t="s">
        <v>1676</v>
      </c>
      <c r="C707" s="2" t="s">
        <v>1677</v>
      </c>
      <c r="D707" s="2" t="s">
        <v>1677</v>
      </c>
      <c r="E707" s="2" t="s">
        <v>3458</v>
      </c>
      <c r="F707" s="7">
        <v>488651.55</v>
      </c>
      <c r="G707" s="13">
        <v>3</v>
      </c>
      <c r="H707" s="15">
        <f t="shared" si="31"/>
        <v>1465954.65</v>
      </c>
      <c r="I707" s="7">
        <f t="shared" si="32"/>
        <v>263871.837</v>
      </c>
      <c r="J707" s="7">
        <f t="shared" si="30"/>
        <v>1729826.487</v>
      </c>
    </row>
    <row r="708" spans="1:10" ht="15" customHeight="1" x14ac:dyDescent="0.3">
      <c r="A708" s="2">
        <v>692</v>
      </c>
      <c r="B708" s="2" t="s">
        <v>3830</v>
      </c>
      <c r="C708" s="2" t="s">
        <v>4330</v>
      </c>
      <c r="D708" s="2" t="s">
        <v>4330</v>
      </c>
      <c r="E708" s="2" t="s">
        <v>3458</v>
      </c>
      <c r="F708" s="7">
        <v>488651.55</v>
      </c>
      <c r="G708" s="13">
        <v>3</v>
      </c>
      <c r="H708" s="15">
        <f t="shared" si="31"/>
        <v>1465954.65</v>
      </c>
      <c r="I708" s="7">
        <f t="shared" si="32"/>
        <v>263871.837</v>
      </c>
      <c r="J708" s="7">
        <f t="shared" si="30"/>
        <v>1729826.487</v>
      </c>
    </row>
    <row r="709" spans="1:10" ht="15" customHeight="1" x14ac:dyDescent="0.3">
      <c r="A709" s="2">
        <v>693</v>
      </c>
      <c r="B709" s="2" t="s">
        <v>1413</v>
      </c>
      <c r="C709" s="2" t="s">
        <v>1414</v>
      </c>
      <c r="D709" s="2" t="s">
        <v>1414</v>
      </c>
      <c r="E709" s="2" t="s">
        <v>3458</v>
      </c>
      <c r="F709" s="7">
        <v>488651.55</v>
      </c>
      <c r="G709" s="13">
        <v>3</v>
      </c>
      <c r="H709" s="15">
        <f t="shared" si="31"/>
        <v>1465954.65</v>
      </c>
      <c r="I709" s="7">
        <f t="shared" si="32"/>
        <v>263871.837</v>
      </c>
      <c r="J709" s="7">
        <f t="shared" si="30"/>
        <v>1729826.487</v>
      </c>
    </row>
    <row r="710" spans="1:10" ht="15" customHeight="1" x14ac:dyDescent="0.3">
      <c r="A710" s="2">
        <v>694</v>
      </c>
      <c r="B710" s="2" t="s">
        <v>20</v>
      </c>
      <c r="C710" s="2" t="s">
        <v>21</v>
      </c>
      <c r="D710" s="2" t="s">
        <v>21</v>
      </c>
      <c r="E710" s="2" t="s">
        <v>3458</v>
      </c>
      <c r="F710" s="7">
        <v>488651.55</v>
      </c>
      <c r="G710" s="13">
        <v>3</v>
      </c>
      <c r="H710" s="15">
        <f t="shared" si="31"/>
        <v>1465954.65</v>
      </c>
      <c r="I710" s="7">
        <f t="shared" si="32"/>
        <v>263871.837</v>
      </c>
      <c r="J710" s="7">
        <f t="shared" si="30"/>
        <v>1729826.487</v>
      </c>
    </row>
    <row r="711" spans="1:10" ht="15" customHeight="1" x14ac:dyDescent="0.3">
      <c r="A711" s="2">
        <v>695</v>
      </c>
      <c r="B711" s="2" t="s">
        <v>2199</v>
      </c>
      <c r="C711" s="2" t="s">
        <v>2200</v>
      </c>
      <c r="D711" s="2" t="s">
        <v>2200</v>
      </c>
      <c r="E711" s="2" t="s">
        <v>3458</v>
      </c>
      <c r="F711" s="7">
        <v>488651.55</v>
      </c>
      <c r="G711" s="13">
        <v>3</v>
      </c>
      <c r="H711" s="15">
        <f t="shared" si="31"/>
        <v>1465954.65</v>
      </c>
      <c r="I711" s="7">
        <f t="shared" si="32"/>
        <v>263871.837</v>
      </c>
      <c r="J711" s="7">
        <f t="shared" si="30"/>
        <v>1729826.487</v>
      </c>
    </row>
    <row r="712" spans="1:10" ht="15" customHeight="1" x14ac:dyDescent="0.3">
      <c r="A712" s="2">
        <v>696</v>
      </c>
      <c r="B712" s="2" t="s">
        <v>1429</v>
      </c>
      <c r="C712" s="2" t="s">
        <v>1430</v>
      </c>
      <c r="D712" s="2" t="s">
        <v>1430</v>
      </c>
      <c r="E712" s="2" t="s">
        <v>3458</v>
      </c>
      <c r="F712" s="7">
        <v>488651.55</v>
      </c>
      <c r="G712" s="13">
        <v>3</v>
      </c>
      <c r="H712" s="15">
        <f t="shared" si="31"/>
        <v>1465954.65</v>
      </c>
      <c r="I712" s="7">
        <f t="shared" si="32"/>
        <v>263871.837</v>
      </c>
      <c r="J712" s="7">
        <f t="shared" si="30"/>
        <v>1729826.487</v>
      </c>
    </row>
    <row r="713" spans="1:10" ht="15" customHeight="1" x14ac:dyDescent="0.3">
      <c r="A713" s="2">
        <v>697</v>
      </c>
      <c r="B713" s="2" t="s">
        <v>3831</v>
      </c>
      <c r="C713" s="2" t="s">
        <v>4331</v>
      </c>
      <c r="D713" s="2" t="s">
        <v>4331</v>
      </c>
      <c r="E713" s="2" t="s">
        <v>3458</v>
      </c>
      <c r="F713" s="7">
        <v>488651.55</v>
      </c>
      <c r="G713" s="13">
        <v>3</v>
      </c>
      <c r="H713" s="15">
        <f t="shared" si="31"/>
        <v>1465954.65</v>
      </c>
      <c r="I713" s="7">
        <f t="shared" si="32"/>
        <v>263871.837</v>
      </c>
      <c r="J713" s="7">
        <f t="shared" si="30"/>
        <v>1729826.487</v>
      </c>
    </row>
    <row r="714" spans="1:10" ht="15" customHeight="1" x14ac:dyDescent="0.3">
      <c r="A714" s="2">
        <v>698</v>
      </c>
      <c r="B714" s="2" t="s">
        <v>1295</v>
      </c>
      <c r="C714" s="2" t="s">
        <v>1296</v>
      </c>
      <c r="D714" s="2" t="s">
        <v>1296</v>
      </c>
      <c r="E714" s="2" t="s">
        <v>3458</v>
      </c>
      <c r="F714" s="7">
        <v>488651.55</v>
      </c>
      <c r="G714" s="13">
        <v>3</v>
      </c>
      <c r="H714" s="15">
        <f t="shared" si="31"/>
        <v>1465954.65</v>
      </c>
      <c r="I714" s="7">
        <f t="shared" si="32"/>
        <v>263871.837</v>
      </c>
      <c r="J714" s="7">
        <f t="shared" ref="J714:J777" si="33">+H714+I714</f>
        <v>1729826.487</v>
      </c>
    </row>
    <row r="715" spans="1:10" ht="15" customHeight="1" x14ac:dyDescent="0.3">
      <c r="A715" s="2">
        <v>699</v>
      </c>
      <c r="B715" s="2" t="s">
        <v>2160</v>
      </c>
      <c r="C715" s="2" t="s">
        <v>2161</v>
      </c>
      <c r="D715" s="2" t="s">
        <v>2161</v>
      </c>
      <c r="E715" s="2" t="s">
        <v>3458</v>
      </c>
      <c r="F715" s="7">
        <v>488651.55</v>
      </c>
      <c r="G715" s="13">
        <v>3</v>
      </c>
      <c r="H715" s="15">
        <f t="shared" si="31"/>
        <v>1465954.65</v>
      </c>
      <c r="I715" s="7">
        <f t="shared" si="32"/>
        <v>263871.837</v>
      </c>
      <c r="J715" s="7">
        <f t="shared" si="33"/>
        <v>1729826.487</v>
      </c>
    </row>
    <row r="716" spans="1:10" ht="15" customHeight="1" x14ac:dyDescent="0.3">
      <c r="A716" s="2">
        <v>700</v>
      </c>
      <c r="B716" s="2" t="s">
        <v>3832</v>
      </c>
      <c r="C716" s="2" t="s">
        <v>4332</v>
      </c>
      <c r="D716" s="2" t="s">
        <v>4332</v>
      </c>
      <c r="E716" s="2" t="s">
        <v>3458</v>
      </c>
      <c r="F716" s="7">
        <v>488651.55</v>
      </c>
      <c r="G716" s="13">
        <v>3</v>
      </c>
      <c r="H716" s="15">
        <f t="shared" si="31"/>
        <v>1465954.65</v>
      </c>
      <c r="I716" s="7">
        <f t="shared" si="32"/>
        <v>263871.837</v>
      </c>
      <c r="J716" s="7">
        <f t="shared" si="33"/>
        <v>1729826.487</v>
      </c>
    </row>
    <row r="717" spans="1:10" ht="15" customHeight="1" x14ac:dyDescent="0.3">
      <c r="A717" s="2">
        <v>701</v>
      </c>
      <c r="B717" s="2" t="s">
        <v>1700</v>
      </c>
      <c r="C717" s="2" t="s">
        <v>1701</v>
      </c>
      <c r="D717" s="2" t="s">
        <v>1701</v>
      </c>
      <c r="E717" s="2" t="s">
        <v>3458</v>
      </c>
      <c r="F717" s="7">
        <v>488651.55</v>
      </c>
      <c r="G717" s="13">
        <v>3</v>
      </c>
      <c r="H717" s="15">
        <f t="shared" si="31"/>
        <v>1465954.65</v>
      </c>
      <c r="I717" s="7">
        <f t="shared" si="32"/>
        <v>263871.837</v>
      </c>
      <c r="J717" s="7">
        <f t="shared" si="33"/>
        <v>1729826.487</v>
      </c>
    </row>
    <row r="718" spans="1:10" ht="15" customHeight="1" x14ac:dyDescent="0.3">
      <c r="A718" s="2">
        <v>702</v>
      </c>
      <c r="B718" s="2" t="s">
        <v>3833</v>
      </c>
      <c r="C718" s="2" t="s">
        <v>4333</v>
      </c>
      <c r="D718" s="2" t="s">
        <v>4333</v>
      </c>
      <c r="E718" s="2" t="s">
        <v>3458</v>
      </c>
      <c r="F718" s="7">
        <v>488651.55</v>
      </c>
      <c r="G718" s="13">
        <v>3</v>
      </c>
      <c r="H718" s="15">
        <f t="shared" si="31"/>
        <v>1465954.65</v>
      </c>
      <c r="I718" s="7">
        <f t="shared" si="32"/>
        <v>263871.837</v>
      </c>
      <c r="J718" s="7">
        <f t="shared" si="33"/>
        <v>1729826.487</v>
      </c>
    </row>
    <row r="719" spans="1:10" ht="15" customHeight="1" x14ac:dyDescent="0.3">
      <c r="A719" s="2">
        <v>703</v>
      </c>
      <c r="B719" s="2" t="s">
        <v>1499</v>
      </c>
      <c r="C719" s="2" t="s">
        <v>1500</v>
      </c>
      <c r="D719" s="2" t="s">
        <v>1500</v>
      </c>
      <c r="E719" s="2" t="s">
        <v>3458</v>
      </c>
      <c r="F719" s="7">
        <v>488651.55</v>
      </c>
      <c r="G719" s="13">
        <v>3</v>
      </c>
      <c r="H719" s="15">
        <f t="shared" si="31"/>
        <v>1465954.65</v>
      </c>
      <c r="I719" s="7">
        <f t="shared" si="32"/>
        <v>263871.837</v>
      </c>
      <c r="J719" s="7">
        <f t="shared" si="33"/>
        <v>1729826.487</v>
      </c>
    </row>
    <row r="720" spans="1:10" ht="15" customHeight="1" x14ac:dyDescent="0.3">
      <c r="A720" s="2">
        <v>704</v>
      </c>
      <c r="B720" s="2" t="s">
        <v>1802</v>
      </c>
      <c r="C720" s="2" t="s">
        <v>1803</v>
      </c>
      <c r="D720" s="2" t="s">
        <v>1803</v>
      </c>
      <c r="E720" s="2" t="s">
        <v>3458</v>
      </c>
      <c r="F720" s="7">
        <v>488651.55</v>
      </c>
      <c r="G720" s="13">
        <v>3</v>
      </c>
      <c r="H720" s="15">
        <f t="shared" ref="H720:H783" si="34">+F720*G720</f>
        <v>1465954.65</v>
      </c>
      <c r="I720" s="7">
        <f t="shared" ref="I720:I783" si="35">+H720*0.18</f>
        <v>263871.837</v>
      </c>
      <c r="J720" s="7">
        <f t="shared" si="33"/>
        <v>1729826.487</v>
      </c>
    </row>
    <row r="721" spans="1:10" ht="15" customHeight="1" x14ac:dyDescent="0.3">
      <c r="A721" s="2">
        <v>705</v>
      </c>
      <c r="B721" s="2" t="s">
        <v>2069</v>
      </c>
      <c r="C721" s="2" t="s">
        <v>2070</v>
      </c>
      <c r="D721" s="2" t="s">
        <v>2070</v>
      </c>
      <c r="E721" s="2" t="s">
        <v>3458</v>
      </c>
      <c r="F721" s="7">
        <v>488651.55</v>
      </c>
      <c r="G721" s="13">
        <v>3</v>
      </c>
      <c r="H721" s="15">
        <f t="shared" si="34"/>
        <v>1465954.65</v>
      </c>
      <c r="I721" s="7">
        <f t="shared" si="35"/>
        <v>263871.837</v>
      </c>
      <c r="J721" s="7">
        <f t="shared" si="33"/>
        <v>1729826.487</v>
      </c>
    </row>
    <row r="722" spans="1:10" ht="15" customHeight="1" x14ac:dyDescent="0.3">
      <c r="A722" s="2">
        <v>706</v>
      </c>
      <c r="B722" s="2" t="s">
        <v>5049</v>
      </c>
      <c r="C722" s="2" t="s">
        <v>4334</v>
      </c>
      <c r="D722" s="2" t="s">
        <v>4334</v>
      </c>
      <c r="E722" s="2" t="s">
        <v>3458</v>
      </c>
      <c r="F722" s="7">
        <v>488651.55</v>
      </c>
      <c r="G722" s="13">
        <v>3</v>
      </c>
      <c r="H722" s="15">
        <f t="shared" si="34"/>
        <v>1465954.65</v>
      </c>
      <c r="I722" s="7">
        <f t="shared" si="35"/>
        <v>263871.837</v>
      </c>
      <c r="J722" s="7">
        <f t="shared" si="33"/>
        <v>1729826.487</v>
      </c>
    </row>
    <row r="723" spans="1:10" ht="15" customHeight="1" x14ac:dyDescent="0.3">
      <c r="A723" s="2">
        <v>707</v>
      </c>
      <c r="B723" s="2" t="s">
        <v>1649</v>
      </c>
      <c r="C723" s="2" t="s">
        <v>1650</v>
      </c>
      <c r="D723" s="2" t="s">
        <v>1650</v>
      </c>
      <c r="E723" s="2" t="s">
        <v>3458</v>
      </c>
      <c r="F723" s="7">
        <v>488651.55</v>
      </c>
      <c r="G723" s="13">
        <v>3</v>
      </c>
      <c r="H723" s="15">
        <f t="shared" si="34"/>
        <v>1465954.65</v>
      </c>
      <c r="I723" s="7">
        <f t="shared" si="35"/>
        <v>263871.837</v>
      </c>
      <c r="J723" s="7">
        <f t="shared" si="33"/>
        <v>1729826.487</v>
      </c>
    </row>
    <row r="724" spans="1:10" ht="15" customHeight="1" x14ac:dyDescent="0.3">
      <c r="A724" s="2">
        <v>708</v>
      </c>
      <c r="B724" s="2" t="s">
        <v>3834</v>
      </c>
      <c r="C724" s="2" t="s">
        <v>4335</v>
      </c>
      <c r="D724" s="2" t="s">
        <v>4335</v>
      </c>
      <c r="E724" s="2" t="s">
        <v>3458</v>
      </c>
      <c r="F724" s="7">
        <v>488651.55</v>
      </c>
      <c r="G724" s="13">
        <v>3</v>
      </c>
      <c r="H724" s="15">
        <f t="shared" si="34"/>
        <v>1465954.65</v>
      </c>
      <c r="I724" s="7">
        <f t="shared" si="35"/>
        <v>263871.837</v>
      </c>
      <c r="J724" s="7">
        <f t="shared" si="33"/>
        <v>1729826.487</v>
      </c>
    </row>
    <row r="725" spans="1:10" ht="15" customHeight="1" x14ac:dyDescent="0.3">
      <c r="A725" s="2">
        <v>709</v>
      </c>
      <c r="B725" s="2" t="s">
        <v>2120</v>
      </c>
      <c r="C725" s="2" t="s">
        <v>2121</v>
      </c>
      <c r="D725" s="2" t="s">
        <v>2121</v>
      </c>
      <c r="E725" s="2" t="s">
        <v>3458</v>
      </c>
      <c r="F725" s="7">
        <v>488651.55</v>
      </c>
      <c r="G725" s="13">
        <v>3</v>
      </c>
      <c r="H725" s="15">
        <f t="shared" si="34"/>
        <v>1465954.65</v>
      </c>
      <c r="I725" s="7">
        <f t="shared" si="35"/>
        <v>263871.837</v>
      </c>
      <c r="J725" s="7">
        <f t="shared" si="33"/>
        <v>1729826.487</v>
      </c>
    </row>
    <row r="726" spans="1:10" ht="15" customHeight="1" x14ac:dyDescent="0.3">
      <c r="A726" s="2">
        <v>710</v>
      </c>
      <c r="B726" s="2" t="s">
        <v>1497</v>
      </c>
      <c r="C726" s="2" t="s">
        <v>1498</v>
      </c>
      <c r="D726" s="2" t="s">
        <v>1498</v>
      </c>
      <c r="E726" s="2" t="s">
        <v>3458</v>
      </c>
      <c r="F726" s="7">
        <v>488651.55</v>
      </c>
      <c r="G726" s="13">
        <v>3</v>
      </c>
      <c r="H726" s="15">
        <f t="shared" si="34"/>
        <v>1465954.65</v>
      </c>
      <c r="I726" s="7">
        <f t="shared" si="35"/>
        <v>263871.837</v>
      </c>
      <c r="J726" s="7">
        <f t="shared" si="33"/>
        <v>1729826.487</v>
      </c>
    </row>
    <row r="727" spans="1:10" ht="15" customHeight="1" x14ac:dyDescent="0.3">
      <c r="A727" s="2">
        <v>711</v>
      </c>
      <c r="B727" s="2" t="s">
        <v>1816</v>
      </c>
      <c r="C727" s="2" t="s">
        <v>1817</v>
      </c>
      <c r="D727" s="2" t="s">
        <v>1817</v>
      </c>
      <c r="E727" s="2" t="s">
        <v>3458</v>
      </c>
      <c r="F727" s="7">
        <v>488651.55</v>
      </c>
      <c r="G727" s="13">
        <v>3</v>
      </c>
      <c r="H727" s="15">
        <f t="shared" si="34"/>
        <v>1465954.65</v>
      </c>
      <c r="I727" s="7">
        <f t="shared" si="35"/>
        <v>263871.837</v>
      </c>
      <c r="J727" s="7">
        <f t="shared" si="33"/>
        <v>1729826.487</v>
      </c>
    </row>
    <row r="728" spans="1:10" ht="15" customHeight="1" x14ac:dyDescent="0.3">
      <c r="A728" s="2">
        <v>712</v>
      </c>
      <c r="B728" s="2" t="s">
        <v>3835</v>
      </c>
      <c r="C728" s="2" t="s">
        <v>4336</v>
      </c>
      <c r="D728" s="2" t="s">
        <v>4336</v>
      </c>
      <c r="E728" s="2" t="s">
        <v>3458</v>
      </c>
      <c r="F728" s="7">
        <v>488651.55</v>
      </c>
      <c r="G728" s="13">
        <v>3</v>
      </c>
      <c r="H728" s="15">
        <f t="shared" si="34"/>
        <v>1465954.65</v>
      </c>
      <c r="I728" s="7">
        <f t="shared" si="35"/>
        <v>263871.837</v>
      </c>
      <c r="J728" s="7">
        <f t="shared" si="33"/>
        <v>1729826.487</v>
      </c>
    </row>
    <row r="729" spans="1:10" ht="15" customHeight="1" x14ac:dyDescent="0.3">
      <c r="A729" s="2">
        <v>713</v>
      </c>
      <c r="B729" s="2" t="s">
        <v>3836</v>
      </c>
      <c r="C729" s="2" t="s">
        <v>4337</v>
      </c>
      <c r="D729" s="2" t="s">
        <v>4337</v>
      </c>
      <c r="E729" s="2" t="s">
        <v>3458</v>
      </c>
      <c r="F729" s="7">
        <v>488651.55</v>
      </c>
      <c r="G729" s="13">
        <v>3</v>
      </c>
      <c r="H729" s="15">
        <f t="shared" si="34"/>
        <v>1465954.65</v>
      </c>
      <c r="I729" s="7">
        <f t="shared" si="35"/>
        <v>263871.837</v>
      </c>
      <c r="J729" s="7">
        <f t="shared" si="33"/>
        <v>1729826.487</v>
      </c>
    </row>
    <row r="730" spans="1:10" ht="15" customHeight="1" x14ac:dyDescent="0.3">
      <c r="A730" s="2">
        <v>714</v>
      </c>
      <c r="B730" s="2" t="s">
        <v>1832</v>
      </c>
      <c r="C730" s="2" t="s">
        <v>1833</v>
      </c>
      <c r="D730" s="2" t="s">
        <v>1833</v>
      </c>
      <c r="E730" s="2" t="s">
        <v>3458</v>
      </c>
      <c r="F730" s="7">
        <v>488651.55</v>
      </c>
      <c r="G730" s="13">
        <v>3</v>
      </c>
      <c r="H730" s="15">
        <f t="shared" si="34"/>
        <v>1465954.65</v>
      </c>
      <c r="I730" s="7">
        <f t="shared" si="35"/>
        <v>263871.837</v>
      </c>
      <c r="J730" s="7">
        <f t="shared" si="33"/>
        <v>1729826.487</v>
      </c>
    </row>
    <row r="731" spans="1:10" ht="15" customHeight="1" x14ac:dyDescent="0.3">
      <c r="A731" s="2">
        <v>715</v>
      </c>
      <c r="B731" s="2" t="s">
        <v>3837</v>
      </c>
      <c r="C731" s="2" t="s">
        <v>4338</v>
      </c>
      <c r="D731" s="2" t="s">
        <v>4338</v>
      </c>
      <c r="E731" s="2" t="s">
        <v>3458</v>
      </c>
      <c r="F731" s="7">
        <v>488651.55</v>
      </c>
      <c r="G731" s="13">
        <v>3</v>
      </c>
      <c r="H731" s="15">
        <f t="shared" si="34"/>
        <v>1465954.65</v>
      </c>
      <c r="I731" s="7">
        <f t="shared" si="35"/>
        <v>263871.837</v>
      </c>
      <c r="J731" s="7">
        <f t="shared" si="33"/>
        <v>1729826.487</v>
      </c>
    </row>
    <row r="732" spans="1:10" ht="15" customHeight="1" x14ac:dyDescent="0.3">
      <c r="A732" s="2">
        <v>716</v>
      </c>
      <c r="B732" s="2" t="s">
        <v>1760</v>
      </c>
      <c r="C732" s="2" t="s">
        <v>1761</v>
      </c>
      <c r="D732" s="2" t="s">
        <v>1761</v>
      </c>
      <c r="E732" s="2" t="s">
        <v>3458</v>
      </c>
      <c r="F732" s="7">
        <v>488651.55</v>
      </c>
      <c r="G732" s="13">
        <v>3</v>
      </c>
      <c r="H732" s="15">
        <f t="shared" si="34"/>
        <v>1465954.65</v>
      </c>
      <c r="I732" s="7">
        <f t="shared" si="35"/>
        <v>263871.837</v>
      </c>
      <c r="J732" s="7">
        <f t="shared" si="33"/>
        <v>1729826.487</v>
      </c>
    </row>
    <row r="733" spans="1:10" ht="15" customHeight="1" x14ac:dyDescent="0.3">
      <c r="A733" s="2">
        <v>717</v>
      </c>
      <c r="B733" s="2" t="s">
        <v>1681</v>
      </c>
      <c r="C733" s="2" t="s">
        <v>1682</v>
      </c>
      <c r="D733" s="2" t="s">
        <v>1682</v>
      </c>
      <c r="E733" s="2" t="s">
        <v>3458</v>
      </c>
      <c r="F733" s="7">
        <v>488651.55</v>
      </c>
      <c r="G733" s="13">
        <v>3</v>
      </c>
      <c r="H733" s="15">
        <f t="shared" si="34"/>
        <v>1465954.65</v>
      </c>
      <c r="I733" s="7">
        <f t="shared" si="35"/>
        <v>263871.837</v>
      </c>
      <c r="J733" s="7">
        <f t="shared" si="33"/>
        <v>1729826.487</v>
      </c>
    </row>
    <row r="734" spans="1:10" ht="15" customHeight="1" x14ac:dyDescent="0.3">
      <c r="A734" s="2">
        <v>718</v>
      </c>
      <c r="B734" s="2" t="s">
        <v>1437</v>
      </c>
      <c r="C734" s="2" t="s">
        <v>1438</v>
      </c>
      <c r="D734" s="2" t="s">
        <v>1438</v>
      </c>
      <c r="E734" s="2" t="s">
        <v>3458</v>
      </c>
      <c r="F734" s="7">
        <v>488651.55</v>
      </c>
      <c r="G734" s="13">
        <v>3</v>
      </c>
      <c r="H734" s="15">
        <f t="shared" si="34"/>
        <v>1465954.65</v>
      </c>
      <c r="I734" s="7">
        <f t="shared" si="35"/>
        <v>263871.837</v>
      </c>
      <c r="J734" s="7">
        <f t="shared" si="33"/>
        <v>1729826.487</v>
      </c>
    </row>
    <row r="735" spans="1:10" ht="15" customHeight="1" x14ac:dyDescent="0.3">
      <c r="A735" s="2">
        <v>719</v>
      </c>
      <c r="B735" s="2" t="s">
        <v>2171</v>
      </c>
      <c r="C735" s="2" t="s">
        <v>2172</v>
      </c>
      <c r="D735" s="2" t="s">
        <v>2172</v>
      </c>
      <c r="E735" s="2" t="s">
        <v>3458</v>
      </c>
      <c r="F735" s="7">
        <v>488651.55</v>
      </c>
      <c r="G735" s="13">
        <v>3</v>
      </c>
      <c r="H735" s="15">
        <f t="shared" si="34"/>
        <v>1465954.65</v>
      </c>
      <c r="I735" s="7">
        <f t="shared" si="35"/>
        <v>263871.837</v>
      </c>
      <c r="J735" s="7">
        <f t="shared" si="33"/>
        <v>1729826.487</v>
      </c>
    </row>
    <row r="736" spans="1:10" ht="15" customHeight="1" x14ac:dyDescent="0.3">
      <c r="A736" s="2">
        <v>720</v>
      </c>
      <c r="B736" s="2" t="s">
        <v>3838</v>
      </c>
      <c r="C736" s="2" t="s">
        <v>4339</v>
      </c>
      <c r="D736" s="2" t="s">
        <v>4339</v>
      </c>
      <c r="E736" s="2" t="s">
        <v>3458</v>
      </c>
      <c r="F736" s="7">
        <v>488651.55</v>
      </c>
      <c r="G736" s="13">
        <v>3</v>
      </c>
      <c r="H736" s="15">
        <f t="shared" si="34"/>
        <v>1465954.65</v>
      </c>
      <c r="I736" s="7">
        <f t="shared" si="35"/>
        <v>263871.837</v>
      </c>
      <c r="J736" s="7">
        <f t="shared" si="33"/>
        <v>1729826.487</v>
      </c>
    </row>
    <row r="737" spans="1:10" ht="15" customHeight="1" x14ac:dyDescent="0.3">
      <c r="A737" s="2">
        <v>721</v>
      </c>
      <c r="B737" s="2" t="s">
        <v>1639</v>
      </c>
      <c r="C737" s="2" t="s">
        <v>1640</v>
      </c>
      <c r="D737" s="2" t="s">
        <v>1640</v>
      </c>
      <c r="E737" s="2" t="s">
        <v>3458</v>
      </c>
      <c r="F737" s="7">
        <v>488651.55</v>
      </c>
      <c r="G737" s="13">
        <v>3</v>
      </c>
      <c r="H737" s="15">
        <f t="shared" si="34"/>
        <v>1465954.65</v>
      </c>
      <c r="I737" s="7">
        <f t="shared" si="35"/>
        <v>263871.837</v>
      </c>
      <c r="J737" s="7">
        <f t="shared" si="33"/>
        <v>1729826.487</v>
      </c>
    </row>
    <row r="738" spans="1:10" ht="15" customHeight="1" x14ac:dyDescent="0.3">
      <c r="A738" s="2">
        <v>722</v>
      </c>
      <c r="B738" s="2" t="s">
        <v>1708</v>
      </c>
      <c r="C738" s="2" t="s">
        <v>1709</v>
      </c>
      <c r="D738" s="2" t="s">
        <v>1709</v>
      </c>
      <c r="E738" s="2" t="s">
        <v>3458</v>
      </c>
      <c r="F738" s="7">
        <v>488651.55</v>
      </c>
      <c r="G738" s="13">
        <v>3</v>
      </c>
      <c r="H738" s="15">
        <f t="shared" si="34"/>
        <v>1465954.65</v>
      </c>
      <c r="I738" s="7">
        <f t="shared" si="35"/>
        <v>263871.837</v>
      </c>
      <c r="J738" s="7">
        <f t="shared" si="33"/>
        <v>1729826.487</v>
      </c>
    </row>
    <row r="739" spans="1:10" ht="15" customHeight="1" x14ac:dyDescent="0.3">
      <c r="A739" s="2">
        <v>723</v>
      </c>
      <c r="B739" s="2" t="s">
        <v>2568</v>
      </c>
      <c r="C739" s="2" t="s">
        <v>2569</v>
      </c>
      <c r="D739" s="2" t="s">
        <v>2569</v>
      </c>
      <c r="E739" s="2" t="s">
        <v>3458</v>
      </c>
      <c r="F739" s="7">
        <v>488651.55</v>
      </c>
      <c r="G739" s="13">
        <v>3</v>
      </c>
      <c r="H739" s="15">
        <f t="shared" si="34"/>
        <v>1465954.65</v>
      </c>
      <c r="I739" s="7">
        <f t="shared" si="35"/>
        <v>263871.837</v>
      </c>
      <c r="J739" s="7">
        <f t="shared" si="33"/>
        <v>1729826.487</v>
      </c>
    </row>
    <row r="740" spans="1:10" ht="15" customHeight="1" x14ac:dyDescent="0.3">
      <c r="A740" s="2">
        <v>724</v>
      </c>
      <c r="B740" s="2" t="s">
        <v>3839</v>
      </c>
      <c r="C740" s="2" t="s">
        <v>4340</v>
      </c>
      <c r="D740" s="2" t="s">
        <v>4340</v>
      </c>
      <c r="E740" s="2" t="s">
        <v>3458</v>
      </c>
      <c r="F740" s="7">
        <v>488651.55</v>
      </c>
      <c r="G740" s="13">
        <v>3</v>
      </c>
      <c r="H740" s="15">
        <f t="shared" si="34"/>
        <v>1465954.65</v>
      </c>
      <c r="I740" s="7">
        <f t="shared" si="35"/>
        <v>263871.837</v>
      </c>
      <c r="J740" s="7">
        <f t="shared" si="33"/>
        <v>1729826.487</v>
      </c>
    </row>
    <row r="741" spans="1:10" ht="15" customHeight="1" x14ac:dyDescent="0.3">
      <c r="A741" s="2">
        <v>725</v>
      </c>
      <c r="B741" s="2" t="s">
        <v>651</v>
      </c>
      <c r="C741" s="2" t="s">
        <v>652</v>
      </c>
      <c r="D741" s="2" t="s">
        <v>652</v>
      </c>
      <c r="E741" s="2" t="s">
        <v>3458</v>
      </c>
      <c r="F741" s="7">
        <v>488651.55</v>
      </c>
      <c r="G741" s="13">
        <v>3</v>
      </c>
      <c r="H741" s="15">
        <f t="shared" si="34"/>
        <v>1465954.65</v>
      </c>
      <c r="I741" s="7">
        <f t="shared" si="35"/>
        <v>263871.837</v>
      </c>
      <c r="J741" s="7">
        <f t="shared" si="33"/>
        <v>1729826.487</v>
      </c>
    </row>
    <row r="742" spans="1:10" ht="15" customHeight="1" x14ac:dyDescent="0.3">
      <c r="A742" s="2">
        <v>726</v>
      </c>
      <c r="B742" s="2" t="s">
        <v>3840</v>
      </c>
      <c r="C742" s="2" t="s">
        <v>4341</v>
      </c>
      <c r="D742" s="2" t="s">
        <v>4341</v>
      </c>
      <c r="E742" s="2" t="s">
        <v>3458</v>
      </c>
      <c r="F742" s="7">
        <v>488651.55</v>
      </c>
      <c r="G742" s="13">
        <v>3</v>
      </c>
      <c r="H742" s="15">
        <f t="shared" si="34"/>
        <v>1465954.65</v>
      </c>
      <c r="I742" s="7">
        <f t="shared" si="35"/>
        <v>263871.837</v>
      </c>
      <c r="J742" s="7">
        <f t="shared" si="33"/>
        <v>1729826.487</v>
      </c>
    </row>
    <row r="743" spans="1:10" ht="15" customHeight="1" x14ac:dyDescent="0.3">
      <c r="A743" s="2">
        <v>727</v>
      </c>
      <c r="B743" s="2" t="s">
        <v>3841</v>
      </c>
      <c r="C743" s="2" t="s">
        <v>4342</v>
      </c>
      <c r="D743" s="2" t="s">
        <v>4342</v>
      </c>
      <c r="E743" s="2" t="s">
        <v>3458</v>
      </c>
      <c r="F743" s="7">
        <v>488651.55</v>
      </c>
      <c r="G743" s="13">
        <v>3</v>
      </c>
      <c r="H743" s="15">
        <f t="shared" si="34"/>
        <v>1465954.65</v>
      </c>
      <c r="I743" s="7">
        <f t="shared" si="35"/>
        <v>263871.837</v>
      </c>
      <c r="J743" s="7">
        <f t="shared" si="33"/>
        <v>1729826.487</v>
      </c>
    </row>
    <row r="744" spans="1:10" ht="15" customHeight="1" x14ac:dyDescent="0.3">
      <c r="A744" s="2">
        <v>728</v>
      </c>
      <c r="B744" s="2" t="s">
        <v>168</v>
      </c>
      <c r="C744" s="2" t="s">
        <v>169</v>
      </c>
      <c r="D744" s="2" t="s">
        <v>169</v>
      </c>
      <c r="E744" s="2" t="s">
        <v>3458</v>
      </c>
      <c r="F744" s="7">
        <v>488651.55</v>
      </c>
      <c r="G744" s="13">
        <v>3</v>
      </c>
      <c r="H744" s="15">
        <f t="shared" si="34"/>
        <v>1465954.65</v>
      </c>
      <c r="I744" s="7">
        <f t="shared" si="35"/>
        <v>263871.837</v>
      </c>
      <c r="J744" s="7">
        <f t="shared" si="33"/>
        <v>1729826.487</v>
      </c>
    </row>
    <row r="745" spans="1:10" ht="15" customHeight="1" x14ac:dyDescent="0.3">
      <c r="A745" s="2">
        <v>729</v>
      </c>
      <c r="B745" s="2" t="s">
        <v>3842</v>
      </c>
      <c r="C745" s="2" t="s">
        <v>4343</v>
      </c>
      <c r="D745" s="2" t="s">
        <v>4343</v>
      </c>
      <c r="E745" s="2" t="s">
        <v>3458</v>
      </c>
      <c r="F745" s="7">
        <v>488651.55</v>
      </c>
      <c r="G745" s="13">
        <v>3</v>
      </c>
      <c r="H745" s="15">
        <f t="shared" si="34"/>
        <v>1465954.65</v>
      </c>
      <c r="I745" s="7">
        <f t="shared" si="35"/>
        <v>263871.837</v>
      </c>
      <c r="J745" s="7">
        <f t="shared" si="33"/>
        <v>1729826.487</v>
      </c>
    </row>
    <row r="746" spans="1:10" ht="15" customHeight="1" x14ac:dyDescent="0.3">
      <c r="A746" s="2">
        <v>730</v>
      </c>
      <c r="B746" s="2" t="s">
        <v>3843</v>
      </c>
      <c r="C746" s="2" t="s">
        <v>4344</v>
      </c>
      <c r="D746" s="2" t="s">
        <v>4344</v>
      </c>
      <c r="E746" s="2" t="s">
        <v>3458</v>
      </c>
      <c r="F746" s="7">
        <v>488651.55</v>
      </c>
      <c r="G746" s="13">
        <v>3</v>
      </c>
      <c r="H746" s="15">
        <f t="shared" si="34"/>
        <v>1465954.65</v>
      </c>
      <c r="I746" s="7">
        <f t="shared" si="35"/>
        <v>263871.837</v>
      </c>
      <c r="J746" s="7">
        <f t="shared" si="33"/>
        <v>1729826.487</v>
      </c>
    </row>
    <row r="747" spans="1:10" ht="15" customHeight="1" x14ac:dyDescent="0.3">
      <c r="A747" s="2">
        <v>731</v>
      </c>
      <c r="B747" s="2" t="s">
        <v>3844</v>
      </c>
      <c r="C747" s="2" t="s">
        <v>4345</v>
      </c>
      <c r="D747" s="2" t="s">
        <v>4345</v>
      </c>
      <c r="E747" s="2" t="s">
        <v>3458</v>
      </c>
      <c r="F747" s="7">
        <v>488651.55</v>
      </c>
      <c r="G747" s="13">
        <v>3</v>
      </c>
      <c r="H747" s="15">
        <f t="shared" si="34"/>
        <v>1465954.65</v>
      </c>
      <c r="I747" s="7">
        <f t="shared" si="35"/>
        <v>263871.837</v>
      </c>
      <c r="J747" s="7">
        <f t="shared" si="33"/>
        <v>1729826.487</v>
      </c>
    </row>
    <row r="748" spans="1:10" ht="15" customHeight="1" x14ac:dyDescent="0.3">
      <c r="A748" s="2">
        <v>732</v>
      </c>
      <c r="B748" s="2" t="s">
        <v>3845</v>
      </c>
      <c r="C748" s="2" t="s">
        <v>4346</v>
      </c>
      <c r="D748" s="2" t="s">
        <v>4346</v>
      </c>
      <c r="E748" s="2" t="s">
        <v>3458</v>
      </c>
      <c r="F748" s="7">
        <v>488651.55</v>
      </c>
      <c r="G748" s="13">
        <v>3</v>
      </c>
      <c r="H748" s="15">
        <f t="shared" si="34"/>
        <v>1465954.65</v>
      </c>
      <c r="I748" s="7">
        <f t="shared" si="35"/>
        <v>263871.837</v>
      </c>
      <c r="J748" s="7">
        <f t="shared" si="33"/>
        <v>1729826.487</v>
      </c>
    </row>
    <row r="749" spans="1:10" ht="15" customHeight="1" x14ac:dyDescent="0.3">
      <c r="A749" s="2">
        <v>733</v>
      </c>
      <c r="B749" s="2" t="s">
        <v>3846</v>
      </c>
      <c r="C749" s="2" t="s">
        <v>4347</v>
      </c>
      <c r="D749" s="2" t="s">
        <v>4347</v>
      </c>
      <c r="E749" s="2" t="s">
        <v>3458</v>
      </c>
      <c r="F749" s="7">
        <v>488651.55</v>
      </c>
      <c r="G749" s="13">
        <v>3</v>
      </c>
      <c r="H749" s="15">
        <f t="shared" si="34"/>
        <v>1465954.65</v>
      </c>
      <c r="I749" s="7">
        <f t="shared" si="35"/>
        <v>263871.837</v>
      </c>
      <c r="J749" s="7">
        <f t="shared" si="33"/>
        <v>1729826.487</v>
      </c>
    </row>
    <row r="750" spans="1:10" ht="15" customHeight="1" x14ac:dyDescent="0.3">
      <c r="A750" s="2">
        <v>734</v>
      </c>
      <c r="B750" s="2" t="s">
        <v>1265</v>
      </c>
      <c r="C750" s="2" t="s">
        <v>1266</v>
      </c>
      <c r="D750" s="2" t="s">
        <v>1266</v>
      </c>
      <c r="E750" s="2" t="s">
        <v>3458</v>
      </c>
      <c r="F750" s="7">
        <v>488651.55</v>
      </c>
      <c r="G750" s="13">
        <v>3</v>
      </c>
      <c r="H750" s="15">
        <f t="shared" si="34"/>
        <v>1465954.65</v>
      </c>
      <c r="I750" s="7">
        <f t="shared" si="35"/>
        <v>263871.837</v>
      </c>
      <c r="J750" s="7">
        <f t="shared" si="33"/>
        <v>1729826.487</v>
      </c>
    </row>
    <row r="751" spans="1:10" ht="15" customHeight="1" x14ac:dyDescent="0.3">
      <c r="A751" s="2">
        <v>735</v>
      </c>
      <c r="B751" s="2" t="s">
        <v>3847</v>
      </c>
      <c r="C751" s="2" t="s">
        <v>4348</v>
      </c>
      <c r="D751" s="2" t="s">
        <v>4348</v>
      </c>
      <c r="E751" s="2" t="s">
        <v>3458</v>
      </c>
      <c r="F751" s="7">
        <v>488651.55</v>
      </c>
      <c r="G751" s="13">
        <v>3</v>
      </c>
      <c r="H751" s="15">
        <f t="shared" si="34"/>
        <v>1465954.65</v>
      </c>
      <c r="I751" s="7">
        <f t="shared" si="35"/>
        <v>263871.837</v>
      </c>
      <c r="J751" s="7">
        <f t="shared" si="33"/>
        <v>1729826.487</v>
      </c>
    </row>
    <row r="752" spans="1:10" ht="15" customHeight="1" x14ac:dyDescent="0.3">
      <c r="A752" s="2">
        <v>736</v>
      </c>
      <c r="B752" s="2" t="s">
        <v>1249</v>
      </c>
      <c r="C752" s="2" t="s">
        <v>1250</v>
      </c>
      <c r="D752" s="2" t="s">
        <v>1250</v>
      </c>
      <c r="E752" s="2" t="s">
        <v>3458</v>
      </c>
      <c r="F752" s="7">
        <v>488651.55</v>
      </c>
      <c r="G752" s="13">
        <v>3</v>
      </c>
      <c r="H752" s="15">
        <f t="shared" si="34"/>
        <v>1465954.65</v>
      </c>
      <c r="I752" s="7">
        <f t="shared" si="35"/>
        <v>263871.837</v>
      </c>
      <c r="J752" s="7">
        <f t="shared" si="33"/>
        <v>1729826.487</v>
      </c>
    </row>
    <row r="753" spans="1:10" ht="15" customHeight="1" x14ac:dyDescent="0.3">
      <c r="A753" s="2">
        <v>737</v>
      </c>
      <c r="B753" s="2" t="s">
        <v>3848</v>
      </c>
      <c r="C753" s="2" t="s">
        <v>4349</v>
      </c>
      <c r="D753" s="2" t="s">
        <v>4349</v>
      </c>
      <c r="E753" s="2" t="s">
        <v>3458</v>
      </c>
      <c r="F753" s="7">
        <v>488651.55</v>
      </c>
      <c r="G753" s="13">
        <v>3</v>
      </c>
      <c r="H753" s="15">
        <f t="shared" si="34"/>
        <v>1465954.65</v>
      </c>
      <c r="I753" s="7">
        <f t="shared" si="35"/>
        <v>263871.837</v>
      </c>
      <c r="J753" s="7">
        <f t="shared" si="33"/>
        <v>1729826.487</v>
      </c>
    </row>
    <row r="754" spans="1:10" ht="15" customHeight="1" x14ac:dyDescent="0.3">
      <c r="A754" s="2">
        <v>738</v>
      </c>
      <c r="B754" s="2" t="s">
        <v>1128</v>
      </c>
      <c r="C754" s="2" t="s">
        <v>1129</v>
      </c>
      <c r="D754" s="2" t="s">
        <v>1129</v>
      </c>
      <c r="E754" s="2" t="s">
        <v>3458</v>
      </c>
      <c r="F754" s="7">
        <v>488651.55</v>
      </c>
      <c r="G754" s="13">
        <v>3</v>
      </c>
      <c r="H754" s="15">
        <f t="shared" si="34"/>
        <v>1465954.65</v>
      </c>
      <c r="I754" s="7">
        <f t="shared" si="35"/>
        <v>263871.837</v>
      </c>
      <c r="J754" s="7">
        <f t="shared" si="33"/>
        <v>1729826.487</v>
      </c>
    </row>
    <row r="755" spans="1:10" ht="15" customHeight="1" x14ac:dyDescent="0.3">
      <c r="A755" s="2">
        <v>739</v>
      </c>
      <c r="B755" s="2" t="s">
        <v>1503</v>
      </c>
      <c r="C755" s="2" t="s">
        <v>1504</v>
      </c>
      <c r="D755" s="2" t="s">
        <v>1504</v>
      </c>
      <c r="E755" s="2" t="s">
        <v>3458</v>
      </c>
      <c r="F755" s="7">
        <v>488651.55</v>
      </c>
      <c r="G755" s="13">
        <v>3</v>
      </c>
      <c r="H755" s="15">
        <f t="shared" si="34"/>
        <v>1465954.65</v>
      </c>
      <c r="I755" s="7">
        <f t="shared" si="35"/>
        <v>263871.837</v>
      </c>
      <c r="J755" s="7">
        <f t="shared" si="33"/>
        <v>1729826.487</v>
      </c>
    </row>
    <row r="756" spans="1:10" ht="15" customHeight="1" x14ac:dyDescent="0.3">
      <c r="A756" s="2">
        <v>740</v>
      </c>
      <c r="B756" s="2" t="s">
        <v>1932</v>
      </c>
      <c r="C756" s="2" t="s">
        <v>1933</v>
      </c>
      <c r="D756" s="2" t="s">
        <v>1933</v>
      </c>
      <c r="E756" s="2" t="s">
        <v>3458</v>
      </c>
      <c r="F756" s="7">
        <v>488651.55</v>
      </c>
      <c r="G756" s="13">
        <v>3</v>
      </c>
      <c r="H756" s="15">
        <f t="shared" si="34"/>
        <v>1465954.65</v>
      </c>
      <c r="I756" s="7">
        <f t="shared" si="35"/>
        <v>263871.837</v>
      </c>
      <c r="J756" s="7">
        <f t="shared" si="33"/>
        <v>1729826.487</v>
      </c>
    </row>
    <row r="757" spans="1:10" ht="15" customHeight="1" x14ac:dyDescent="0.3">
      <c r="A757" s="2">
        <v>741</v>
      </c>
      <c r="B757" s="2" t="s">
        <v>3849</v>
      </c>
      <c r="C757" s="2" t="s">
        <v>4350</v>
      </c>
      <c r="D757" s="2" t="s">
        <v>4350</v>
      </c>
      <c r="E757" s="2" t="s">
        <v>3458</v>
      </c>
      <c r="F757" s="7">
        <v>488651.55</v>
      </c>
      <c r="G757" s="13">
        <v>3</v>
      </c>
      <c r="H757" s="15">
        <f t="shared" si="34"/>
        <v>1465954.65</v>
      </c>
      <c r="I757" s="7">
        <f t="shared" si="35"/>
        <v>263871.837</v>
      </c>
      <c r="J757" s="7">
        <f t="shared" si="33"/>
        <v>1729826.487</v>
      </c>
    </row>
    <row r="758" spans="1:10" ht="15" customHeight="1" x14ac:dyDescent="0.3">
      <c r="A758" s="2">
        <v>742</v>
      </c>
      <c r="B758" s="2" t="s">
        <v>1918</v>
      </c>
      <c r="C758" s="2" t="s">
        <v>1919</v>
      </c>
      <c r="D758" s="2" t="s">
        <v>1919</v>
      </c>
      <c r="E758" s="2" t="s">
        <v>3458</v>
      </c>
      <c r="F758" s="7">
        <v>488651.55</v>
      </c>
      <c r="G758" s="13">
        <v>3</v>
      </c>
      <c r="H758" s="15">
        <f t="shared" si="34"/>
        <v>1465954.65</v>
      </c>
      <c r="I758" s="7">
        <f t="shared" si="35"/>
        <v>263871.837</v>
      </c>
      <c r="J758" s="7">
        <f t="shared" si="33"/>
        <v>1729826.487</v>
      </c>
    </row>
    <row r="759" spans="1:10" ht="15" customHeight="1" x14ac:dyDescent="0.3">
      <c r="A759" s="2">
        <v>743</v>
      </c>
      <c r="B759" s="2" t="s">
        <v>1938</v>
      </c>
      <c r="C759" s="2" t="s">
        <v>1939</v>
      </c>
      <c r="D759" s="2" t="s">
        <v>1939</v>
      </c>
      <c r="E759" s="2" t="s">
        <v>3458</v>
      </c>
      <c r="F759" s="7">
        <v>488651.55</v>
      </c>
      <c r="G759" s="13">
        <v>3</v>
      </c>
      <c r="H759" s="15">
        <f t="shared" si="34"/>
        <v>1465954.65</v>
      </c>
      <c r="I759" s="7">
        <f t="shared" si="35"/>
        <v>263871.837</v>
      </c>
      <c r="J759" s="7">
        <f t="shared" si="33"/>
        <v>1729826.487</v>
      </c>
    </row>
    <row r="760" spans="1:10" ht="15" customHeight="1" x14ac:dyDescent="0.3">
      <c r="A760" s="2">
        <v>744</v>
      </c>
      <c r="B760" s="2" t="s">
        <v>3850</v>
      </c>
      <c r="C760" s="2" t="s">
        <v>4351</v>
      </c>
      <c r="D760" s="2" t="s">
        <v>4351</v>
      </c>
      <c r="E760" s="2" t="s">
        <v>3458</v>
      </c>
      <c r="F760" s="7">
        <v>488651.55</v>
      </c>
      <c r="G760" s="13">
        <v>3</v>
      </c>
      <c r="H760" s="15">
        <f t="shared" si="34"/>
        <v>1465954.65</v>
      </c>
      <c r="I760" s="7">
        <f t="shared" si="35"/>
        <v>263871.837</v>
      </c>
      <c r="J760" s="7">
        <f t="shared" si="33"/>
        <v>1729826.487</v>
      </c>
    </row>
    <row r="761" spans="1:10" ht="15" customHeight="1" x14ac:dyDescent="0.3">
      <c r="A761" s="2">
        <v>745</v>
      </c>
      <c r="B761" s="2" t="s">
        <v>1311</v>
      </c>
      <c r="C761" s="2" t="s">
        <v>1312</v>
      </c>
      <c r="D761" s="2" t="s">
        <v>1312</v>
      </c>
      <c r="E761" s="2" t="s">
        <v>3458</v>
      </c>
      <c r="F761" s="7">
        <v>488651.55</v>
      </c>
      <c r="G761" s="13">
        <v>3</v>
      </c>
      <c r="H761" s="15">
        <f t="shared" si="34"/>
        <v>1465954.65</v>
      </c>
      <c r="I761" s="7">
        <f t="shared" si="35"/>
        <v>263871.837</v>
      </c>
      <c r="J761" s="7">
        <f t="shared" si="33"/>
        <v>1729826.487</v>
      </c>
    </row>
    <row r="762" spans="1:10" ht="15" customHeight="1" x14ac:dyDescent="0.3">
      <c r="A762" s="2">
        <v>746</v>
      </c>
      <c r="B762" s="2" t="s">
        <v>3851</v>
      </c>
      <c r="C762" s="2" t="s">
        <v>4352</v>
      </c>
      <c r="D762" s="2" t="s">
        <v>4352</v>
      </c>
      <c r="E762" s="2" t="s">
        <v>3458</v>
      </c>
      <c r="F762" s="7">
        <v>488651.55</v>
      </c>
      <c r="G762" s="13">
        <v>3</v>
      </c>
      <c r="H762" s="15">
        <f t="shared" si="34"/>
        <v>1465954.65</v>
      </c>
      <c r="I762" s="7">
        <f t="shared" si="35"/>
        <v>263871.837</v>
      </c>
      <c r="J762" s="7">
        <f t="shared" si="33"/>
        <v>1729826.487</v>
      </c>
    </row>
    <row r="763" spans="1:10" ht="15" customHeight="1" x14ac:dyDescent="0.3">
      <c r="A763" s="2">
        <v>747</v>
      </c>
      <c r="B763" s="2" t="s">
        <v>1940</v>
      </c>
      <c r="C763" s="2" t="s">
        <v>1941</v>
      </c>
      <c r="D763" s="2" t="s">
        <v>1941</v>
      </c>
      <c r="E763" s="2" t="s">
        <v>3458</v>
      </c>
      <c r="F763" s="7">
        <v>488651.55</v>
      </c>
      <c r="G763" s="13">
        <v>3</v>
      </c>
      <c r="H763" s="15">
        <f t="shared" si="34"/>
        <v>1465954.65</v>
      </c>
      <c r="I763" s="7">
        <f t="shared" si="35"/>
        <v>263871.837</v>
      </c>
      <c r="J763" s="7">
        <f t="shared" si="33"/>
        <v>1729826.487</v>
      </c>
    </row>
    <row r="764" spans="1:10" ht="15" customHeight="1" x14ac:dyDescent="0.3">
      <c r="A764" s="2">
        <v>748</v>
      </c>
      <c r="B764" s="2" t="s">
        <v>3852</v>
      </c>
      <c r="C764" s="2" t="s">
        <v>4353</v>
      </c>
      <c r="D764" s="2" t="s">
        <v>4353</v>
      </c>
      <c r="E764" s="2" t="s">
        <v>3458</v>
      </c>
      <c r="F764" s="7">
        <v>488651.55</v>
      </c>
      <c r="G764" s="13">
        <v>3</v>
      </c>
      <c r="H764" s="15">
        <f t="shared" si="34"/>
        <v>1465954.65</v>
      </c>
      <c r="I764" s="7">
        <f t="shared" si="35"/>
        <v>263871.837</v>
      </c>
      <c r="J764" s="7">
        <f t="shared" si="33"/>
        <v>1729826.487</v>
      </c>
    </row>
    <row r="765" spans="1:10" ht="15" customHeight="1" x14ac:dyDescent="0.3">
      <c r="A765" s="2">
        <v>749</v>
      </c>
      <c r="B765" s="2" t="s">
        <v>3853</v>
      </c>
      <c r="C765" s="2" t="s">
        <v>4354</v>
      </c>
      <c r="D765" s="2" t="s">
        <v>4354</v>
      </c>
      <c r="E765" s="2" t="s">
        <v>3458</v>
      </c>
      <c r="F765" s="7">
        <v>488651.55</v>
      </c>
      <c r="G765" s="13">
        <v>3</v>
      </c>
      <c r="H765" s="15">
        <f t="shared" si="34"/>
        <v>1465954.65</v>
      </c>
      <c r="I765" s="7">
        <f t="shared" si="35"/>
        <v>263871.837</v>
      </c>
      <c r="J765" s="7">
        <f t="shared" si="33"/>
        <v>1729826.487</v>
      </c>
    </row>
    <row r="766" spans="1:10" ht="15" customHeight="1" x14ac:dyDescent="0.3">
      <c r="A766" s="2">
        <v>750</v>
      </c>
      <c r="B766" s="2" t="s">
        <v>3854</v>
      </c>
      <c r="C766" s="2" t="s">
        <v>4355</v>
      </c>
      <c r="D766" s="2" t="s">
        <v>4355</v>
      </c>
      <c r="E766" s="2" t="s">
        <v>3458</v>
      </c>
      <c r="F766" s="7">
        <v>488651.55</v>
      </c>
      <c r="G766" s="13">
        <v>3</v>
      </c>
      <c r="H766" s="15">
        <f t="shared" si="34"/>
        <v>1465954.65</v>
      </c>
      <c r="I766" s="7">
        <f t="shared" si="35"/>
        <v>263871.837</v>
      </c>
      <c r="J766" s="7">
        <f t="shared" si="33"/>
        <v>1729826.487</v>
      </c>
    </row>
    <row r="767" spans="1:10" ht="15" customHeight="1" x14ac:dyDescent="0.3">
      <c r="A767" s="2">
        <v>751</v>
      </c>
      <c r="B767" s="2" t="s">
        <v>3855</v>
      </c>
      <c r="C767" s="2" t="s">
        <v>4356</v>
      </c>
      <c r="D767" s="2" t="s">
        <v>4356</v>
      </c>
      <c r="E767" s="2" t="s">
        <v>3458</v>
      </c>
      <c r="F767" s="7">
        <v>488651.55</v>
      </c>
      <c r="G767" s="13">
        <v>3</v>
      </c>
      <c r="H767" s="15">
        <f t="shared" si="34"/>
        <v>1465954.65</v>
      </c>
      <c r="I767" s="7">
        <f t="shared" si="35"/>
        <v>263871.837</v>
      </c>
      <c r="J767" s="7">
        <f t="shared" si="33"/>
        <v>1729826.487</v>
      </c>
    </row>
    <row r="768" spans="1:10" ht="15" customHeight="1" x14ac:dyDescent="0.3">
      <c r="A768" s="2">
        <v>752</v>
      </c>
      <c r="B768" s="2" t="s">
        <v>3856</v>
      </c>
      <c r="C768" s="2" t="s">
        <v>4357</v>
      </c>
      <c r="D768" s="2" t="s">
        <v>4357</v>
      </c>
      <c r="E768" s="2" t="s">
        <v>3458</v>
      </c>
      <c r="F768" s="7">
        <v>488651.55</v>
      </c>
      <c r="G768" s="13">
        <v>3</v>
      </c>
      <c r="H768" s="15">
        <f t="shared" si="34"/>
        <v>1465954.65</v>
      </c>
      <c r="I768" s="7">
        <f t="shared" si="35"/>
        <v>263871.837</v>
      </c>
      <c r="J768" s="7">
        <f t="shared" si="33"/>
        <v>1729826.487</v>
      </c>
    </row>
    <row r="769" spans="1:10" ht="15" customHeight="1" x14ac:dyDescent="0.3">
      <c r="A769" s="2">
        <v>753</v>
      </c>
      <c r="B769" s="2" t="s">
        <v>1355</v>
      </c>
      <c r="C769" s="2" t="s">
        <v>1356</v>
      </c>
      <c r="D769" s="2" t="s">
        <v>1356</v>
      </c>
      <c r="E769" s="2" t="s">
        <v>3458</v>
      </c>
      <c r="F769" s="7">
        <v>488651.55</v>
      </c>
      <c r="G769" s="13">
        <v>3</v>
      </c>
      <c r="H769" s="15">
        <f t="shared" si="34"/>
        <v>1465954.65</v>
      </c>
      <c r="I769" s="7">
        <f t="shared" si="35"/>
        <v>263871.837</v>
      </c>
      <c r="J769" s="7">
        <f t="shared" si="33"/>
        <v>1729826.487</v>
      </c>
    </row>
    <row r="770" spans="1:10" ht="15" customHeight="1" x14ac:dyDescent="0.3">
      <c r="A770" s="2">
        <v>754</v>
      </c>
      <c r="B770" s="2" t="s">
        <v>1120</v>
      </c>
      <c r="C770" s="2" t="s">
        <v>1121</v>
      </c>
      <c r="D770" s="2" t="s">
        <v>1121</v>
      </c>
      <c r="E770" s="2" t="s">
        <v>3458</v>
      </c>
      <c r="F770" s="7">
        <v>488651.55</v>
      </c>
      <c r="G770" s="13">
        <v>3</v>
      </c>
      <c r="H770" s="15">
        <f t="shared" si="34"/>
        <v>1465954.65</v>
      </c>
      <c r="I770" s="7">
        <f t="shared" si="35"/>
        <v>263871.837</v>
      </c>
      <c r="J770" s="7">
        <f t="shared" si="33"/>
        <v>1729826.487</v>
      </c>
    </row>
    <row r="771" spans="1:10" ht="15" customHeight="1" x14ac:dyDescent="0.3">
      <c r="A771" s="2">
        <v>755</v>
      </c>
      <c r="B771" s="2" t="s">
        <v>3857</v>
      </c>
      <c r="C771" s="2" t="s">
        <v>4358</v>
      </c>
      <c r="D771" s="2" t="s">
        <v>4358</v>
      </c>
      <c r="E771" s="2" t="s">
        <v>3458</v>
      </c>
      <c r="F771" s="7">
        <v>488651.55</v>
      </c>
      <c r="G771" s="13">
        <v>3</v>
      </c>
      <c r="H771" s="15">
        <f t="shared" si="34"/>
        <v>1465954.65</v>
      </c>
      <c r="I771" s="7">
        <f t="shared" si="35"/>
        <v>263871.837</v>
      </c>
      <c r="J771" s="7">
        <f t="shared" si="33"/>
        <v>1729826.487</v>
      </c>
    </row>
    <row r="772" spans="1:10" ht="15" customHeight="1" x14ac:dyDescent="0.3">
      <c r="A772" s="2">
        <v>756</v>
      </c>
      <c r="B772" s="2" t="s">
        <v>1160</v>
      </c>
      <c r="C772" s="2" t="s">
        <v>1161</v>
      </c>
      <c r="D772" s="2" t="s">
        <v>1161</v>
      </c>
      <c r="E772" s="2" t="s">
        <v>3458</v>
      </c>
      <c r="F772" s="7">
        <v>488651.55</v>
      </c>
      <c r="G772" s="13">
        <v>3</v>
      </c>
      <c r="H772" s="15">
        <f t="shared" si="34"/>
        <v>1465954.65</v>
      </c>
      <c r="I772" s="7">
        <f t="shared" si="35"/>
        <v>263871.837</v>
      </c>
      <c r="J772" s="7">
        <f t="shared" si="33"/>
        <v>1729826.487</v>
      </c>
    </row>
    <row r="773" spans="1:10" ht="15" customHeight="1" x14ac:dyDescent="0.3">
      <c r="A773" s="2">
        <v>757</v>
      </c>
      <c r="B773" s="2" t="s">
        <v>3858</v>
      </c>
      <c r="C773" s="2" t="s">
        <v>4359</v>
      </c>
      <c r="D773" s="2" t="s">
        <v>4359</v>
      </c>
      <c r="E773" s="2" t="s">
        <v>3458</v>
      </c>
      <c r="F773" s="7">
        <v>488651.55</v>
      </c>
      <c r="G773" s="13">
        <v>3</v>
      </c>
      <c r="H773" s="15">
        <f t="shared" si="34"/>
        <v>1465954.65</v>
      </c>
      <c r="I773" s="7">
        <f t="shared" si="35"/>
        <v>263871.837</v>
      </c>
      <c r="J773" s="7">
        <f t="shared" si="33"/>
        <v>1729826.487</v>
      </c>
    </row>
    <row r="774" spans="1:10" ht="15" customHeight="1" x14ac:dyDescent="0.3">
      <c r="A774" s="2">
        <v>758</v>
      </c>
      <c r="B774" s="2" t="s">
        <v>1627</v>
      </c>
      <c r="C774" s="2" t="s">
        <v>1628</v>
      </c>
      <c r="D774" s="2" t="s">
        <v>1628</v>
      </c>
      <c r="E774" s="2" t="s">
        <v>3458</v>
      </c>
      <c r="F774" s="7">
        <v>488651.55</v>
      </c>
      <c r="G774" s="13">
        <v>3</v>
      </c>
      <c r="H774" s="15">
        <f t="shared" si="34"/>
        <v>1465954.65</v>
      </c>
      <c r="I774" s="7">
        <f t="shared" si="35"/>
        <v>263871.837</v>
      </c>
      <c r="J774" s="7">
        <f t="shared" si="33"/>
        <v>1729826.487</v>
      </c>
    </row>
    <row r="775" spans="1:10" ht="15" customHeight="1" x14ac:dyDescent="0.3">
      <c r="A775" s="2">
        <v>759</v>
      </c>
      <c r="B775" s="2" t="s">
        <v>3859</v>
      </c>
      <c r="C775" s="2" t="s">
        <v>4360</v>
      </c>
      <c r="D775" s="2" t="s">
        <v>4360</v>
      </c>
      <c r="E775" s="2" t="s">
        <v>3458</v>
      </c>
      <c r="F775" s="7">
        <v>488651.55</v>
      </c>
      <c r="G775" s="13">
        <v>3</v>
      </c>
      <c r="H775" s="15">
        <f t="shared" si="34"/>
        <v>1465954.65</v>
      </c>
      <c r="I775" s="7">
        <f t="shared" si="35"/>
        <v>263871.837</v>
      </c>
      <c r="J775" s="7">
        <f t="shared" si="33"/>
        <v>1729826.487</v>
      </c>
    </row>
    <row r="776" spans="1:10" ht="15" customHeight="1" x14ac:dyDescent="0.3">
      <c r="A776" s="2">
        <v>760</v>
      </c>
      <c r="B776" s="2" t="s">
        <v>3860</v>
      </c>
      <c r="C776" s="2" t="s">
        <v>4361</v>
      </c>
      <c r="D776" s="2" t="s">
        <v>4361</v>
      </c>
      <c r="E776" s="2" t="s">
        <v>3458</v>
      </c>
      <c r="F776" s="7">
        <v>488651.55</v>
      </c>
      <c r="G776" s="13">
        <v>3</v>
      </c>
      <c r="H776" s="15">
        <f t="shared" si="34"/>
        <v>1465954.65</v>
      </c>
      <c r="I776" s="7">
        <f t="shared" si="35"/>
        <v>263871.837</v>
      </c>
      <c r="J776" s="7">
        <f t="shared" si="33"/>
        <v>1729826.487</v>
      </c>
    </row>
    <row r="777" spans="1:10" ht="15" customHeight="1" x14ac:dyDescent="0.3">
      <c r="A777" s="2">
        <v>761</v>
      </c>
      <c r="B777" s="2" t="s">
        <v>3861</v>
      </c>
      <c r="C777" s="2" t="s">
        <v>4362</v>
      </c>
      <c r="D777" s="2" t="s">
        <v>4362</v>
      </c>
      <c r="E777" s="2" t="s">
        <v>3458</v>
      </c>
      <c r="F777" s="7">
        <v>488651.55</v>
      </c>
      <c r="G777" s="13">
        <v>3</v>
      </c>
      <c r="H777" s="15">
        <f t="shared" si="34"/>
        <v>1465954.65</v>
      </c>
      <c r="I777" s="7">
        <f t="shared" si="35"/>
        <v>263871.837</v>
      </c>
      <c r="J777" s="7">
        <f t="shared" si="33"/>
        <v>1729826.487</v>
      </c>
    </row>
    <row r="778" spans="1:10" ht="15" customHeight="1" x14ac:dyDescent="0.3">
      <c r="A778" s="2">
        <v>762</v>
      </c>
      <c r="B778" s="2" t="s">
        <v>3862</v>
      </c>
      <c r="C778" s="2" t="s">
        <v>4363</v>
      </c>
      <c r="D778" s="2" t="s">
        <v>4363</v>
      </c>
      <c r="E778" s="2" t="s">
        <v>3458</v>
      </c>
      <c r="F778" s="7">
        <v>488651.55</v>
      </c>
      <c r="G778" s="13">
        <v>3</v>
      </c>
      <c r="H778" s="15">
        <f t="shared" si="34"/>
        <v>1465954.65</v>
      </c>
      <c r="I778" s="7">
        <f t="shared" si="35"/>
        <v>263871.837</v>
      </c>
      <c r="J778" s="7">
        <f t="shared" ref="J778:J841" si="36">+H778+I778</f>
        <v>1729826.487</v>
      </c>
    </row>
    <row r="779" spans="1:10" ht="15" customHeight="1" x14ac:dyDescent="0.3">
      <c r="A779" s="2">
        <v>763</v>
      </c>
      <c r="B779" s="2" t="s">
        <v>630</v>
      </c>
      <c r="C779" s="2" t="s">
        <v>631</v>
      </c>
      <c r="D779" s="2" t="s">
        <v>631</v>
      </c>
      <c r="E779" s="2" t="s">
        <v>3458</v>
      </c>
      <c r="F779" s="7">
        <v>488651.55</v>
      </c>
      <c r="G779" s="13">
        <v>3</v>
      </c>
      <c r="H779" s="15">
        <f t="shared" si="34"/>
        <v>1465954.65</v>
      </c>
      <c r="I779" s="7">
        <f t="shared" si="35"/>
        <v>263871.837</v>
      </c>
      <c r="J779" s="7">
        <f t="shared" si="36"/>
        <v>1729826.487</v>
      </c>
    </row>
    <row r="780" spans="1:10" ht="15" customHeight="1" x14ac:dyDescent="0.3">
      <c r="A780" s="2">
        <v>764</v>
      </c>
      <c r="B780" s="2" t="s">
        <v>3863</v>
      </c>
      <c r="C780" s="2" t="s">
        <v>4364</v>
      </c>
      <c r="D780" s="2" t="s">
        <v>4364</v>
      </c>
      <c r="E780" s="2" t="s">
        <v>3458</v>
      </c>
      <c r="F780" s="7">
        <v>488651.55</v>
      </c>
      <c r="G780" s="13">
        <v>3</v>
      </c>
      <c r="H780" s="15">
        <f t="shared" si="34"/>
        <v>1465954.65</v>
      </c>
      <c r="I780" s="7">
        <f t="shared" si="35"/>
        <v>263871.837</v>
      </c>
      <c r="J780" s="7">
        <f t="shared" si="36"/>
        <v>1729826.487</v>
      </c>
    </row>
    <row r="781" spans="1:10" ht="15" customHeight="1" x14ac:dyDescent="0.3">
      <c r="A781" s="2">
        <v>765</v>
      </c>
      <c r="B781" s="2" t="s">
        <v>1452</v>
      </c>
      <c r="C781" s="2" t="s">
        <v>1453</v>
      </c>
      <c r="D781" s="2" t="s">
        <v>1453</v>
      </c>
      <c r="E781" s="2" t="s">
        <v>3458</v>
      </c>
      <c r="F781" s="7">
        <v>488651.55</v>
      </c>
      <c r="G781" s="13">
        <v>3</v>
      </c>
      <c r="H781" s="15">
        <f t="shared" si="34"/>
        <v>1465954.65</v>
      </c>
      <c r="I781" s="7">
        <f t="shared" si="35"/>
        <v>263871.837</v>
      </c>
      <c r="J781" s="7">
        <f t="shared" si="36"/>
        <v>1729826.487</v>
      </c>
    </row>
    <row r="782" spans="1:10" ht="15" customHeight="1" x14ac:dyDescent="0.3">
      <c r="A782" s="2">
        <v>766</v>
      </c>
      <c r="B782" s="2" t="s">
        <v>1443</v>
      </c>
      <c r="C782" s="2" t="s">
        <v>1444</v>
      </c>
      <c r="D782" s="2" t="s">
        <v>1444</v>
      </c>
      <c r="E782" s="2" t="s">
        <v>3458</v>
      </c>
      <c r="F782" s="7">
        <v>488651.55</v>
      </c>
      <c r="G782" s="13">
        <v>3</v>
      </c>
      <c r="H782" s="15">
        <f t="shared" si="34"/>
        <v>1465954.65</v>
      </c>
      <c r="I782" s="7">
        <f t="shared" si="35"/>
        <v>263871.837</v>
      </c>
      <c r="J782" s="7">
        <f t="shared" si="36"/>
        <v>1729826.487</v>
      </c>
    </row>
    <row r="783" spans="1:10" ht="15" customHeight="1" x14ac:dyDescent="0.3">
      <c r="A783" s="2">
        <v>767</v>
      </c>
      <c r="B783" s="2" t="s">
        <v>3864</v>
      </c>
      <c r="C783" s="2" t="s">
        <v>4365</v>
      </c>
      <c r="D783" s="2" t="s">
        <v>4365</v>
      </c>
      <c r="E783" s="2" t="s">
        <v>3458</v>
      </c>
      <c r="F783" s="7">
        <v>488651.55</v>
      </c>
      <c r="G783" s="13">
        <v>3</v>
      </c>
      <c r="H783" s="15">
        <f t="shared" si="34"/>
        <v>1465954.65</v>
      </c>
      <c r="I783" s="7">
        <f t="shared" si="35"/>
        <v>263871.837</v>
      </c>
      <c r="J783" s="7">
        <f t="shared" si="36"/>
        <v>1729826.487</v>
      </c>
    </row>
    <row r="784" spans="1:10" ht="15" customHeight="1" x14ac:dyDescent="0.3">
      <c r="A784" s="2">
        <v>768</v>
      </c>
      <c r="B784" s="2" t="s">
        <v>3865</v>
      </c>
      <c r="C784" s="2" t="s">
        <v>1695</v>
      </c>
      <c r="D784" s="2" t="s">
        <v>1695</v>
      </c>
      <c r="E784" s="2" t="s">
        <v>3458</v>
      </c>
      <c r="F784" s="7">
        <v>488651.55</v>
      </c>
      <c r="G784" s="13">
        <v>3</v>
      </c>
      <c r="H784" s="15">
        <f t="shared" ref="H784:H847" si="37">+F784*G784</f>
        <v>1465954.65</v>
      </c>
      <c r="I784" s="7">
        <f t="shared" ref="I784:I847" si="38">+H784*0.18</f>
        <v>263871.837</v>
      </c>
      <c r="J784" s="7">
        <f t="shared" si="36"/>
        <v>1729826.487</v>
      </c>
    </row>
    <row r="785" spans="1:10" ht="15" customHeight="1" x14ac:dyDescent="0.3">
      <c r="A785" s="2">
        <v>769</v>
      </c>
      <c r="B785" s="2" t="s">
        <v>3866</v>
      </c>
      <c r="C785" s="2" t="s">
        <v>4366</v>
      </c>
      <c r="D785" s="2" t="s">
        <v>4366</v>
      </c>
      <c r="E785" s="2" t="s">
        <v>3458</v>
      </c>
      <c r="F785" s="7">
        <v>488651.55</v>
      </c>
      <c r="G785" s="13">
        <v>3</v>
      </c>
      <c r="H785" s="15">
        <f t="shared" si="37"/>
        <v>1465954.65</v>
      </c>
      <c r="I785" s="7">
        <f t="shared" si="38"/>
        <v>263871.837</v>
      </c>
      <c r="J785" s="7">
        <f t="shared" si="36"/>
        <v>1729826.487</v>
      </c>
    </row>
    <row r="786" spans="1:10" ht="15" customHeight="1" x14ac:dyDescent="0.3">
      <c r="A786" s="2">
        <v>770</v>
      </c>
      <c r="B786" s="2" t="s">
        <v>3478</v>
      </c>
      <c r="C786" s="2" t="s">
        <v>3486</v>
      </c>
      <c r="D786" s="2" t="s">
        <v>3486</v>
      </c>
      <c r="E786" s="2" t="s">
        <v>3458</v>
      </c>
      <c r="F786" s="7">
        <v>488651.55</v>
      </c>
      <c r="G786" s="13">
        <v>3</v>
      </c>
      <c r="H786" s="15">
        <f t="shared" si="37"/>
        <v>1465954.65</v>
      </c>
      <c r="I786" s="7">
        <f t="shared" si="38"/>
        <v>263871.837</v>
      </c>
      <c r="J786" s="7">
        <f t="shared" si="36"/>
        <v>1729826.487</v>
      </c>
    </row>
    <row r="787" spans="1:10" ht="15" customHeight="1" x14ac:dyDescent="0.3">
      <c r="A787" s="2">
        <v>771</v>
      </c>
      <c r="B787" s="2" t="s">
        <v>3867</v>
      </c>
      <c r="C787" s="2" t="s">
        <v>4367</v>
      </c>
      <c r="D787" s="2" t="s">
        <v>4367</v>
      </c>
      <c r="E787" s="2" t="s">
        <v>3458</v>
      </c>
      <c r="F787" s="7">
        <v>488651.55</v>
      </c>
      <c r="G787" s="13">
        <v>3</v>
      </c>
      <c r="H787" s="15">
        <f t="shared" si="37"/>
        <v>1465954.65</v>
      </c>
      <c r="I787" s="7">
        <f t="shared" si="38"/>
        <v>263871.837</v>
      </c>
      <c r="J787" s="7">
        <f t="shared" si="36"/>
        <v>1729826.487</v>
      </c>
    </row>
    <row r="788" spans="1:10" ht="15" customHeight="1" x14ac:dyDescent="0.3">
      <c r="A788" s="2">
        <v>772</v>
      </c>
      <c r="B788" s="2" t="s">
        <v>1373</v>
      </c>
      <c r="C788" s="2" t="s">
        <v>1374</v>
      </c>
      <c r="D788" s="2" t="s">
        <v>1374</v>
      </c>
      <c r="E788" s="2" t="s">
        <v>3458</v>
      </c>
      <c r="F788" s="7">
        <v>488651.55</v>
      </c>
      <c r="G788" s="13">
        <v>3</v>
      </c>
      <c r="H788" s="15">
        <f t="shared" si="37"/>
        <v>1465954.65</v>
      </c>
      <c r="I788" s="7">
        <f t="shared" si="38"/>
        <v>263871.837</v>
      </c>
      <c r="J788" s="7">
        <f t="shared" si="36"/>
        <v>1729826.487</v>
      </c>
    </row>
    <row r="789" spans="1:10" ht="15" customHeight="1" x14ac:dyDescent="0.3">
      <c r="A789" s="2">
        <v>773</v>
      </c>
      <c r="B789" s="2" t="s">
        <v>1812</v>
      </c>
      <c r="C789" s="2" t="s">
        <v>1813</v>
      </c>
      <c r="D789" s="2" t="s">
        <v>1813</v>
      </c>
      <c r="E789" s="2" t="s">
        <v>3458</v>
      </c>
      <c r="F789" s="7">
        <v>488651.55</v>
      </c>
      <c r="G789" s="13">
        <v>3</v>
      </c>
      <c r="H789" s="15">
        <f t="shared" si="37"/>
        <v>1465954.65</v>
      </c>
      <c r="I789" s="7">
        <f t="shared" si="38"/>
        <v>263871.837</v>
      </c>
      <c r="J789" s="7">
        <f t="shared" si="36"/>
        <v>1729826.487</v>
      </c>
    </row>
    <row r="790" spans="1:10" ht="15" customHeight="1" x14ac:dyDescent="0.3">
      <c r="A790" s="2">
        <v>774</v>
      </c>
      <c r="B790" s="2" t="s">
        <v>3868</v>
      </c>
      <c r="C790" s="2" t="s">
        <v>2209</v>
      </c>
      <c r="D790" s="2" t="s">
        <v>2209</v>
      </c>
      <c r="E790" s="2" t="s">
        <v>3458</v>
      </c>
      <c r="F790" s="7">
        <v>488651.55</v>
      </c>
      <c r="G790" s="13">
        <v>3</v>
      </c>
      <c r="H790" s="15">
        <f t="shared" si="37"/>
        <v>1465954.65</v>
      </c>
      <c r="I790" s="7">
        <f t="shared" si="38"/>
        <v>263871.837</v>
      </c>
      <c r="J790" s="7">
        <f t="shared" si="36"/>
        <v>1729826.487</v>
      </c>
    </row>
    <row r="791" spans="1:10" ht="15" customHeight="1" x14ac:dyDescent="0.3">
      <c r="A791" s="2">
        <v>775</v>
      </c>
      <c r="B791" s="2" t="s">
        <v>3869</v>
      </c>
      <c r="C791" s="2" t="s">
        <v>2218</v>
      </c>
      <c r="D791" s="2" t="s">
        <v>2218</v>
      </c>
      <c r="E791" s="2" t="s">
        <v>3458</v>
      </c>
      <c r="F791" s="7">
        <v>488651.55</v>
      </c>
      <c r="G791" s="13">
        <v>3</v>
      </c>
      <c r="H791" s="15">
        <f t="shared" si="37"/>
        <v>1465954.65</v>
      </c>
      <c r="I791" s="7">
        <f t="shared" si="38"/>
        <v>263871.837</v>
      </c>
      <c r="J791" s="7">
        <f t="shared" si="36"/>
        <v>1729826.487</v>
      </c>
    </row>
    <row r="792" spans="1:10" ht="15" customHeight="1" x14ac:dyDescent="0.3">
      <c r="A792" s="2">
        <v>776</v>
      </c>
      <c r="B792" s="2" t="s">
        <v>3870</v>
      </c>
      <c r="C792" s="2" t="s">
        <v>4368</v>
      </c>
      <c r="D792" s="2" t="s">
        <v>4368</v>
      </c>
      <c r="E792" s="2" t="s">
        <v>3458</v>
      </c>
      <c r="F792" s="7">
        <v>488651.55</v>
      </c>
      <c r="G792" s="13">
        <v>3</v>
      </c>
      <c r="H792" s="15">
        <f t="shared" si="37"/>
        <v>1465954.65</v>
      </c>
      <c r="I792" s="7">
        <f t="shared" si="38"/>
        <v>263871.837</v>
      </c>
      <c r="J792" s="7">
        <f t="shared" si="36"/>
        <v>1729826.487</v>
      </c>
    </row>
    <row r="793" spans="1:10" ht="15" customHeight="1" x14ac:dyDescent="0.3">
      <c r="A793" s="2">
        <v>777</v>
      </c>
      <c r="B793" s="2" t="s">
        <v>3871</v>
      </c>
      <c r="C793" s="2" t="s">
        <v>4369</v>
      </c>
      <c r="D793" s="2" t="s">
        <v>4369</v>
      </c>
      <c r="E793" s="2" t="s">
        <v>3458</v>
      </c>
      <c r="F793" s="7">
        <v>488651.55</v>
      </c>
      <c r="G793" s="13">
        <v>3</v>
      </c>
      <c r="H793" s="15">
        <f t="shared" si="37"/>
        <v>1465954.65</v>
      </c>
      <c r="I793" s="7">
        <f t="shared" si="38"/>
        <v>263871.837</v>
      </c>
      <c r="J793" s="7">
        <f t="shared" si="36"/>
        <v>1729826.487</v>
      </c>
    </row>
    <row r="794" spans="1:10" ht="15" customHeight="1" x14ac:dyDescent="0.3">
      <c r="A794" s="2">
        <v>778</v>
      </c>
      <c r="B794" s="2" t="s">
        <v>1968</v>
      </c>
      <c r="C794" s="2" t="s">
        <v>1969</v>
      </c>
      <c r="D794" s="2" t="s">
        <v>1969</v>
      </c>
      <c r="E794" s="2" t="s">
        <v>3458</v>
      </c>
      <c r="F794" s="7">
        <v>488651.55</v>
      </c>
      <c r="G794" s="13">
        <v>3</v>
      </c>
      <c r="H794" s="15">
        <f t="shared" si="37"/>
        <v>1465954.65</v>
      </c>
      <c r="I794" s="7">
        <f t="shared" si="38"/>
        <v>263871.837</v>
      </c>
      <c r="J794" s="7">
        <f t="shared" si="36"/>
        <v>1729826.487</v>
      </c>
    </row>
    <row r="795" spans="1:10" ht="15" customHeight="1" x14ac:dyDescent="0.3">
      <c r="A795" s="2">
        <v>779</v>
      </c>
      <c r="B795" s="2" t="s">
        <v>1277</v>
      </c>
      <c r="C795" s="2" t="s">
        <v>1278</v>
      </c>
      <c r="D795" s="2" t="s">
        <v>1278</v>
      </c>
      <c r="E795" s="2" t="s">
        <v>3458</v>
      </c>
      <c r="F795" s="7">
        <v>488651.55</v>
      </c>
      <c r="G795" s="13">
        <v>3</v>
      </c>
      <c r="H795" s="15">
        <f t="shared" si="37"/>
        <v>1465954.65</v>
      </c>
      <c r="I795" s="7">
        <f t="shared" si="38"/>
        <v>263871.837</v>
      </c>
      <c r="J795" s="7">
        <f t="shared" si="36"/>
        <v>1729826.487</v>
      </c>
    </row>
    <row r="796" spans="1:10" ht="15" customHeight="1" x14ac:dyDescent="0.3">
      <c r="A796" s="2">
        <v>780</v>
      </c>
      <c r="B796" s="2" t="s">
        <v>3872</v>
      </c>
      <c r="C796" s="2" t="s">
        <v>4370</v>
      </c>
      <c r="D796" s="2" t="s">
        <v>4370</v>
      </c>
      <c r="E796" s="2" t="s">
        <v>3458</v>
      </c>
      <c r="F796" s="7">
        <v>488651.55</v>
      </c>
      <c r="G796" s="13">
        <v>3</v>
      </c>
      <c r="H796" s="15">
        <f t="shared" si="37"/>
        <v>1465954.65</v>
      </c>
      <c r="I796" s="7">
        <f t="shared" si="38"/>
        <v>263871.837</v>
      </c>
      <c r="J796" s="7">
        <f t="shared" si="36"/>
        <v>1729826.487</v>
      </c>
    </row>
    <row r="797" spans="1:10" ht="15" customHeight="1" x14ac:dyDescent="0.3">
      <c r="A797" s="2">
        <v>781</v>
      </c>
      <c r="B797" s="2" t="s">
        <v>3873</v>
      </c>
      <c r="C797" s="2" t="s">
        <v>4371</v>
      </c>
      <c r="D797" s="2" t="s">
        <v>4371</v>
      </c>
      <c r="E797" s="2" t="s">
        <v>3458</v>
      </c>
      <c r="F797" s="7">
        <v>488651.55</v>
      </c>
      <c r="G797" s="13">
        <v>3</v>
      </c>
      <c r="H797" s="15">
        <f t="shared" si="37"/>
        <v>1465954.65</v>
      </c>
      <c r="I797" s="7">
        <f t="shared" si="38"/>
        <v>263871.837</v>
      </c>
      <c r="J797" s="7">
        <f t="shared" si="36"/>
        <v>1729826.487</v>
      </c>
    </row>
    <row r="798" spans="1:10" ht="15" customHeight="1" x14ac:dyDescent="0.3">
      <c r="A798" s="2">
        <v>782</v>
      </c>
      <c r="B798" s="2" t="s">
        <v>3874</v>
      </c>
      <c r="C798" s="2" t="s">
        <v>4372</v>
      </c>
      <c r="D798" s="2" t="s">
        <v>4372</v>
      </c>
      <c r="E798" s="2" t="s">
        <v>3458</v>
      </c>
      <c r="F798" s="7">
        <v>488651.55</v>
      </c>
      <c r="G798" s="13">
        <v>3</v>
      </c>
      <c r="H798" s="15">
        <f t="shared" si="37"/>
        <v>1465954.65</v>
      </c>
      <c r="I798" s="7">
        <f t="shared" si="38"/>
        <v>263871.837</v>
      </c>
      <c r="J798" s="7">
        <f t="shared" si="36"/>
        <v>1729826.487</v>
      </c>
    </row>
    <row r="799" spans="1:10" ht="15" customHeight="1" x14ac:dyDescent="0.3">
      <c r="A799" s="2">
        <v>783</v>
      </c>
      <c r="B799" s="2" t="s">
        <v>1317</v>
      </c>
      <c r="C799" s="2" t="s">
        <v>1318</v>
      </c>
      <c r="D799" s="2" t="s">
        <v>1318</v>
      </c>
      <c r="E799" s="2" t="s">
        <v>3458</v>
      </c>
      <c r="F799" s="7">
        <v>488651.55</v>
      </c>
      <c r="G799" s="13">
        <v>3</v>
      </c>
      <c r="H799" s="15">
        <f t="shared" si="37"/>
        <v>1465954.65</v>
      </c>
      <c r="I799" s="7">
        <f t="shared" si="38"/>
        <v>263871.837</v>
      </c>
      <c r="J799" s="7">
        <f t="shared" si="36"/>
        <v>1729826.487</v>
      </c>
    </row>
    <row r="800" spans="1:10" ht="15" customHeight="1" x14ac:dyDescent="0.3">
      <c r="A800" s="2">
        <v>784</v>
      </c>
      <c r="B800" s="2" t="s">
        <v>2177</v>
      </c>
      <c r="C800" s="2" t="s">
        <v>2178</v>
      </c>
      <c r="D800" s="2" t="s">
        <v>2178</v>
      </c>
      <c r="E800" s="2" t="s">
        <v>3458</v>
      </c>
      <c r="F800" s="7">
        <v>488651.55</v>
      </c>
      <c r="G800" s="13">
        <v>3</v>
      </c>
      <c r="H800" s="15">
        <f t="shared" si="37"/>
        <v>1465954.65</v>
      </c>
      <c r="I800" s="7">
        <f t="shared" si="38"/>
        <v>263871.837</v>
      </c>
      <c r="J800" s="7">
        <f t="shared" si="36"/>
        <v>1729826.487</v>
      </c>
    </row>
    <row r="801" spans="1:10" ht="15" customHeight="1" x14ac:dyDescent="0.3">
      <c r="A801" s="2">
        <v>785</v>
      </c>
      <c r="B801" s="2" t="s">
        <v>2142</v>
      </c>
      <c r="C801" s="2" t="s">
        <v>4373</v>
      </c>
      <c r="D801" s="2" t="s">
        <v>4373</v>
      </c>
      <c r="E801" s="2" t="s">
        <v>3458</v>
      </c>
      <c r="F801" s="7">
        <v>488651.55</v>
      </c>
      <c r="G801" s="13">
        <v>3</v>
      </c>
      <c r="H801" s="15">
        <f t="shared" si="37"/>
        <v>1465954.65</v>
      </c>
      <c r="I801" s="7">
        <f t="shared" si="38"/>
        <v>263871.837</v>
      </c>
      <c r="J801" s="7">
        <f t="shared" si="36"/>
        <v>1729826.487</v>
      </c>
    </row>
    <row r="802" spans="1:10" ht="15" customHeight="1" x14ac:dyDescent="0.3">
      <c r="A802" s="2">
        <v>786</v>
      </c>
      <c r="B802" s="2" t="s">
        <v>3875</v>
      </c>
      <c r="C802" s="2" t="s">
        <v>4374</v>
      </c>
      <c r="D802" s="2" t="s">
        <v>4374</v>
      </c>
      <c r="E802" s="2" t="s">
        <v>3458</v>
      </c>
      <c r="F802" s="7">
        <v>488651.55</v>
      </c>
      <c r="G802" s="13">
        <v>3</v>
      </c>
      <c r="H802" s="15">
        <f t="shared" si="37"/>
        <v>1465954.65</v>
      </c>
      <c r="I802" s="7">
        <f t="shared" si="38"/>
        <v>263871.837</v>
      </c>
      <c r="J802" s="7">
        <f t="shared" si="36"/>
        <v>1729826.487</v>
      </c>
    </row>
    <row r="803" spans="1:10" ht="15" customHeight="1" x14ac:dyDescent="0.3">
      <c r="A803" s="2">
        <v>787</v>
      </c>
      <c r="B803" s="2" t="s">
        <v>2145</v>
      </c>
      <c r="C803" s="2" t="s">
        <v>2146</v>
      </c>
      <c r="D803" s="2" t="s">
        <v>2146</v>
      </c>
      <c r="E803" s="2" t="s">
        <v>3458</v>
      </c>
      <c r="F803" s="7">
        <v>488651.55</v>
      </c>
      <c r="G803" s="13">
        <v>3</v>
      </c>
      <c r="H803" s="15">
        <f t="shared" si="37"/>
        <v>1465954.65</v>
      </c>
      <c r="I803" s="7">
        <f t="shared" si="38"/>
        <v>263871.837</v>
      </c>
      <c r="J803" s="7">
        <f t="shared" si="36"/>
        <v>1729826.487</v>
      </c>
    </row>
    <row r="804" spans="1:10" ht="15" customHeight="1" x14ac:dyDescent="0.3">
      <c r="A804" s="2">
        <v>788</v>
      </c>
      <c r="B804" s="2" t="s">
        <v>3876</v>
      </c>
      <c r="C804" s="2" t="s">
        <v>4375</v>
      </c>
      <c r="D804" s="2" t="s">
        <v>4375</v>
      </c>
      <c r="E804" s="2" t="s">
        <v>3458</v>
      </c>
      <c r="F804" s="7">
        <v>488651.55</v>
      </c>
      <c r="G804" s="13">
        <v>3</v>
      </c>
      <c r="H804" s="15">
        <f t="shared" si="37"/>
        <v>1465954.65</v>
      </c>
      <c r="I804" s="7">
        <f t="shared" si="38"/>
        <v>263871.837</v>
      </c>
      <c r="J804" s="7">
        <f t="shared" si="36"/>
        <v>1729826.487</v>
      </c>
    </row>
    <row r="805" spans="1:10" ht="15" customHeight="1" x14ac:dyDescent="0.3">
      <c r="A805" s="2">
        <v>789</v>
      </c>
      <c r="B805" s="2" t="s">
        <v>2195</v>
      </c>
      <c r="C805" s="2" t="s">
        <v>2196</v>
      </c>
      <c r="D805" s="2" t="s">
        <v>2196</v>
      </c>
      <c r="E805" s="2" t="s">
        <v>3458</v>
      </c>
      <c r="F805" s="7">
        <v>488651.55</v>
      </c>
      <c r="G805" s="13">
        <v>3</v>
      </c>
      <c r="H805" s="15">
        <f t="shared" si="37"/>
        <v>1465954.65</v>
      </c>
      <c r="I805" s="7">
        <f t="shared" si="38"/>
        <v>263871.837</v>
      </c>
      <c r="J805" s="7">
        <f t="shared" si="36"/>
        <v>1729826.487</v>
      </c>
    </row>
    <row r="806" spans="1:10" ht="15" customHeight="1" x14ac:dyDescent="0.3">
      <c r="A806" s="2">
        <v>790</v>
      </c>
      <c r="B806" s="2" t="s">
        <v>3877</v>
      </c>
      <c r="C806" s="2" t="s">
        <v>4376</v>
      </c>
      <c r="D806" s="2" t="s">
        <v>4376</v>
      </c>
      <c r="E806" s="2" t="s">
        <v>3458</v>
      </c>
      <c r="F806" s="7">
        <v>488651.55</v>
      </c>
      <c r="G806" s="13">
        <v>3</v>
      </c>
      <c r="H806" s="15">
        <f t="shared" si="37"/>
        <v>1465954.65</v>
      </c>
      <c r="I806" s="7">
        <f t="shared" si="38"/>
        <v>263871.837</v>
      </c>
      <c r="J806" s="7">
        <f t="shared" si="36"/>
        <v>1729826.487</v>
      </c>
    </row>
    <row r="807" spans="1:10" ht="15" customHeight="1" x14ac:dyDescent="0.3">
      <c r="A807" s="2">
        <v>791</v>
      </c>
      <c r="B807" s="2" t="s">
        <v>3878</v>
      </c>
      <c r="C807" s="2" t="s">
        <v>4377</v>
      </c>
      <c r="D807" s="2" t="s">
        <v>4377</v>
      </c>
      <c r="E807" s="2" t="s">
        <v>3458</v>
      </c>
      <c r="F807" s="7">
        <v>488651.55</v>
      </c>
      <c r="G807" s="13">
        <v>3</v>
      </c>
      <c r="H807" s="15">
        <f t="shared" si="37"/>
        <v>1465954.65</v>
      </c>
      <c r="I807" s="7">
        <f t="shared" si="38"/>
        <v>263871.837</v>
      </c>
      <c r="J807" s="7">
        <f t="shared" si="36"/>
        <v>1729826.487</v>
      </c>
    </row>
    <row r="808" spans="1:10" ht="15" customHeight="1" x14ac:dyDescent="0.3">
      <c r="A808" s="2">
        <v>792</v>
      </c>
      <c r="B808" s="2" t="s">
        <v>1784</v>
      </c>
      <c r="C808" s="2" t="s">
        <v>1785</v>
      </c>
      <c r="D808" s="2" t="s">
        <v>1785</v>
      </c>
      <c r="E808" s="2" t="s">
        <v>3458</v>
      </c>
      <c r="F808" s="7">
        <v>488651.55</v>
      </c>
      <c r="G808" s="13">
        <v>3</v>
      </c>
      <c r="H808" s="15">
        <f t="shared" si="37"/>
        <v>1465954.65</v>
      </c>
      <c r="I808" s="7">
        <f t="shared" si="38"/>
        <v>263871.837</v>
      </c>
      <c r="J808" s="7">
        <f t="shared" si="36"/>
        <v>1729826.487</v>
      </c>
    </row>
    <row r="809" spans="1:10" ht="15" customHeight="1" x14ac:dyDescent="0.3">
      <c r="A809" s="2">
        <v>793</v>
      </c>
      <c r="B809" s="2" t="s">
        <v>1301</v>
      </c>
      <c r="C809" s="2" t="s">
        <v>1302</v>
      </c>
      <c r="D809" s="2" t="s">
        <v>1302</v>
      </c>
      <c r="E809" s="2" t="s">
        <v>3458</v>
      </c>
      <c r="F809" s="7">
        <v>488651.55</v>
      </c>
      <c r="G809" s="13">
        <v>3</v>
      </c>
      <c r="H809" s="15">
        <f t="shared" si="37"/>
        <v>1465954.65</v>
      </c>
      <c r="I809" s="7">
        <f t="shared" si="38"/>
        <v>263871.837</v>
      </c>
      <c r="J809" s="7">
        <f t="shared" si="36"/>
        <v>1729826.487</v>
      </c>
    </row>
    <row r="810" spans="1:10" ht="15" customHeight="1" x14ac:dyDescent="0.3">
      <c r="A810" s="2">
        <v>794</v>
      </c>
      <c r="B810" s="2" t="s">
        <v>3879</v>
      </c>
      <c r="C810" s="2" t="s">
        <v>4378</v>
      </c>
      <c r="D810" s="2" t="s">
        <v>4378</v>
      </c>
      <c r="E810" s="2" t="s">
        <v>3458</v>
      </c>
      <c r="F810" s="7">
        <v>488651.55</v>
      </c>
      <c r="G810" s="13">
        <v>3</v>
      </c>
      <c r="H810" s="15">
        <f t="shared" si="37"/>
        <v>1465954.65</v>
      </c>
      <c r="I810" s="7">
        <f t="shared" si="38"/>
        <v>263871.837</v>
      </c>
      <c r="J810" s="7">
        <f t="shared" si="36"/>
        <v>1729826.487</v>
      </c>
    </row>
    <row r="811" spans="1:10" ht="15" customHeight="1" x14ac:dyDescent="0.3">
      <c r="A811" s="2">
        <v>795</v>
      </c>
      <c r="B811" s="2" t="s">
        <v>1641</v>
      </c>
      <c r="C811" s="2" t="s">
        <v>1642</v>
      </c>
      <c r="D811" s="2" t="s">
        <v>1642</v>
      </c>
      <c r="E811" s="2" t="s">
        <v>3458</v>
      </c>
      <c r="F811" s="7">
        <v>488651.55</v>
      </c>
      <c r="G811" s="13">
        <v>3</v>
      </c>
      <c r="H811" s="15">
        <f t="shared" si="37"/>
        <v>1465954.65</v>
      </c>
      <c r="I811" s="7">
        <f t="shared" si="38"/>
        <v>263871.837</v>
      </c>
      <c r="J811" s="7">
        <f t="shared" si="36"/>
        <v>1729826.487</v>
      </c>
    </row>
    <row r="812" spans="1:10" ht="15" customHeight="1" x14ac:dyDescent="0.3">
      <c r="A812" s="2">
        <v>796</v>
      </c>
      <c r="B812" s="2" t="s">
        <v>1754</v>
      </c>
      <c r="C812" s="2" t="s">
        <v>1755</v>
      </c>
      <c r="D812" s="2" t="s">
        <v>1755</v>
      </c>
      <c r="E812" s="2" t="s">
        <v>3458</v>
      </c>
      <c r="F812" s="7">
        <v>488651.55</v>
      </c>
      <c r="G812" s="13">
        <v>3</v>
      </c>
      <c r="H812" s="15">
        <f t="shared" si="37"/>
        <v>1465954.65</v>
      </c>
      <c r="I812" s="7">
        <f t="shared" si="38"/>
        <v>263871.837</v>
      </c>
      <c r="J812" s="7">
        <f t="shared" si="36"/>
        <v>1729826.487</v>
      </c>
    </row>
    <row r="813" spans="1:10" ht="15" customHeight="1" x14ac:dyDescent="0.3">
      <c r="A813" s="2">
        <v>797</v>
      </c>
      <c r="B813" s="2" t="s">
        <v>3880</v>
      </c>
      <c r="C813" s="2" t="s">
        <v>4379</v>
      </c>
      <c r="D813" s="2" t="s">
        <v>4379</v>
      </c>
      <c r="E813" s="2" t="s">
        <v>3458</v>
      </c>
      <c r="F813" s="7">
        <v>488651.55</v>
      </c>
      <c r="G813" s="13">
        <v>3</v>
      </c>
      <c r="H813" s="15">
        <f t="shared" si="37"/>
        <v>1465954.65</v>
      </c>
      <c r="I813" s="7">
        <f t="shared" si="38"/>
        <v>263871.837</v>
      </c>
      <c r="J813" s="7">
        <f t="shared" si="36"/>
        <v>1729826.487</v>
      </c>
    </row>
    <row r="814" spans="1:10" ht="15" customHeight="1" x14ac:dyDescent="0.3">
      <c r="A814" s="2">
        <v>798</v>
      </c>
      <c r="B814" s="2" t="s">
        <v>1144</v>
      </c>
      <c r="C814" s="2" t="s">
        <v>1145</v>
      </c>
      <c r="D814" s="2" t="s">
        <v>1145</v>
      </c>
      <c r="E814" s="2" t="s">
        <v>3458</v>
      </c>
      <c r="F814" s="7">
        <v>488651.55</v>
      </c>
      <c r="G814" s="13">
        <v>3</v>
      </c>
      <c r="H814" s="15">
        <f t="shared" si="37"/>
        <v>1465954.65</v>
      </c>
      <c r="I814" s="7">
        <f t="shared" si="38"/>
        <v>263871.837</v>
      </c>
      <c r="J814" s="7">
        <f t="shared" si="36"/>
        <v>1729826.487</v>
      </c>
    </row>
    <row r="815" spans="1:10" ht="15" customHeight="1" x14ac:dyDescent="0.3">
      <c r="A815" s="2">
        <v>799</v>
      </c>
      <c r="B815" s="2" t="s">
        <v>1152</v>
      </c>
      <c r="C815" s="2" t="s">
        <v>1153</v>
      </c>
      <c r="D815" s="2" t="s">
        <v>1153</v>
      </c>
      <c r="E815" s="2" t="s">
        <v>3458</v>
      </c>
      <c r="F815" s="7">
        <v>488651.55</v>
      </c>
      <c r="G815" s="13">
        <v>3</v>
      </c>
      <c r="H815" s="15">
        <f t="shared" si="37"/>
        <v>1465954.65</v>
      </c>
      <c r="I815" s="7">
        <f t="shared" si="38"/>
        <v>263871.837</v>
      </c>
      <c r="J815" s="7">
        <f t="shared" si="36"/>
        <v>1729826.487</v>
      </c>
    </row>
    <row r="816" spans="1:10" ht="15" customHeight="1" x14ac:dyDescent="0.3">
      <c r="A816" s="2">
        <v>800</v>
      </c>
      <c r="B816" s="2" t="s">
        <v>1425</v>
      </c>
      <c r="C816" s="2" t="s">
        <v>1426</v>
      </c>
      <c r="D816" s="2" t="s">
        <v>1426</v>
      </c>
      <c r="E816" s="2" t="s">
        <v>3458</v>
      </c>
      <c r="F816" s="7">
        <v>488651.55</v>
      </c>
      <c r="G816" s="13">
        <v>3</v>
      </c>
      <c r="H816" s="15">
        <f t="shared" si="37"/>
        <v>1465954.65</v>
      </c>
      <c r="I816" s="7">
        <f t="shared" si="38"/>
        <v>263871.837</v>
      </c>
      <c r="J816" s="7">
        <f t="shared" si="36"/>
        <v>1729826.487</v>
      </c>
    </row>
    <row r="817" spans="1:10" ht="15" customHeight="1" x14ac:dyDescent="0.3">
      <c r="A817" s="2">
        <v>801</v>
      </c>
      <c r="B817" s="2" t="s">
        <v>3881</v>
      </c>
      <c r="C817" s="2" t="s">
        <v>4380</v>
      </c>
      <c r="D817" s="2" t="s">
        <v>4380</v>
      </c>
      <c r="E817" s="2" t="s">
        <v>3458</v>
      </c>
      <c r="F817" s="7">
        <v>488651.55</v>
      </c>
      <c r="G817" s="13">
        <v>3</v>
      </c>
      <c r="H817" s="15">
        <f t="shared" si="37"/>
        <v>1465954.65</v>
      </c>
      <c r="I817" s="7">
        <f t="shared" si="38"/>
        <v>263871.837</v>
      </c>
      <c r="J817" s="7">
        <f t="shared" si="36"/>
        <v>1729826.487</v>
      </c>
    </row>
    <row r="818" spans="1:10" ht="15" customHeight="1" x14ac:dyDescent="0.3">
      <c r="A818" s="2">
        <v>802</v>
      </c>
      <c r="B818" s="2" t="s">
        <v>1252</v>
      </c>
      <c r="C818" s="2" t="s">
        <v>1253</v>
      </c>
      <c r="D818" s="2" t="s">
        <v>1253</v>
      </c>
      <c r="E818" s="2" t="s">
        <v>3458</v>
      </c>
      <c r="F818" s="7">
        <v>488651.55</v>
      </c>
      <c r="G818" s="13">
        <v>3</v>
      </c>
      <c r="H818" s="15">
        <f t="shared" si="37"/>
        <v>1465954.65</v>
      </c>
      <c r="I818" s="7">
        <f t="shared" si="38"/>
        <v>263871.837</v>
      </c>
      <c r="J818" s="7">
        <f t="shared" si="36"/>
        <v>1729826.487</v>
      </c>
    </row>
    <row r="819" spans="1:10" ht="15" customHeight="1" x14ac:dyDescent="0.3">
      <c r="A819" s="2">
        <v>803</v>
      </c>
      <c r="B819" s="2" t="s">
        <v>1880</v>
      </c>
      <c r="C819" s="2" t="s">
        <v>1881</v>
      </c>
      <c r="D819" s="2" t="s">
        <v>1881</v>
      </c>
      <c r="E819" s="2" t="s">
        <v>3458</v>
      </c>
      <c r="F819" s="7">
        <v>488651.55</v>
      </c>
      <c r="G819" s="13">
        <v>3</v>
      </c>
      <c r="H819" s="15">
        <f t="shared" si="37"/>
        <v>1465954.65</v>
      </c>
      <c r="I819" s="7">
        <f t="shared" si="38"/>
        <v>263871.837</v>
      </c>
      <c r="J819" s="7">
        <f t="shared" si="36"/>
        <v>1729826.487</v>
      </c>
    </row>
    <row r="820" spans="1:10" ht="15" customHeight="1" x14ac:dyDescent="0.3">
      <c r="A820" s="2">
        <v>804</v>
      </c>
      <c r="B820" s="2" t="s">
        <v>1202</v>
      </c>
      <c r="C820" s="2" t="s">
        <v>1203</v>
      </c>
      <c r="D820" s="2" t="s">
        <v>1203</v>
      </c>
      <c r="E820" s="2" t="s">
        <v>3458</v>
      </c>
      <c r="F820" s="7">
        <v>488651.55</v>
      </c>
      <c r="G820" s="13">
        <v>3</v>
      </c>
      <c r="H820" s="15">
        <f t="shared" si="37"/>
        <v>1465954.65</v>
      </c>
      <c r="I820" s="7">
        <f t="shared" si="38"/>
        <v>263871.837</v>
      </c>
      <c r="J820" s="7">
        <f t="shared" si="36"/>
        <v>1729826.487</v>
      </c>
    </row>
    <row r="821" spans="1:10" ht="15" customHeight="1" x14ac:dyDescent="0.3">
      <c r="A821" s="2">
        <v>805</v>
      </c>
      <c r="B821" s="2" t="s">
        <v>1245</v>
      </c>
      <c r="C821" s="2" t="s">
        <v>1246</v>
      </c>
      <c r="D821" s="2" t="s">
        <v>1246</v>
      </c>
      <c r="E821" s="2" t="s">
        <v>3458</v>
      </c>
      <c r="F821" s="7">
        <v>488651.55</v>
      </c>
      <c r="G821" s="13">
        <v>3</v>
      </c>
      <c r="H821" s="15">
        <f t="shared" si="37"/>
        <v>1465954.65</v>
      </c>
      <c r="I821" s="7">
        <f t="shared" si="38"/>
        <v>263871.837</v>
      </c>
      <c r="J821" s="7">
        <f t="shared" si="36"/>
        <v>1729826.487</v>
      </c>
    </row>
    <row r="822" spans="1:10" ht="15" customHeight="1" x14ac:dyDescent="0.3">
      <c r="A822" s="2">
        <v>806</v>
      </c>
      <c r="B822" s="2" t="s">
        <v>3882</v>
      </c>
      <c r="C822" s="2" t="s">
        <v>4381</v>
      </c>
      <c r="D822" s="2" t="s">
        <v>4381</v>
      </c>
      <c r="E822" s="2" t="s">
        <v>3458</v>
      </c>
      <c r="F822" s="7">
        <v>488651.55</v>
      </c>
      <c r="G822" s="13">
        <v>3</v>
      </c>
      <c r="H822" s="15">
        <f t="shared" si="37"/>
        <v>1465954.65</v>
      </c>
      <c r="I822" s="7">
        <f t="shared" si="38"/>
        <v>263871.837</v>
      </c>
      <c r="J822" s="7">
        <f t="shared" si="36"/>
        <v>1729826.487</v>
      </c>
    </row>
    <row r="823" spans="1:10" ht="15" customHeight="1" x14ac:dyDescent="0.3">
      <c r="A823" s="2">
        <v>807</v>
      </c>
      <c r="B823" s="2" t="s">
        <v>3883</v>
      </c>
      <c r="C823" s="2" t="s">
        <v>4382</v>
      </c>
      <c r="D823" s="2" t="s">
        <v>4382</v>
      </c>
      <c r="E823" s="2" t="s">
        <v>3458</v>
      </c>
      <c r="F823" s="7">
        <v>488651.55</v>
      </c>
      <c r="G823" s="13">
        <v>3</v>
      </c>
      <c r="H823" s="15">
        <f t="shared" si="37"/>
        <v>1465954.65</v>
      </c>
      <c r="I823" s="7">
        <f t="shared" si="38"/>
        <v>263871.837</v>
      </c>
      <c r="J823" s="7">
        <f t="shared" si="36"/>
        <v>1729826.487</v>
      </c>
    </row>
    <row r="824" spans="1:10" ht="15" customHeight="1" x14ac:dyDescent="0.3">
      <c r="A824" s="2">
        <v>808</v>
      </c>
      <c r="B824" s="2" t="s">
        <v>3884</v>
      </c>
      <c r="C824" s="2" t="s">
        <v>4383</v>
      </c>
      <c r="D824" s="2" t="s">
        <v>4383</v>
      </c>
      <c r="E824" s="2" t="s">
        <v>3458</v>
      </c>
      <c r="F824" s="7">
        <v>488651.55</v>
      </c>
      <c r="G824" s="13">
        <v>3</v>
      </c>
      <c r="H824" s="15">
        <f t="shared" si="37"/>
        <v>1465954.65</v>
      </c>
      <c r="I824" s="7">
        <f t="shared" si="38"/>
        <v>263871.837</v>
      </c>
      <c r="J824" s="7">
        <f t="shared" si="36"/>
        <v>1729826.487</v>
      </c>
    </row>
    <row r="825" spans="1:10" ht="15" customHeight="1" x14ac:dyDescent="0.3">
      <c r="A825" s="2">
        <v>809</v>
      </c>
      <c r="B825" s="2" t="s">
        <v>3885</v>
      </c>
      <c r="C825" s="2" t="s">
        <v>4384</v>
      </c>
      <c r="D825" s="2" t="s">
        <v>4384</v>
      </c>
      <c r="E825" s="2" t="s">
        <v>3458</v>
      </c>
      <c r="F825" s="7">
        <v>488651.55</v>
      </c>
      <c r="G825" s="13">
        <v>3</v>
      </c>
      <c r="H825" s="15">
        <f t="shared" si="37"/>
        <v>1465954.65</v>
      </c>
      <c r="I825" s="7">
        <f t="shared" si="38"/>
        <v>263871.837</v>
      </c>
      <c r="J825" s="7">
        <f t="shared" si="36"/>
        <v>1729826.487</v>
      </c>
    </row>
    <row r="826" spans="1:10" ht="15" customHeight="1" x14ac:dyDescent="0.3">
      <c r="A826" s="2">
        <v>810</v>
      </c>
      <c r="B826" s="2" t="s">
        <v>2162</v>
      </c>
      <c r="C826" s="2" t="s">
        <v>2163</v>
      </c>
      <c r="D826" s="2" t="s">
        <v>2163</v>
      </c>
      <c r="E826" s="2" t="s">
        <v>3458</v>
      </c>
      <c r="F826" s="7">
        <v>488651.55</v>
      </c>
      <c r="G826" s="13">
        <v>3</v>
      </c>
      <c r="H826" s="15">
        <f t="shared" si="37"/>
        <v>1465954.65</v>
      </c>
      <c r="I826" s="7">
        <f t="shared" si="38"/>
        <v>263871.837</v>
      </c>
      <c r="J826" s="7">
        <f t="shared" si="36"/>
        <v>1729826.487</v>
      </c>
    </row>
    <row r="827" spans="1:10" ht="15" customHeight="1" x14ac:dyDescent="0.3">
      <c r="A827" s="2">
        <v>811</v>
      </c>
      <c r="B827" s="2" t="s">
        <v>1710</v>
      </c>
      <c r="C827" s="2" t="s">
        <v>1711</v>
      </c>
      <c r="D827" s="2" t="s">
        <v>1711</v>
      </c>
      <c r="E827" s="2" t="s">
        <v>3458</v>
      </c>
      <c r="F827" s="7">
        <v>488651.55</v>
      </c>
      <c r="G827" s="13">
        <v>3</v>
      </c>
      <c r="H827" s="15">
        <f t="shared" si="37"/>
        <v>1465954.65</v>
      </c>
      <c r="I827" s="7">
        <f t="shared" si="38"/>
        <v>263871.837</v>
      </c>
      <c r="J827" s="7">
        <f t="shared" si="36"/>
        <v>1729826.487</v>
      </c>
    </row>
    <row r="828" spans="1:10" ht="15" customHeight="1" x14ac:dyDescent="0.3">
      <c r="A828" s="2">
        <v>812</v>
      </c>
      <c r="B828" s="2" t="s">
        <v>1323</v>
      </c>
      <c r="C828" s="2" t="s">
        <v>1324</v>
      </c>
      <c r="D828" s="2" t="s">
        <v>1324</v>
      </c>
      <c r="E828" s="2" t="s">
        <v>3458</v>
      </c>
      <c r="F828" s="7">
        <v>488651.55</v>
      </c>
      <c r="G828" s="13">
        <v>3</v>
      </c>
      <c r="H828" s="15">
        <f t="shared" si="37"/>
        <v>1465954.65</v>
      </c>
      <c r="I828" s="7">
        <f t="shared" si="38"/>
        <v>263871.837</v>
      </c>
      <c r="J828" s="7">
        <f t="shared" si="36"/>
        <v>1729826.487</v>
      </c>
    </row>
    <row r="829" spans="1:10" ht="15" customHeight="1" x14ac:dyDescent="0.3">
      <c r="A829" s="2">
        <v>813</v>
      </c>
      <c r="B829" s="2" t="s">
        <v>3886</v>
      </c>
      <c r="C829" s="2" t="s">
        <v>4385</v>
      </c>
      <c r="D829" s="2" t="s">
        <v>4385</v>
      </c>
      <c r="E829" s="2" t="s">
        <v>3458</v>
      </c>
      <c r="F829" s="7">
        <v>488651.55</v>
      </c>
      <c r="G829" s="13">
        <v>3</v>
      </c>
      <c r="H829" s="15">
        <f t="shared" si="37"/>
        <v>1465954.65</v>
      </c>
      <c r="I829" s="7">
        <f t="shared" si="38"/>
        <v>263871.837</v>
      </c>
      <c r="J829" s="7">
        <f t="shared" si="36"/>
        <v>1729826.487</v>
      </c>
    </row>
    <row r="830" spans="1:10" ht="15" customHeight="1" x14ac:dyDescent="0.3">
      <c r="A830" s="2">
        <v>814</v>
      </c>
      <c r="B830" s="2" t="s">
        <v>1972</v>
      </c>
      <c r="C830" s="2" t="s">
        <v>1973</v>
      </c>
      <c r="D830" s="2" t="s">
        <v>1973</v>
      </c>
      <c r="E830" s="2" t="s">
        <v>3458</v>
      </c>
      <c r="F830" s="7">
        <v>488651.55</v>
      </c>
      <c r="G830" s="13">
        <v>3</v>
      </c>
      <c r="H830" s="15">
        <f t="shared" si="37"/>
        <v>1465954.65</v>
      </c>
      <c r="I830" s="7">
        <f t="shared" si="38"/>
        <v>263871.837</v>
      </c>
      <c r="J830" s="7">
        <f t="shared" si="36"/>
        <v>1729826.487</v>
      </c>
    </row>
    <row r="831" spans="1:10" ht="15" customHeight="1" x14ac:dyDescent="0.3">
      <c r="A831" s="2">
        <v>815</v>
      </c>
      <c r="B831" s="2" t="s">
        <v>3887</v>
      </c>
      <c r="C831" s="2" t="s">
        <v>4386</v>
      </c>
      <c r="D831" s="2" t="s">
        <v>4386</v>
      </c>
      <c r="E831" s="2" t="s">
        <v>3458</v>
      </c>
      <c r="F831" s="7">
        <v>488651.55</v>
      </c>
      <c r="G831" s="13">
        <v>3</v>
      </c>
      <c r="H831" s="15">
        <f t="shared" si="37"/>
        <v>1465954.65</v>
      </c>
      <c r="I831" s="7">
        <f t="shared" si="38"/>
        <v>263871.837</v>
      </c>
      <c r="J831" s="7">
        <f t="shared" si="36"/>
        <v>1729826.487</v>
      </c>
    </row>
    <row r="832" spans="1:10" ht="15" customHeight="1" x14ac:dyDescent="0.3">
      <c r="A832" s="2">
        <v>816</v>
      </c>
      <c r="B832" s="2" t="s">
        <v>3888</v>
      </c>
      <c r="C832" s="2" t="s">
        <v>4387</v>
      </c>
      <c r="D832" s="2" t="s">
        <v>4387</v>
      </c>
      <c r="E832" s="2" t="s">
        <v>3458</v>
      </c>
      <c r="F832" s="7">
        <v>488651.55</v>
      </c>
      <c r="G832" s="13">
        <v>3</v>
      </c>
      <c r="H832" s="15">
        <f t="shared" si="37"/>
        <v>1465954.65</v>
      </c>
      <c r="I832" s="7">
        <f t="shared" si="38"/>
        <v>263871.837</v>
      </c>
      <c r="J832" s="7">
        <f t="shared" si="36"/>
        <v>1729826.487</v>
      </c>
    </row>
    <row r="833" spans="1:10" ht="15" customHeight="1" x14ac:dyDescent="0.3">
      <c r="A833" s="2">
        <v>817</v>
      </c>
      <c r="B833" s="2" t="s">
        <v>3889</v>
      </c>
      <c r="C833" s="2" t="s">
        <v>4388</v>
      </c>
      <c r="D833" s="2" t="s">
        <v>4388</v>
      </c>
      <c r="E833" s="2" t="s">
        <v>3458</v>
      </c>
      <c r="F833" s="7">
        <v>488651.55</v>
      </c>
      <c r="G833" s="13">
        <v>3</v>
      </c>
      <c r="H833" s="15">
        <f t="shared" si="37"/>
        <v>1465954.65</v>
      </c>
      <c r="I833" s="7">
        <f t="shared" si="38"/>
        <v>263871.837</v>
      </c>
      <c r="J833" s="7">
        <f t="shared" si="36"/>
        <v>1729826.487</v>
      </c>
    </row>
    <row r="834" spans="1:10" ht="15" customHeight="1" x14ac:dyDescent="0.3">
      <c r="A834" s="2">
        <v>818</v>
      </c>
      <c r="B834" s="2" t="s">
        <v>3890</v>
      </c>
      <c r="C834" s="2" t="s">
        <v>4389</v>
      </c>
      <c r="D834" s="2" t="s">
        <v>4389</v>
      </c>
      <c r="E834" s="2" t="s">
        <v>3458</v>
      </c>
      <c r="F834" s="7">
        <v>488651.55</v>
      </c>
      <c r="G834" s="13">
        <v>3</v>
      </c>
      <c r="H834" s="15">
        <f t="shared" si="37"/>
        <v>1465954.65</v>
      </c>
      <c r="I834" s="7">
        <f t="shared" si="38"/>
        <v>263871.837</v>
      </c>
      <c r="J834" s="7">
        <f t="shared" si="36"/>
        <v>1729826.487</v>
      </c>
    </row>
    <row r="835" spans="1:10" ht="15" customHeight="1" x14ac:dyDescent="0.3">
      <c r="A835" s="2">
        <v>819</v>
      </c>
      <c r="B835" s="2" t="s">
        <v>3891</v>
      </c>
      <c r="C835" s="2" t="s">
        <v>4390</v>
      </c>
      <c r="D835" s="2" t="s">
        <v>4390</v>
      </c>
      <c r="E835" s="2" t="s">
        <v>3458</v>
      </c>
      <c r="F835" s="7">
        <v>488651.55</v>
      </c>
      <c r="G835" s="13">
        <v>3</v>
      </c>
      <c r="H835" s="15">
        <f t="shared" si="37"/>
        <v>1465954.65</v>
      </c>
      <c r="I835" s="7">
        <f t="shared" si="38"/>
        <v>263871.837</v>
      </c>
      <c r="J835" s="7">
        <f t="shared" si="36"/>
        <v>1729826.487</v>
      </c>
    </row>
    <row r="836" spans="1:10" ht="15" customHeight="1" x14ac:dyDescent="0.3">
      <c r="A836" s="2">
        <v>820</v>
      </c>
      <c r="B836" s="2" t="s">
        <v>2221</v>
      </c>
      <c r="C836" s="2" t="s">
        <v>2222</v>
      </c>
      <c r="D836" s="2" t="s">
        <v>2222</v>
      </c>
      <c r="E836" s="2" t="s">
        <v>3458</v>
      </c>
      <c r="F836" s="7">
        <v>488651.55</v>
      </c>
      <c r="G836" s="13">
        <v>3</v>
      </c>
      <c r="H836" s="15">
        <f t="shared" si="37"/>
        <v>1465954.65</v>
      </c>
      <c r="I836" s="7">
        <f t="shared" si="38"/>
        <v>263871.837</v>
      </c>
      <c r="J836" s="7">
        <f t="shared" si="36"/>
        <v>1729826.487</v>
      </c>
    </row>
    <row r="837" spans="1:10" ht="15" customHeight="1" x14ac:dyDescent="0.3">
      <c r="A837" s="2">
        <v>821</v>
      </c>
      <c r="B837" s="2" t="s">
        <v>3892</v>
      </c>
      <c r="C837" s="2" t="s">
        <v>4391</v>
      </c>
      <c r="D837" s="2" t="s">
        <v>4391</v>
      </c>
      <c r="E837" s="2" t="s">
        <v>3458</v>
      </c>
      <c r="F837" s="7">
        <v>488651.55</v>
      </c>
      <c r="G837" s="13">
        <v>3</v>
      </c>
      <c r="H837" s="15">
        <f t="shared" si="37"/>
        <v>1465954.65</v>
      </c>
      <c r="I837" s="7">
        <f t="shared" si="38"/>
        <v>263871.837</v>
      </c>
      <c r="J837" s="7">
        <f t="shared" si="36"/>
        <v>1729826.487</v>
      </c>
    </row>
    <row r="838" spans="1:10" ht="15" customHeight="1" x14ac:dyDescent="0.3">
      <c r="A838" s="2">
        <v>822</v>
      </c>
      <c r="B838" s="2" t="s">
        <v>1439</v>
      </c>
      <c r="C838" s="2" t="s">
        <v>1440</v>
      </c>
      <c r="D838" s="2" t="s">
        <v>1440</v>
      </c>
      <c r="E838" s="2" t="s">
        <v>3458</v>
      </c>
      <c r="F838" s="7">
        <v>488651.55</v>
      </c>
      <c r="G838" s="13">
        <v>3</v>
      </c>
      <c r="H838" s="15">
        <f t="shared" si="37"/>
        <v>1465954.65</v>
      </c>
      <c r="I838" s="7">
        <f t="shared" si="38"/>
        <v>263871.837</v>
      </c>
      <c r="J838" s="7">
        <f t="shared" si="36"/>
        <v>1729826.487</v>
      </c>
    </row>
    <row r="839" spans="1:10" ht="15" customHeight="1" x14ac:dyDescent="0.3">
      <c r="A839" s="2">
        <v>823</v>
      </c>
      <c r="B839" s="2" t="s">
        <v>3893</v>
      </c>
      <c r="C839" s="2" t="s">
        <v>4392</v>
      </c>
      <c r="D839" s="2" t="s">
        <v>4392</v>
      </c>
      <c r="E839" s="2" t="s">
        <v>3458</v>
      </c>
      <c r="F839" s="7">
        <v>488651.55</v>
      </c>
      <c r="G839" s="13">
        <v>3</v>
      </c>
      <c r="H839" s="15">
        <f t="shared" si="37"/>
        <v>1465954.65</v>
      </c>
      <c r="I839" s="7">
        <f t="shared" si="38"/>
        <v>263871.837</v>
      </c>
      <c r="J839" s="7">
        <f t="shared" si="36"/>
        <v>1729826.487</v>
      </c>
    </row>
    <row r="840" spans="1:10" ht="15" customHeight="1" x14ac:dyDescent="0.3">
      <c r="A840" s="2">
        <v>824</v>
      </c>
      <c r="B840" s="2" t="s">
        <v>1214</v>
      </c>
      <c r="C840" s="2" t="s">
        <v>1215</v>
      </c>
      <c r="D840" s="2" t="s">
        <v>1215</v>
      </c>
      <c r="E840" s="2" t="s">
        <v>3458</v>
      </c>
      <c r="F840" s="7">
        <v>488651.55</v>
      </c>
      <c r="G840" s="13">
        <v>3</v>
      </c>
      <c r="H840" s="15">
        <f t="shared" si="37"/>
        <v>1465954.65</v>
      </c>
      <c r="I840" s="7">
        <f t="shared" si="38"/>
        <v>263871.837</v>
      </c>
      <c r="J840" s="7">
        <f t="shared" si="36"/>
        <v>1729826.487</v>
      </c>
    </row>
    <row r="841" spans="1:10" ht="15" customHeight="1" x14ac:dyDescent="0.3">
      <c r="A841" s="2">
        <v>825</v>
      </c>
      <c r="B841" s="2" t="s">
        <v>1613</v>
      </c>
      <c r="C841" s="2" t="s">
        <v>1614</v>
      </c>
      <c r="D841" s="2" t="s">
        <v>1614</v>
      </c>
      <c r="E841" s="2" t="s">
        <v>3458</v>
      </c>
      <c r="F841" s="7">
        <v>488651.55</v>
      </c>
      <c r="G841" s="13">
        <v>3</v>
      </c>
      <c r="H841" s="15">
        <f t="shared" si="37"/>
        <v>1465954.65</v>
      </c>
      <c r="I841" s="7">
        <f t="shared" si="38"/>
        <v>263871.837</v>
      </c>
      <c r="J841" s="7">
        <f t="shared" si="36"/>
        <v>1729826.487</v>
      </c>
    </row>
    <row r="842" spans="1:10" ht="15" customHeight="1" x14ac:dyDescent="0.3">
      <c r="A842" s="2">
        <v>826</v>
      </c>
      <c r="B842" s="2" t="s">
        <v>2051</v>
      </c>
      <c r="C842" s="2" t="s">
        <v>2052</v>
      </c>
      <c r="D842" s="2" t="s">
        <v>2052</v>
      </c>
      <c r="E842" s="2" t="s">
        <v>3458</v>
      </c>
      <c r="F842" s="7">
        <v>488651.55</v>
      </c>
      <c r="G842" s="13">
        <v>3</v>
      </c>
      <c r="H842" s="15">
        <f t="shared" si="37"/>
        <v>1465954.65</v>
      </c>
      <c r="I842" s="7">
        <f t="shared" si="38"/>
        <v>263871.837</v>
      </c>
      <c r="J842" s="7">
        <f t="shared" ref="J842:J904" si="39">+H842+I842</f>
        <v>1729826.487</v>
      </c>
    </row>
    <row r="843" spans="1:10" ht="15" customHeight="1" x14ac:dyDescent="0.3">
      <c r="A843" s="2">
        <v>827</v>
      </c>
      <c r="B843" s="2" t="s">
        <v>2203</v>
      </c>
      <c r="C843" s="2" t="s">
        <v>2204</v>
      </c>
      <c r="D843" s="2" t="s">
        <v>2204</v>
      </c>
      <c r="E843" s="2" t="s">
        <v>3458</v>
      </c>
      <c r="F843" s="7">
        <v>488651.55</v>
      </c>
      <c r="G843" s="13">
        <v>3</v>
      </c>
      <c r="H843" s="15">
        <f t="shared" si="37"/>
        <v>1465954.65</v>
      </c>
      <c r="I843" s="7">
        <f t="shared" si="38"/>
        <v>263871.837</v>
      </c>
      <c r="J843" s="7">
        <f t="shared" si="39"/>
        <v>1729826.487</v>
      </c>
    </row>
    <row r="844" spans="1:10" ht="15" customHeight="1" x14ac:dyDescent="0.3">
      <c r="A844" s="2">
        <v>828</v>
      </c>
      <c r="B844" s="2" t="s">
        <v>3894</v>
      </c>
      <c r="C844" s="2" t="s">
        <v>4393</v>
      </c>
      <c r="D844" s="2" t="s">
        <v>4393</v>
      </c>
      <c r="E844" s="2" t="s">
        <v>3458</v>
      </c>
      <c r="F844" s="7">
        <v>488651.55</v>
      </c>
      <c r="G844" s="13">
        <v>3</v>
      </c>
      <c r="H844" s="15">
        <f t="shared" si="37"/>
        <v>1465954.65</v>
      </c>
      <c r="I844" s="7">
        <f t="shared" si="38"/>
        <v>263871.837</v>
      </c>
      <c r="J844" s="7">
        <f t="shared" si="39"/>
        <v>1729826.487</v>
      </c>
    </row>
    <row r="845" spans="1:10" ht="15" customHeight="1" x14ac:dyDescent="0.3">
      <c r="A845" s="2">
        <v>829</v>
      </c>
      <c r="B845" s="2" t="s">
        <v>3895</v>
      </c>
      <c r="C845" s="2" t="s">
        <v>4394</v>
      </c>
      <c r="D845" s="2" t="s">
        <v>4394</v>
      </c>
      <c r="E845" s="2" t="s">
        <v>3458</v>
      </c>
      <c r="F845" s="7">
        <v>488651.55</v>
      </c>
      <c r="G845" s="13">
        <v>3</v>
      </c>
      <c r="H845" s="15">
        <f t="shared" si="37"/>
        <v>1465954.65</v>
      </c>
      <c r="I845" s="7">
        <f t="shared" si="38"/>
        <v>263871.837</v>
      </c>
      <c r="J845" s="7">
        <f t="shared" si="39"/>
        <v>1729826.487</v>
      </c>
    </row>
    <row r="846" spans="1:10" ht="15" customHeight="1" x14ac:dyDescent="0.3">
      <c r="A846" s="2">
        <v>830</v>
      </c>
      <c r="B846" s="2" t="s">
        <v>1854</v>
      </c>
      <c r="C846" s="2" t="s">
        <v>1855</v>
      </c>
      <c r="D846" s="2" t="s">
        <v>1855</v>
      </c>
      <c r="E846" s="2" t="s">
        <v>3458</v>
      </c>
      <c r="F846" s="7">
        <v>488651.55</v>
      </c>
      <c r="G846" s="13">
        <v>3</v>
      </c>
      <c r="H846" s="15">
        <f t="shared" si="37"/>
        <v>1465954.65</v>
      </c>
      <c r="I846" s="7">
        <f t="shared" si="38"/>
        <v>263871.837</v>
      </c>
      <c r="J846" s="7">
        <f t="shared" si="39"/>
        <v>1729826.487</v>
      </c>
    </row>
    <row r="847" spans="1:10" ht="15" customHeight="1" x14ac:dyDescent="0.3">
      <c r="A847" s="2">
        <v>831</v>
      </c>
      <c r="B847" s="2" t="s">
        <v>1778</v>
      </c>
      <c r="C847" s="2" t="s">
        <v>1779</v>
      </c>
      <c r="D847" s="2" t="s">
        <v>1779</v>
      </c>
      <c r="E847" s="2" t="s">
        <v>3458</v>
      </c>
      <c r="F847" s="7">
        <v>488651.55</v>
      </c>
      <c r="G847" s="13">
        <v>3</v>
      </c>
      <c r="H847" s="15">
        <f t="shared" si="37"/>
        <v>1465954.65</v>
      </c>
      <c r="I847" s="7">
        <f t="shared" si="38"/>
        <v>263871.837</v>
      </c>
      <c r="J847" s="7">
        <f t="shared" si="39"/>
        <v>1729826.487</v>
      </c>
    </row>
    <row r="848" spans="1:10" ht="15" customHeight="1" x14ac:dyDescent="0.3">
      <c r="A848" s="2">
        <v>832</v>
      </c>
      <c r="B848" s="2" t="s">
        <v>2079</v>
      </c>
      <c r="C848" s="2" t="s">
        <v>2080</v>
      </c>
      <c r="D848" s="2" t="s">
        <v>2080</v>
      </c>
      <c r="E848" s="2" t="s">
        <v>3458</v>
      </c>
      <c r="F848" s="7">
        <v>488651.55</v>
      </c>
      <c r="G848" s="13">
        <v>3</v>
      </c>
      <c r="H848" s="15">
        <f t="shared" ref="H848:H911" si="40">+F848*G848</f>
        <v>1465954.65</v>
      </c>
      <c r="I848" s="7">
        <f t="shared" ref="I848:I911" si="41">+H848*0.18</f>
        <v>263871.837</v>
      </c>
      <c r="J848" s="7">
        <f t="shared" si="39"/>
        <v>1729826.487</v>
      </c>
    </row>
    <row r="849" spans="1:10" ht="15" customHeight="1" x14ac:dyDescent="0.3">
      <c r="A849" s="2">
        <v>833</v>
      </c>
      <c r="B849" s="2" t="s">
        <v>2189</v>
      </c>
      <c r="C849" s="2" t="s">
        <v>2190</v>
      </c>
      <c r="D849" s="2" t="s">
        <v>2190</v>
      </c>
      <c r="E849" s="2" t="s">
        <v>3458</v>
      </c>
      <c r="F849" s="7">
        <v>488651.55</v>
      </c>
      <c r="G849" s="13">
        <v>3</v>
      </c>
      <c r="H849" s="15">
        <f t="shared" si="40"/>
        <v>1465954.65</v>
      </c>
      <c r="I849" s="7">
        <f t="shared" si="41"/>
        <v>263871.837</v>
      </c>
      <c r="J849" s="7">
        <f t="shared" si="39"/>
        <v>1729826.487</v>
      </c>
    </row>
    <row r="850" spans="1:10" ht="15" customHeight="1" x14ac:dyDescent="0.3">
      <c r="A850" s="2">
        <v>834</v>
      </c>
      <c r="B850" s="2" t="s">
        <v>1848</v>
      </c>
      <c r="C850" s="2" t="s">
        <v>1849</v>
      </c>
      <c r="D850" s="2" t="s">
        <v>1849</v>
      </c>
      <c r="E850" s="2" t="s">
        <v>3458</v>
      </c>
      <c r="F850" s="7">
        <v>488651.55</v>
      </c>
      <c r="G850" s="13">
        <v>3</v>
      </c>
      <c r="H850" s="15">
        <f t="shared" si="40"/>
        <v>1465954.65</v>
      </c>
      <c r="I850" s="7">
        <f t="shared" si="41"/>
        <v>263871.837</v>
      </c>
      <c r="J850" s="7">
        <f t="shared" si="39"/>
        <v>1729826.487</v>
      </c>
    </row>
    <row r="851" spans="1:10" ht="15" customHeight="1" x14ac:dyDescent="0.3">
      <c r="A851" s="2">
        <v>835</v>
      </c>
      <c r="B851" s="2" t="s">
        <v>1643</v>
      </c>
      <c r="C851" s="2" t="s">
        <v>1644</v>
      </c>
      <c r="D851" s="2" t="s">
        <v>1644</v>
      </c>
      <c r="E851" s="2" t="s">
        <v>3458</v>
      </c>
      <c r="F851" s="7">
        <v>488651.55</v>
      </c>
      <c r="G851" s="13">
        <v>3</v>
      </c>
      <c r="H851" s="15">
        <f t="shared" si="40"/>
        <v>1465954.65</v>
      </c>
      <c r="I851" s="7">
        <f t="shared" si="41"/>
        <v>263871.837</v>
      </c>
      <c r="J851" s="7">
        <f t="shared" si="39"/>
        <v>1729826.487</v>
      </c>
    </row>
    <row r="852" spans="1:10" ht="15" customHeight="1" x14ac:dyDescent="0.3">
      <c r="A852" s="2">
        <v>836</v>
      </c>
      <c r="B852" s="2" t="s">
        <v>2024</v>
      </c>
      <c r="C852" s="2" t="s">
        <v>2025</v>
      </c>
      <c r="D852" s="2" t="s">
        <v>2025</v>
      </c>
      <c r="E852" s="2" t="s">
        <v>3458</v>
      </c>
      <c r="F852" s="7">
        <v>488651.55</v>
      </c>
      <c r="G852" s="13">
        <v>3</v>
      </c>
      <c r="H852" s="15">
        <f t="shared" si="40"/>
        <v>1465954.65</v>
      </c>
      <c r="I852" s="7">
        <f t="shared" si="41"/>
        <v>263871.837</v>
      </c>
      <c r="J852" s="7">
        <f t="shared" si="39"/>
        <v>1729826.487</v>
      </c>
    </row>
    <row r="853" spans="1:10" ht="15" customHeight="1" x14ac:dyDescent="0.3">
      <c r="A853" s="2">
        <v>837</v>
      </c>
      <c r="B853" s="2" t="s">
        <v>1645</v>
      </c>
      <c r="C853" s="2" t="s">
        <v>1646</v>
      </c>
      <c r="D853" s="2" t="s">
        <v>1646</v>
      </c>
      <c r="E853" s="2" t="s">
        <v>3458</v>
      </c>
      <c r="F853" s="7">
        <v>488651.55</v>
      </c>
      <c r="G853" s="13">
        <v>3</v>
      </c>
      <c r="H853" s="15">
        <f t="shared" si="40"/>
        <v>1465954.65</v>
      </c>
      <c r="I853" s="7">
        <f t="shared" si="41"/>
        <v>263871.837</v>
      </c>
      <c r="J853" s="7">
        <f t="shared" si="39"/>
        <v>1729826.487</v>
      </c>
    </row>
    <row r="854" spans="1:10" ht="15" customHeight="1" x14ac:dyDescent="0.3">
      <c r="A854" s="2">
        <v>838</v>
      </c>
      <c r="B854" s="2" t="s">
        <v>3896</v>
      </c>
      <c r="C854" s="2" t="s">
        <v>4395</v>
      </c>
      <c r="D854" s="2" t="s">
        <v>4395</v>
      </c>
      <c r="E854" s="2" t="s">
        <v>3458</v>
      </c>
      <c r="F854" s="7">
        <v>488651.55</v>
      </c>
      <c r="G854" s="13">
        <v>3</v>
      </c>
      <c r="H854" s="15">
        <f t="shared" si="40"/>
        <v>1465954.65</v>
      </c>
      <c r="I854" s="7">
        <f t="shared" si="41"/>
        <v>263871.837</v>
      </c>
      <c r="J854" s="7">
        <f t="shared" si="39"/>
        <v>1729826.487</v>
      </c>
    </row>
    <row r="855" spans="1:10" ht="15" customHeight="1" x14ac:dyDescent="0.3">
      <c r="A855" s="2">
        <v>839</v>
      </c>
      <c r="B855" s="2" t="s">
        <v>3897</v>
      </c>
      <c r="C855" s="2" t="s">
        <v>4396</v>
      </c>
      <c r="D855" s="2" t="s">
        <v>4396</v>
      </c>
      <c r="E855" s="2" t="s">
        <v>3458</v>
      </c>
      <c r="F855" s="7">
        <v>488651.55</v>
      </c>
      <c r="G855" s="13">
        <v>3</v>
      </c>
      <c r="H855" s="15">
        <f t="shared" si="40"/>
        <v>1465954.65</v>
      </c>
      <c r="I855" s="7">
        <f t="shared" si="41"/>
        <v>263871.837</v>
      </c>
      <c r="J855" s="7">
        <f t="shared" si="39"/>
        <v>1729826.487</v>
      </c>
    </row>
    <row r="856" spans="1:10" ht="15" customHeight="1" x14ac:dyDescent="0.3">
      <c r="A856" s="2">
        <v>840</v>
      </c>
      <c r="B856" s="2" t="s">
        <v>1597</v>
      </c>
      <c r="C856" s="2" t="s">
        <v>1598</v>
      </c>
      <c r="D856" s="2" t="s">
        <v>1598</v>
      </c>
      <c r="E856" s="2" t="s">
        <v>3458</v>
      </c>
      <c r="F856" s="7">
        <v>488651.55</v>
      </c>
      <c r="G856" s="13">
        <v>3</v>
      </c>
      <c r="H856" s="15">
        <f t="shared" si="40"/>
        <v>1465954.65</v>
      </c>
      <c r="I856" s="7">
        <f t="shared" si="41"/>
        <v>263871.837</v>
      </c>
      <c r="J856" s="7">
        <f t="shared" si="39"/>
        <v>1729826.487</v>
      </c>
    </row>
    <row r="857" spans="1:10" ht="15" customHeight="1" x14ac:dyDescent="0.3">
      <c r="A857" s="2">
        <v>841</v>
      </c>
      <c r="B857" s="2" t="s">
        <v>1200</v>
      </c>
      <c r="C857" s="2" t="s">
        <v>1201</v>
      </c>
      <c r="D857" s="2" t="s">
        <v>1201</v>
      </c>
      <c r="E857" s="2" t="s">
        <v>3458</v>
      </c>
      <c r="F857" s="7">
        <v>488651.55</v>
      </c>
      <c r="G857" s="13">
        <v>3</v>
      </c>
      <c r="H857" s="15">
        <f t="shared" si="40"/>
        <v>1465954.65</v>
      </c>
      <c r="I857" s="7">
        <f t="shared" si="41"/>
        <v>263871.837</v>
      </c>
      <c r="J857" s="7">
        <f t="shared" si="39"/>
        <v>1729826.487</v>
      </c>
    </row>
    <row r="858" spans="1:10" ht="15" customHeight="1" x14ac:dyDescent="0.3">
      <c r="A858" s="2">
        <v>842</v>
      </c>
      <c r="B858" s="2" t="s">
        <v>3898</v>
      </c>
      <c r="C858" s="2" t="s">
        <v>4397</v>
      </c>
      <c r="D858" s="2" t="s">
        <v>4397</v>
      </c>
      <c r="E858" s="2" t="s">
        <v>3458</v>
      </c>
      <c r="F858" s="7">
        <v>488651.55</v>
      </c>
      <c r="G858" s="13">
        <v>3</v>
      </c>
      <c r="H858" s="15">
        <f t="shared" si="40"/>
        <v>1465954.65</v>
      </c>
      <c r="I858" s="7">
        <f t="shared" si="41"/>
        <v>263871.837</v>
      </c>
      <c r="J858" s="7">
        <f t="shared" si="39"/>
        <v>1729826.487</v>
      </c>
    </row>
    <row r="859" spans="1:10" ht="15" customHeight="1" x14ac:dyDescent="0.3">
      <c r="A859" s="2">
        <v>843</v>
      </c>
      <c r="B859" s="2" t="s">
        <v>1978</v>
      </c>
      <c r="C859" s="2" t="s">
        <v>1979</v>
      </c>
      <c r="D859" s="2" t="s">
        <v>1979</v>
      </c>
      <c r="E859" s="2" t="s">
        <v>3458</v>
      </c>
      <c r="F859" s="7">
        <v>488651.55</v>
      </c>
      <c r="G859" s="13">
        <v>3</v>
      </c>
      <c r="H859" s="15">
        <f t="shared" si="40"/>
        <v>1465954.65</v>
      </c>
      <c r="I859" s="7">
        <f t="shared" si="41"/>
        <v>263871.837</v>
      </c>
      <c r="J859" s="7">
        <f t="shared" si="39"/>
        <v>1729826.487</v>
      </c>
    </row>
    <row r="860" spans="1:10" ht="15" customHeight="1" x14ac:dyDescent="0.3">
      <c r="A860" s="2">
        <v>844</v>
      </c>
      <c r="B860" s="2" t="s">
        <v>1525</v>
      </c>
      <c r="C860" s="2" t="s">
        <v>1526</v>
      </c>
      <c r="D860" s="2" t="s">
        <v>1526</v>
      </c>
      <c r="E860" s="2" t="s">
        <v>3458</v>
      </c>
      <c r="F860" s="7">
        <v>488651.55</v>
      </c>
      <c r="G860" s="13">
        <v>3</v>
      </c>
      <c r="H860" s="15">
        <f t="shared" si="40"/>
        <v>1465954.65</v>
      </c>
      <c r="I860" s="7">
        <f t="shared" si="41"/>
        <v>263871.837</v>
      </c>
      <c r="J860" s="7">
        <f t="shared" si="39"/>
        <v>1729826.487</v>
      </c>
    </row>
    <row r="861" spans="1:10" ht="15" customHeight="1" x14ac:dyDescent="0.3">
      <c r="A861" s="2">
        <v>845</v>
      </c>
      <c r="B861" s="2" t="s">
        <v>2000</v>
      </c>
      <c r="C861" s="2" t="s">
        <v>2001</v>
      </c>
      <c r="D861" s="2" t="s">
        <v>2001</v>
      </c>
      <c r="E861" s="2" t="s">
        <v>3458</v>
      </c>
      <c r="F861" s="7">
        <v>488651.55</v>
      </c>
      <c r="G861" s="13">
        <v>3</v>
      </c>
      <c r="H861" s="15">
        <f t="shared" si="40"/>
        <v>1465954.65</v>
      </c>
      <c r="I861" s="7">
        <f t="shared" si="41"/>
        <v>263871.837</v>
      </c>
      <c r="J861" s="7">
        <f t="shared" si="39"/>
        <v>1729826.487</v>
      </c>
    </row>
    <row r="862" spans="1:10" ht="15" customHeight="1" x14ac:dyDescent="0.3">
      <c r="A862" s="2">
        <v>846</v>
      </c>
      <c r="B862" s="2" t="s">
        <v>1243</v>
      </c>
      <c r="C862" s="2" t="s">
        <v>1244</v>
      </c>
      <c r="D862" s="2" t="s">
        <v>1244</v>
      </c>
      <c r="E862" s="2" t="s">
        <v>3458</v>
      </c>
      <c r="F862" s="7">
        <v>488651.55</v>
      </c>
      <c r="G862" s="13">
        <v>3</v>
      </c>
      <c r="H862" s="15">
        <f t="shared" si="40"/>
        <v>1465954.65</v>
      </c>
      <c r="I862" s="7">
        <f t="shared" si="41"/>
        <v>263871.837</v>
      </c>
      <c r="J862" s="7">
        <f t="shared" si="39"/>
        <v>1729826.487</v>
      </c>
    </row>
    <row r="863" spans="1:10" ht="15" customHeight="1" x14ac:dyDescent="0.3">
      <c r="A863" s="2">
        <v>847</v>
      </c>
      <c r="B863" s="2" t="s">
        <v>3899</v>
      </c>
      <c r="C863" s="2" t="s">
        <v>4398</v>
      </c>
      <c r="D863" s="2" t="s">
        <v>4398</v>
      </c>
      <c r="E863" s="2" t="s">
        <v>3458</v>
      </c>
      <c r="F863" s="7">
        <v>488651.55</v>
      </c>
      <c r="G863" s="13">
        <v>3</v>
      </c>
      <c r="H863" s="15">
        <f t="shared" si="40"/>
        <v>1465954.65</v>
      </c>
      <c r="I863" s="7">
        <f t="shared" si="41"/>
        <v>263871.837</v>
      </c>
      <c r="J863" s="7">
        <f t="shared" si="39"/>
        <v>1729826.487</v>
      </c>
    </row>
    <row r="864" spans="1:10" ht="15" customHeight="1" x14ac:dyDescent="0.3">
      <c r="A864" s="2">
        <v>848</v>
      </c>
      <c r="B864" s="2" t="s">
        <v>1493</v>
      </c>
      <c r="C864" s="2" t="s">
        <v>1494</v>
      </c>
      <c r="D864" s="2" t="s">
        <v>1494</v>
      </c>
      <c r="E864" s="2" t="s">
        <v>3458</v>
      </c>
      <c r="F864" s="7">
        <v>488651.55</v>
      </c>
      <c r="G864" s="13">
        <v>3</v>
      </c>
      <c r="H864" s="15">
        <f t="shared" si="40"/>
        <v>1465954.65</v>
      </c>
      <c r="I864" s="7">
        <f t="shared" si="41"/>
        <v>263871.837</v>
      </c>
      <c r="J864" s="7">
        <f t="shared" si="39"/>
        <v>1729826.487</v>
      </c>
    </row>
    <row r="865" spans="1:10" ht="15" customHeight="1" x14ac:dyDescent="0.3">
      <c r="A865" s="2">
        <v>849</v>
      </c>
      <c r="B865" s="2" t="s">
        <v>1521</v>
      </c>
      <c r="C865" s="2" t="s">
        <v>1522</v>
      </c>
      <c r="D865" s="2" t="s">
        <v>1522</v>
      </c>
      <c r="E865" s="2" t="s">
        <v>3458</v>
      </c>
      <c r="F865" s="7">
        <v>488651.55</v>
      </c>
      <c r="G865" s="13">
        <v>3</v>
      </c>
      <c r="H865" s="15">
        <f t="shared" si="40"/>
        <v>1465954.65</v>
      </c>
      <c r="I865" s="7">
        <f t="shared" si="41"/>
        <v>263871.837</v>
      </c>
      <c r="J865" s="7">
        <f t="shared" si="39"/>
        <v>1729826.487</v>
      </c>
    </row>
    <row r="866" spans="1:10" ht="15" customHeight="1" x14ac:dyDescent="0.3">
      <c r="A866" s="2">
        <v>850</v>
      </c>
      <c r="B866" s="2" t="s">
        <v>1934</v>
      </c>
      <c r="C866" s="2" t="s">
        <v>1935</v>
      </c>
      <c r="D866" s="2" t="s">
        <v>1935</v>
      </c>
      <c r="E866" s="2" t="s">
        <v>3458</v>
      </c>
      <c r="F866" s="7">
        <v>488651.55</v>
      </c>
      <c r="G866" s="13">
        <v>3</v>
      </c>
      <c r="H866" s="15">
        <f t="shared" si="40"/>
        <v>1465954.65</v>
      </c>
      <c r="I866" s="7">
        <f t="shared" si="41"/>
        <v>263871.837</v>
      </c>
      <c r="J866" s="7">
        <f t="shared" si="39"/>
        <v>1729826.487</v>
      </c>
    </row>
    <row r="867" spans="1:10" ht="15" customHeight="1" x14ac:dyDescent="0.3">
      <c r="A867" s="2">
        <v>851</v>
      </c>
      <c r="B867" s="2" t="s">
        <v>1108</v>
      </c>
      <c r="C867" s="2" t="s">
        <v>1109</v>
      </c>
      <c r="D867" s="2" t="s">
        <v>1109</v>
      </c>
      <c r="E867" s="2" t="s">
        <v>3458</v>
      </c>
      <c r="F867" s="7">
        <v>488651.55</v>
      </c>
      <c r="G867" s="13">
        <v>3</v>
      </c>
      <c r="H867" s="15">
        <f t="shared" si="40"/>
        <v>1465954.65</v>
      </c>
      <c r="I867" s="7">
        <f t="shared" si="41"/>
        <v>263871.837</v>
      </c>
      <c r="J867" s="7">
        <f t="shared" si="39"/>
        <v>1729826.487</v>
      </c>
    </row>
    <row r="868" spans="1:10" ht="15" customHeight="1" x14ac:dyDescent="0.3">
      <c r="A868" s="2">
        <v>852</v>
      </c>
      <c r="B868" s="2" t="s">
        <v>3900</v>
      </c>
      <c r="C868" s="2" t="s">
        <v>4399</v>
      </c>
      <c r="D868" s="2" t="s">
        <v>4399</v>
      </c>
      <c r="E868" s="2" t="s">
        <v>3458</v>
      </c>
      <c r="F868" s="7">
        <v>488651.55</v>
      </c>
      <c r="G868" s="13">
        <v>3</v>
      </c>
      <c r="H868" s="15">
        <f t="shared" si="40"/>
        <v>1465954.65</v>
      </c>
      <c r="I868" s="7">
        <f t="shared" si="41"/>
        <v>263871.837</v>
      </c>
      <c r="J868" s="7">
        <f t="shared" si="39"/>
        <v>1729826.487</v>
      </c>
    </row>
    <row r="869" spans="1:10" ht="15" customHeight="1" x14ac:dyDescent="0.3">
      <c r="A869" s="2">
        <v>853</v>
      </c>
      <c r="B869" s="2" t="s">
        <v>3901</v>
      </c>
      <c r="C869" s="2" t="s">
        <v>4400</v>
      </c>
      <c r="D869" s="2" t="s">
        <v>4400</v>
      </c>
      <c r="E869" s="2" t="s">
        <v>3458</v>
      </c>
      <c r="F869" s="7">
        <v>488651.55</v>
      </c>
      <c r="G869" s="13">
        <v>3</v>
      </c>
      <c r="H869" s="15">
        <f t="shared" si="40"/>
        <v>1465954.65</v>
      </c>
      <c r="I869" s="7">
        <f t="shared" si="41"/>
        <v>263871.837</v>
      </c>
      <c r="J869" s="7">
        <f t="shared" si="39"/>
        <v>1729826.487</v>
      </c>
    </row>
    <row r="870" spans="1:10" ht="15" customHeight="1" x14ac:dyDescent="0.3">
      <c r="A870" s="2">
        <v>854</v>
      </c>
      <c r="B870" s="2" t="s">
        <v>3902</v>
      </c>
      <c r="C870" s="2" t="s">
        <v>4401</v>
      </c>
      <c r="D870" s="2" t="s">
        <v>4401</v>
      </c>
      <c r="E870" s="2" t="s">
        <v>3458</v>
      </c>
      <c r="F870" s="7">
        <v>488651.55</v>
      </c>
      <c r="G870" s="13">
        <v>3</v>
      </c>
      <c r="H870" s="15">
        <f t="shared" si="40"/>
        <v>1465954.65</v>
      </c>
      <c r="I870" s="7">
        <f t="shared" si="41"/>
        <v>263871.837</v>
      </c>
      <c r="J870" s="7">
        <f t="shared" si="39"/>
        <v>1729826.487</v>
      </c>
    </row>
    <row r="871" spans="1:10" ht="15" customHeight="1" x14ac:dyDescent="0.3">
      <c r="A871" s="2">
        <v>855</v>
      </c>
      <c r="B871" s="2" t="s">
        <v>1942</v>
      </c>
      <c r="C871" s="2" t="s">
        <v>1943</v>
      </c>
      <c r="D871" s="2" t="s">
        <v>1943</v>
      </c>
      <c r="E871" s="2" t="s">
        <v>3458</v>
      </c>
      <c r="F871" s="7">
        <v>488651.55</v>
      </c>
      <c r="G871" s="13">
        <v>3</v>
      </c>
      <c r="H871" s="15">
        <f t="shared" si="40"/>
        <v>1465954.65</v>
      </c>
      <c r="I871" s="7">
        <f t="shared" si="41"/>
        <v>263871.837</v>
      </c>
      <c r="J871" s="7">
        <f t="shared" si="39"/>
        <v>1729826.487</v>
      </c>
    </row>
    <row r="872" spans="1:10" x14ac:dyDescent="0.3">
      <c r="A872" s="2">
        <v>856</v>
      </c>
      <c r="B872" s="2" t="s">
        <v>2012</v>
      </c>
      <c r="C872" s="2" t="s">
        <v>2013</v>
      </c>
      <c r="D872" s="2" t="s">
        <v>2013</v>
      </c>
      <c r="E872" s="2" t="s">
        <v>3458</v>
      </c>
      <c r="F872" s="7">
        <v>488651.55</v>
      </c>
      <c r="G872" s="13">
        <v>3</v>
      </c>
      <c r="H872" s="15">
        <f t="shared" si="40"/>
        <v>1465954.65</v>
      </c>
      <c r="I872" s="7">
        <f t="shared" si="41"/>
        <v>263871.837</v>
      </c>
      <c r="J872" s="7">
        <f t="shared" si="39"/>
        <v>1729826.487</v>
      </c>
    </row>
    <row r="873" spans="1:10" x14ac:dyDescent="0.3">
      <c r="A873" s="2">
        <v>857</v>
      </c>
      <c r="B873" s="2" t="s">
        <v>3903</v>
      </c>
      <c r="C873" s="2" t="s">
        <v>4402</v>
      </c>
      <c r="D873" s="2" t="s">
        <v>4402</v>
      </c>
      <c r="E873" s="2" t="s">
        <v>3458</v>
      </c>
      <c r="F873" s="7">
        <v>488651.55</v>
      </c>
      <c r="G873" s="13">
        <v>3</v>
      </c>
      <c r="H873" s="15">
        <f t="shared" si="40"/>
        <v>1465954.65</v>
      </c>
      <c r="I873" s="7">
        <f t="shared" si="41"/>
        <v>263871.837</v>
      </c>
      <c r="J873" s="7">
        <f t="shared" si="39"/>
        <v>1729826.487</v>
      </c>
    </row>
    <row r="874" spans="1:10" x14ac:dyDescent="0.3">
      <c r="A874" s="2">
        <v>858</v>
      </c>
      <c r="B874" s="2" t="s">
        <v>1946</v>
      </c>
      <c r="C874" s="2" t="s">
        <v>1947</v>
      </c>
      <c r="D874" s="2" t="s">
        <v>1947</v>
      </c>
      <c r="E874" s="2" t="s">
        <v>3458</v>
      </c>
      <c r="F874" s="7">
        <v>488651.55</v>
      </c>
      <c r="G874" s="13">
        <v>3</v>
      </c>
      <c r="H874" s="15">
        <f t="shared" si="40"/>
        <v>1465954.65</v>
      </c>
      <c r="I874" s="7">
        <f t="shared" si="41"/>
        <v>263871.837</v>
      </c>
      <c r="J874" s="7">
        <f t="shared" si="39"/>
        <v>1729826.487</v>
      </c>
    </row>
    <row r="875" spans="1:10" x14ac:dyDescent="0.3">
      <c r="A875" s="2">
        <v>859</v>
      </c>
      <c r="B875" s="2" t="s">
        <v>3904</v>
      </c>
      <c r="C875" s="2" t="s">
        <v>4403</v>
      </c>
      <c r="D875" s="2" t="s">
        <v>4403</v>
      </c>
      <c r="E875" s="2" t="s">
        <v>3458</v>
      </c>
      <c r="F875" s="7">
        <v>488651.55</v>
      </c>
      <c r="G875" s="13">
        <v>3</v>
      </c>
      <c r="H875" s="15">
        <f t="shared" si="40"/>
        <v>1465954.65</v>
      </c>
      <c r="I875" s="7">
        <f t="shared" si="41"/>
        <v>263871.837</v>
      </c>
      <c r="J875" s="7">
        <f t="shared" si="39"/>
        <v>1729826.487</v>
      </c>
    </row>
    <row r="876" spans="1:10" x14ac:dyDescent="0.3">
      <c r="A876" s="2">
        <v>860</v>
      </c>
      <c r="B876" s="2" t="s">
        <v>3905</v>
      </c>
      <c r="C876" s="2" t="s">
        <v>4404</v>
      </c>
      <c r="D876" s="2" t="s">
        <v>4404</v>
      </c>
      <c r="E876" s="2" t="s">
        <v>3458</v>
      </c>
      <c r="F876" s="7">
        <v>488651.55</v>
      </c>
      <c r="G876" s="13">
        <v>3</v>
      </c>
      <c r="H876" s="15">
        <f t="shared" si="40"/>
        <v>1465954.65</v>
      </c>
      <c r="I876" s="7">
        <f t="shared" si="41"/>
        <v>263871.837</v>
      </c>
      <c r="J876" s="7">
        <f t="shared" si="39"/>
        <v>1729826.487</v>
      </c>
    </row>
    <row r="877" spans="1:10" x14ac:dyDescent="0.3">
      <c r="A877" s="2">
        <v>861</v>
      </c>
      <c r="B877" s="2" t="s">
        <v>3906</v>
      </c>
      <c r="C877" s="2" t="s">
        <v>4405</v>
      </c>
      <c r="D877" s="2" t="s">
        <v>4405</v>
      </c>
      <c r="E877" s="2" t="s">
        <v>3458</v>
      </c>
      <c r="F877" s="7">
        <v>488651.55</v>
      </c>
      <c r="G877" s="13">
        <v>3</v>
      </c>
      <c r="H877" s="15">
        <f t="shared" si="40"/>
        <v>1465954.65</v>
      </c>
      <c r="I877" s="7">
        <f t="shared" si="41"/>
        <v>263871.837</v>
      </c>
      <c r="J877" s="7">
        <f t="shared" si="39"/>
        <v>1729826.487</v>
      </c>
    </row>
    <row r="878" spans="1:10" x14ac:dyDescent="0.3">
      <c r="A878" s="2">
        <v>862</v>
      </c>
      <c r="B878" s="2" t="s">
        <v>1886</v>
      </c>
      <c r="C878" s="2" t="s">
        <v>1887</v>
      </c>
      <c r="D878" s="2" t="s">
        <v>1887</v>
      </c>
      <c r="E878" s="2" t="s">
        <v>3458</v>
      </c>
      <c r="F878" s="7">
        <v>488651.55</v>
      </c>
      <c r="G878" s="13">
        <v>3</v>
      </c>
      <c r="H878" s="15">
        <f t="shared" si="40"/>
        <v>1465954.65</v>
      </c>
      <c r="I878" s="7">
        <f t="shared" si="41"/>
        <v>263871.837</v>
      </c>
      <c r="J878" s="7">
        <f t="shared" si="39"/>
        <v>1729826.487</v>
      </c>
    </row>
    <row r="879" spans="1:10" x14ac:dyDescent="0.3">
      <c r="A879" s="2">
        <v>863</v>
      </c>
      <c r="B879" s="2" t="s">
        <v>3907</v>
      </c>
      <c r="C879" s="2" t="s">
        <v>4406</v>
      </c>
      <c r="D879" s="2" t="s">
        <v>4406</v>
      </c>
      <c r="E879" s="2" t="s">
        <v>3458</v>
      </c>
      <c r="F879" s="7">
        <v>488651.55</v>
      </c>
      <c r="G879" s="13">
        <v>3</v>
      </c>
      <c r="H879" s="15">
        <f t="shared" si="40"/>
        <v>1465954.65</v>
      </c>
      <c r="I879" s="7">
        <f t="shared" si="41"/>
        <v>263871.837</v>
      </c>
      <c r="J879" s="7">
        <f t="shared" si="39"/>
        <v>1729826.487</v>
      </c>
    </row>
    <row r="880" spans="1:10" x14ac:dyDescent="0.3">
      <c r="A880" s="2">
        <v>864</v>
      </c>
      <c r="B880" s="2" t="s">
        <v>3908</v>
      </c>
      <c r="C880" s="2" t="s">
        <v>4407</v>
      </c>
      <c r="D880" s="2" t="s">
        <v>4407</v>
      </c>
      <c r="E880" s="2" t="s">
        <v>3458</v>
      </c>
      <c r="F880" s="7">
        <v>488651.55</v>
      </c>
      <c r="G880" s="13">
        <v>3</v>
      </c>
      <c r="H880" s="15">
        <f t="shared" si="40"/>
        <v>1465954.65</v>
      </c>
      <c r="I880" s="7">
        <f t="shared" si="41"/>
        <v>263871.837</v>
      </c>
      <c r="J880" s="7">
        <f t="shared" si="39"/>
        <v>1729826.487</v>
      </c>
    </row>
    <row r="881" spans="1:10" x14ac:dyDescent="0.3">
      <c r="A881" s="2">
        <v>865</v>
      </c>
      <c r="B881" s="2" t="s">
        <v>3909</v>
      </c>
      <c r="C881" s="2" t="s">
        <v>4408</v>
      </c>
      <c r="D881" s="2" t="s">
        <v>4408</v>
      </c>
      <c r="E881" s="2" t="s">
        <v>3458</v>
      </c>
      <c r="F881" s="7">
        <v>488651.55</v>
      </c>
      <c r="G881" s="13">
        <v>3</v>
      </c>
      <c r="H881" s="15">
        <f t="shared" si="40"/>
        <v>1465954.65</v>
      </c>
      <c r="I881" s="7">
        <f t="shared" si="41"/>
        <v>263871.837</v>
      </c>
      <c r="J881" s="7">
        <f t="shared" si="39"/>
        <v>1729826.487</v>
      </c>
    </row>
    <row r="882" spans="1:10" x14ac:dyDescent="0.3">
      <c r="A882" s="2">
        <v>866</v>
      </c>
      <c r="B882" s="2" t="s">
        <v>2207</v>
      </c>
      <c r="C882" s="2" t="s">
        <v>2208</v>
      </c>
      <c r="D882" s="2" t="s">
        <v>2208</v>
      </c>
      <c r="E882" s="2" t="s">
        <v>3458</v>
      </c>
      <c r="F882" s="7">
        <v>488651.55</v>
      </c>
      <c r="G882" s="13">
        <v>3</v>
      </c>
      <c r="H882" s="15">
        <f t="shared" si="40"/>
        <v>1465954.65</v>
      </c>
      <c r="I882" s="7">
        <f t="shared" si="41"/>
        <v>263871.837</v>
      </c>
      <c r="J882" s="7">
        <f t="shared" si="39"/>
        <v>1729826.487</v>
      </c>
    </row>
    <row r="883" spans="1:10" x14ac:dyDescent="0.3">
      <c r="A883" s="2">
        <v>867</v>
      </c>
      <c r="B883" s="2" t="s">
        <v>3910</v>
      </c>
      <c r="C883" s="2" t="s">
        <v>4409</v>
      </c>
      <c r="D883" s="2" t="s">
        <v>4409</v>
      </c>
      <c r="E883" s="2" t="s">
        <v>3458</v>
      </c>
      <c r="F883" s="7">
        <v>488651.55</v>
      </c>
      <c r="G883" s="13">
        <v>3</v>
      </c>
      <c r="H883" s="15">
        <f t="shared" si="40"/>
        <v>1465954.65</v>
      </c>
      <c r="I883" s="7">
        <f t="shared" si="41"/>
        <v>263871.837</v>
      </c>
      <c r="J883" s="7">
        <f t="shared" si="39"/>
        <v>1729826.487</v>
      </c>
    </row>
    <row r="884" spans="1:10" x14ac:dyDescent="0.3">
      <c r="A884" s="2">
        <v>868</v>
      </c>
      <c r="B884" s="2" t="s">
        <v>1369</v>
      </c>
      <c r="C884" s="2" t="s">
        <v>1370</v>
      </c>
      <c r="D884" s="2" t="s">
        <v>1370</v>
      </c>
      <c r="E884" s="2" t="s">
        <v>3458</v>
      </c>
      <c r="F884" s="7">
        <v>488651.55</v>
      </c>
      <c r="G884" s="13">
        <v>3</v>
      </c>
      <c r="H884" s="15">
        <f t="shared" si="40"/>
        <v>1465954.65</v>
      </c>
      <c r="I884" s="7">
        <f t="shared" si="41"/>
        <v>263871.837</v>
      </c>
      <c r="J884" s="7">
        <f t="shared" si="39"/>
        <v>1729826.487</v>
      </c>
    </row>
    <row r="885" spans="1:10" x14ac:dyDescent="0.3">
      <c r="A885" s="2">
        <v>869</v>
      </c>
      <c r="B885" s="2" t="s">
        <v>575</v>
      </c>
      <c r="C885" s="2" t="s">
        <v>576</v>
      </c>
      <c r="D885" s="2" t="s">
        <v>576</v>
      </c>
      <c r="E885" s="2" t="s">
        <v>3458</v>
      </c>
      <c r="F885" s="7">
        <v>488651.55</v>
      </c>
      <c r="G885" s="13">
        <v>3</v>
      </c>
      <c r="H885" s="15">
        <f t="shared" si="40"/>
        <v>1465954.65</v>
      </c>
      <c r="I885" s="7">
        <f t="shared" si="41"/>
        <v>263871.837</v>
      </c>
      <c r="J885" s="7">
        <f t="shared" si="39"/>
        <v>1729826.487</v>
      </c>
    </row>
    <row r="886" spans="1:10" x14ac:dyDescent="0.3">
      <c r="A886" s="2">
        <v>870</v>
      </c>
      <c r="B886" s="2" t="s">
        <v>3911</v>
      </c>
      <c r="C886" s="2" t="s">
        <v>4410</v>
      </c>
      <c r="D886" s="2" t="s">
        <v>4410</v>
      </c>
      <c r="E886" s="2" t="s">
        <v>3458</v>
      </c>
      <c r="F886" s="7">
        <v>488651.55</v>
      </c>
      <c r="G886" s="13">
        <v>3</v>
      </c>
      <c r="H886" s="15">
        <f t="shared" si="40"/>
        <v>1465954.65</v>
      </c>
      <c r="I886" s="7">
        <f t="shared" si="41"/>
        <v>263871.837</v>
      </c>
      <c r="J886" s="7">
        <f t="shared" si="39"/>
        <v>1729826.487</v>
      </c>
    </row>
    <row r="887" spans="1:10" x14ac:dyDescent="0.3">
      <c r="A887" s="2">
        <v>871</v>
      </c>
      <c r="B887" s="2" t="s">
        <v>3912</v>
      </c>
      <c r="C887" s="2" t="s">
        <v>4411</v>
      </c>
      <c r="D887" s="2" t="s">
        <v>4411</v>
      </c>
      <c r="E887" s="2" t="s">
        <v>3458</v>
      </c>
      <c r="F887" s="7">
        <v>488651.55</v>
      </c>
      <c r="G887" s="13">
        <v>3</v>
      </c>
      <c r="H887" s="15">
        <f t="shared" si="40"/>
        <v>1465954.65</v>
      </c>
      <c r="I887" s="7">
        <f t="shared" si="41"/>
        <v>263871.837</v>
      </c>
      <c r="J887" s="7">
        <f t="shared" si="39"/>
        <v>1729826.487</v>
      </c>
    </row>
    <row r="888" spans="1:10" x14ac:dyDescent="0.3">
      <c r="A888" s="2">
        <v>872</v>
      </c>
      <c r="B888" s="2" t="s">
        <v>1182</v>
      </c>
      <c r="C888" s="2" t="s">
        <v>1183</v>
      </c>
      <c r="D888" s="2" t="s">
        <v>1183</v>
      </c>
      <c r="E888" s="2" t="s">
        <v>3458</v>
      </c>
      <c r="F888" s="7">
        <v>488651.55</v>
      </c>
      <c r="G888" s="13">
        <v>3</v>
      </c>
      <c r="H888" s="15">
        <f t="shared" si="40"/>
        <v>1465954.65</v>
      </c>
      <c r="I888" s="7">
        <f t="shared" si="41"/>
        <v>263871.837</v>
      </c>
      <c r="J888" s="7">
        <f t="shared" si="39"/>
        <v>1729826.487</v>
      </c>
    </row>
    <row r="889" spans="1:10" x14ac:dyDescent="0.3">
      <c r="A889" s="2">
        <v>873</v>
      </c>
      <c r="B889" s="2" t="s">
        <v>1469</v>
      </c>
      <c r="C889" s="2" t="s">
        <v>1470</v>
      </c>
      <c r="D889" s="2" t="s">
        <v>1470</v>
      </c>
      <c r="E889" s="2" t="s">
        <v>3458</v>
      </c>
      <c r="F889" s="7">
        <v>488651.55</v>
      </c>
      <c r="G889" s="13">
        <v>3</v>
      </c>
      <c r="H889" s="15">
        <f t="shared" si="40"/>
        <v>1465954.65</v>
      </c>
      <c r="I889" s="7">
        <f t="shared" si="41"/>
        <v>263871.837</v>
      </c>
      <c r="J889" s="7">
        <f t="shared" si="39"/>
        <v>1729826.487</v>
      </c>
    </row>
    <row r="890" spans="1:10" x14ac:dyDescent="0.3">
      <c r="A890" s="2">
        <v>874</v>
      </c>
      <c r="B890" s="2" t="s">
        <v>2059</v>
      </c>
      <c r="C890" s="2" t="s">
        <v>2060</v>
      </c>
      <c r="D890" s="2" t="s">
        <v>2060</v>
      </c>
      <c r="E890" s="2" t="s">
        <v>3458</v>
      </c>
      <c r="F890" s="7">
        <v>488651.55</v>
      </c>
      <c r="G890" s="13">
        <v>3</v>
      </c>
      <c r="H890" s="15">
        <f t="shared" si="40"/>
        <v>1465954.65</v>
      </c>
      <c r="I890" s="7">
        <f t="shared" si="41"/>
        <v>263871.837</v>
      </c>
      <c r="J890" s="7">
        <f t="shared" si="39"/>
        <v>1729826.487</v>
      </c>
    </row>
    <row r="891" spans="1:10" x14ac:dyDescent="0.3">
      <c r="A891" s="2">
        <v>875</v>
      </c>
      <c r="B891" s="2" t="s">
        <v>1303</v>
      </c>
      <c r="C891" s="2" t="s">
        <v>1304</v>
      </c>
      <c r="D891" s="2" t="s">
        <v>1304</v>
      </c>
      <c r="E891" s="2" t="s">
        <v>3458</v>
      </c>
      <c r="F891" s="7">
        <v>488651.55</v>
      </c>
      <c r="G891" s="13">
        <v>3</v>
      </c>
      <c r="H891" s="15">
        <f t="shared" si="40"/>
        <v>1465954.65</v>
      </c>
      <c r="I891" s="7">
        <f t="shared" si="41"/>
        <v>263871.837</v>
      </c>
      <c r="J891" s="7">
        <f t="shared" si="39"/>
        <v>1729826.487</v>
      </c>
    </row>
    <row r="892" spans="1:10" x14ac:dyDescent="0.3">
      <c r="A892" s="2">
        <v>876</v>
      </c>
      <c r="B892" s="2" t="s">
        <v>1447</v>
      </c>
      <c r="C892" s="2" t="s">
        <v>1448</v>
      </c>
      <c r="D892" s="2" t="s">
        <v>1448</v>
      </c>
      <c r="E892" s="2" t="s">
        <v>3458</v>
      </c>
      <c r="F892" s="7">
        <v>488651.55</v>
      </c>
      <c r="G892" s="13">
        <v>3</v>
      </c>
      <c r="H892" s="15">
        <f t="shared" si="40"/>
        <v>1465954.65</v>
      </c>
      <c r="I892" s="7">
        <f t="shared" si="41"/>
        <v>263871.837</v>
      </c>
      <c r="J892" s="7">
        <f t="shared" si="39"/>
        <v>1729826.487</v>
      </c>
    </row>
    <row r="893" spans="1:10" x14ac:dyDescent="0.3">
      <c r="A893" s="2">
        <v>877</v>
      </c>
      <c r="B893" s="2" t="s">
        <v>3913</v>
      </c>
      <c r="C893" s="2" t="s">
        <v>4412</v>
      </c>
      <c r="D893" s="2" t="s">
        <v>4412</v>
      </c>
      <c r="E893" s="2" t="s">
        <v>3458</v>
      </c>
      <c r="F893" s="7">
        <v>488651.55</v>
      </c>
      <c r="G893" s="13">
        <v>3</v>
      </c>
      <c r="H893" s="15">
        <f t="shared" si="40"/>
        <v>1465954.65</v>
      </c>
      <c r="I893" s="7">
        <f t="shared" si="41"/>
        <v>263871.837</v>
      </c>
      <c r="J893" s="7">
        <f t="shared" si="39"/>
        <v>1729826.487</v>
      </c>
    </row>
    <row r="894" spans="1:10" x14ac:dyDescent="0.3">
      <c r="A894" s="2">
        <v>878</v>
      </c>
      <c r="B894" s="2" t="s">
        <v>2010</v>
      </c>
      <c r="C894" s="2" t="s">
        <v>2011</v>
      </c>
      <c r="D894" s="2" t="s">
        <v>2011</v>
      </c>
      <c r="E894" s="2" t="s">
        <v>3458</v>
      </c>
      <c r="F894" s="7">
        <v>488651.55</v>
      </c>
      <c r="G894" s="13">
        <v>3</v>
      </c>
      <c r="H894" s="15">
        <f t="shared" si="40"/>
        <v>1465954.65</v>
      </c>
      <c r="I894" s="7">
        <f t="shared" si="41"/>
        <v>263871.837</v>
      </c>
      <c r="J894" s="7">
        <f t="shared" si="39"/>
        <v>1729826.487</v>
      </c>
    </row>
    <row r="895" spans="1:10" x14ac:dyDescent="0.3">
      <c r="A895" s="2">
        <v>879</v>
      </c>
      <c r="B895" s="2" t="s">
        <v>1669</v>
      </c>
      <c r="C895" s="2" t="s">
        <v>1670</v>
      </c>
      <c r="D895" s="2" t="s">
        <v>1670</v>
      </c>
      <c r="E895" s="2" t="s">
        <v>3458</v>
      </c>
      <c r="F895" s="7">
        <v>488651.55</v>
      </c>
      <c r="G895" s="13">
        <v>3</v>
      </c>
      <c r="H895" s="15">
        <f t="shared" si="40"/>
        <v>1465954.65</v>
      </c>
      <c r="I895" s="7">
        <f t="shared" si="41"/>
        <v>263871.837</v>
      </c>
      <c r="J895" s="7">
        <f t="shared" si="39"/>
        <v>1729826.487</v>
      </c>
    </row>
    <row r="896" spans="1:10" x14ac:dyDescent="0.3">
      <c r="A896" s="2">
        <v>880</v>
      </c>
      <c r="B896" s="2" t="s">
        <v>2063</v>
      </c>
      <c r="C896" s="2" t="s">
        <v>2064</v>
      </c>
      <c r="D896" s="2" t="s">
        <v>2064</v>
      </c>
      <c r="E896" s="2" t="s">
        <v>3458</v>
      </c>
      <c r="F896" s="7">
        <v>488651.55</v>
      </c>
      <c r="G896" s="13">
        <v>3</v>
      </c>
      <c r="H896" s="15">
        <f t="shared" si="40"/>
        <v>1465954.65</v>
      </c>
      <c r="I896" s="7">
        <f t="shared" si="41"/>
        <v>263871.837</v>
      </c>
      <c r="J896" s="7">
        <f t="shared" si="39"/>
        <v>1729826.487</v>
      </c>
    </row>
    <row r="897" spans="1:10" x14ac:dyDescent="0.3">
      <c r="A897" s="2">
        <v>881</v>
      </c>
      <c r="B897" s="2" t="s">
        <v>1078</v>
      </c>
      <c r="C897" s="2" t="s">
        <v>1079</v>
      </c>
      <c r="D897" s="2" t="s">
        <v>1079</v>
      </c>
      <c r="E897" s="2" t="s">
        <v>3458</v>
      </c>
      <c r="F897" s="7">
        <v>488651.55</v>
      </c>
      <c r="G897" s="13">
        <v>3</v>
      </c>
      <c r="H897" s="15">
        <f t="shared" si="40"/>
        <v>1465954.65</v>
      </c>
      <c r="I897" s="7">
        <f t="shared" si="41"/>
        <v>263871.837</v>
      </c>
      <c r="J897" s="7">
        <f t="shared" si="39"/>
        <v>1729826.487</v>
      </c>
    </row>
    <row r="898" spans="1:10" x14ac:dyDescent="0.3">
      <c r="A898" s="2">
        <v>882</v>
      </c>
      <c r="B898" s="2" t="s">
        <v>3914</v>
      </c>
      <c r="C898" s="2" t="s">
        <v>4413</v>
      </c>
      <c r="D898" s="2" t="s">
        <v>4413</v>
      </c>
      <c r="E898" s="2" t="s">
        <v>3458</v>
      </c>
      <c r="F898" s="7">
        <v>488651.55</v>
      </c>
      <c r="G898" s="13">
        <v>3</v>
      </c>
      <c r="H898" s="15">
        <f t="shared" si="40"/>
        <v>1465954.65</v>
      </c>
      <c r="I898" s="7">
        <f t="shared" si="41"/>
        <v>263871.837</v>
      </c>
      <c r="J898" s="7">
        <f t="shared" si="39"/>
        <v>1729826.487</v>
      </c>
    </row>
    <row r="899" spans="1:10" x14ac:dyDescent="0.3">
      <c r="A899" s="2">
        <v>883</v>
      </c>
      <c r="B899" s="2" t="s">
        <v>3915</v>
      </c>
      <c r="C899" s="2" t="s">
        <v>4414</v>
      </c>
      <c r="D899" s="2" t="s">
        <v>4414</v>
      </c>
      <c r="E899" s="2" t="s">
        <v>3458</v>
      </c>
      <c r="F899" s="7">
        <v>488651.55</v>
      </c>
      <c r="G899" s="13">
        <v>3</v>
      </c>
      <c r="H899" s="15">
        <f t="shared" si="40"/>
        <v>1465954.65</v>
      </c>
      <c r="I899" s="7">
        <f t="shared" si="41"/>
        <v>263871.837</v>
      </c>
      <c r="J899" s="7">
        <f t="shared" si="39"/>
        <v>1729826.487</v>
      </c>
    </row>
    <row r="900" spans="1:10" x14ac:dyDescent="0.3">
      <c r="A900" s="2">
        <v>884</v>
      </c>
      <c r="B900" s="2" t="s">
        <v>1106</v>
      </c>
      <c r="C900" s="2" t="s">
        <v>1107</v>
      </c>
      <c r="D900" s="2" t="s">
        <v>1107</v>
      </c>
      <c r="E900" s="2" t="s">
        <v>3458</v>
      </c>
      <c r="F900" s="7">
        <v>488651.55</v>
      </c>
      <c r="G900" s="13">
        <v>3</v>
      </c>
      <c r="H900" s="15">
        <f t="shared" si="40"/>
        <v>1465954.65</v>
      </c>
      <c r="I900" s="7">
        <f t="shared" si="41"/>
        <v>263871.837</v>
      </c>
      <c r="J900" s="7">
        <f t="shared" si="39"/>
        <v>1729826.487</v>
      </c>
    </row>
    <row r="901" spans="1:10" x14ac:dyDescent="0.3">
      <c r="A901" s="2">
        <v>885</v>
      </c>
      <c r="B901" s="2" t="s">
        <v>1329</v>
      </c>
      <c r="C901" s="2" t="s">
        <v>1330</v>
      </c>
      <c r="D901" s="2" t="s">
        <v>1330</v>
      </c>
      <c r="E901" s="2" t="s">
        <v>3458</v>
      </c>
      <c r="F901" s="7">
        <v>488651.55</v>
      </c>
      <c r="G901" s="13">
        <v>3</v>
      </c>
      <c r="H901" s="15">
        <f t="shared" si="40"/>
        <v>1465954.65</v>
      </c>
      <c r="I901" s="7">
        <f t="shared" si="41"/>
        <v>263871.837</v>
      </c>
      <c r="J901" s="7">
        <f t="shared" si="39"/>
        <v>1729826.487</v>
      </c>
    </row>
    <row r="902" spans="1:10" x14ac:dyDescent="0.3">
      <c r="A902" s="2">
        <v>886</v>
      </c>
      <c r="B902" s="2" t="s">
        <v>1926</v>
      </c>
      <c r="C902" s="2" t="s">
        <v>1927</v>
      </c>
      <c r="D902" s="2" t="s">
        <v>1927</v>
      </c>
      <c r="E902" s="2" t="s">
        <v>3458</v>
      </c>
      <c r="F902" s="7">
        <v>488651.55</v>
      </c>
      <c r="G902" s="13">
        <v>3</v>
      </c>
      <c r="H902" s="15">
        <f t="shared" si="40"/>
        <v>1465954.65</v>
      </c>
      <c r="I902" s="7">
        <f t="shared" si="41"/>
        <v>263871.837</v>
      </c>
      <c r="J902" s="7">
        <f t="shared" si="39"/>
        <v>1729826.487</v>
      </c>
    </row>
    <row r="903" spans="1:10" x14ac:dyDescent="0.3">
      <c r="A903" s="2">
        <v>887</v>
      </c>
      <c r="B903" s="2" t="s">
        <v>3916</v>
      </c>
      <c r="C903" s="2" t="s">
        <v>4415</v>
      </c>
      <c r="D903" s="2" t="s">
        <v>4415</v>
      </c>
      <c r="E903" s="2" t="s">
        <v>3458</v>
      </c>
      <c r="F903" s="7">
        <v>488651.55</v>
      </c>
      <c r="G903" s="13">
        <v>3</v>
      </c>
      <c r="H903" s="15">
        <f t="shared" si="40"/>
        <v>1465954.65</v>
      </c>
      <c r="I903" s="7">
        <f t="shared" si="41"/>
        <v>263871.837</v>
      </c>
      <c r="J903" s="7">
        <f t="shared" si="39"/>
        <v>1729826.487</v>
      </c>
    </row>
    <row r="904" spans="1:10" x14ac:dyDescent="0.3">
      <c r="A904" s="2">
        <v>888</v>
      </c>
      <c r="B904" s="2" t="s">
        <v>2187</v>
      </c>
      <c r="C904" s="2" t="s">
        <v>2188</v>
      </c>
      <c r="D904" s="2" t="s">
        <v>2188</v>
      </c>
      <c r="E904" s="2" t="s">
        <v>3458</v>
      </c>
      <c r="F904" s="7">
        <v>488651.55</v>
      </c>
      <c r="G904" s="13">
        <v>3</v>
      </c>
      <c r="H904" s="15">
        <f t="shared" si="40"/>
        <v>1465954.65</v>
      </c>
      <c r="I904" s="7">
        <f t="shared" si="41"/>
        <v>263871.837</v>
      </c>
      <c r="J904" s="7">
        <f t="shared" si="39"/>
        <v>1729826.487</v>
      </c>
    </row>
    <row r="905" spans="1:10" x14ac:dyDescent="0.3">
      <c r="A905" s="2">
        <v>889</v>
      </c>
      <c r="B905" s="2" t="s">
        <v>1180</v>
      </c>
      <c r="C905" s="2" t="s">
        <v>1181</v>
      </c>
      <c r="D905" s="2" t="s">
        <v>1181</v>
      </c>
      <c r="E905" s="2" t="s">
        <v>3458</v>
      </c>
      <c r="F905" s="7">
        <v>488651.55</v>
      </c>
      <c r="G905" s="13">
        <v>3</v>
      </c>
      <c r="H905" s="15">
        <f t="shared" si="40"/>
        <v>1465954.65</v>
      </c>
      <c r="I905" s="7">
        <f t="shared" si="41"/>
        <v>263871.837</v>
      </c>
      <c r="J905" s="7">
        <f t="shared" ref="J905:J968" si="42">+H905+I905</f>
        <v>1729826.487</v>
      </c>
    </row>
    <row r="906" spans="1:10" x14ac:dyDescent="0.3">
      <c r="A906" s="2">
        <v>890</v>
      </c>
      <c r="B906" s="2" t="s">
        <v>2061</v>
      </c>
      <c r="C906" s="2" t="s">
        <v>2062</v>
      </c>
      <c r="D906" s="2" t="s">
        <v>2062</v>
      </c>
      <c r="E906" s="2" t="s">
        <v>3458</v>
      </c>
      <c r="F906" s="7">
        <v>488651.55</v>
      </c>
      <c r="G906" s="13">
        <v>3</v>
      </c>
      <c r="H906" s="15">
        <f t="shared" si="40"/>
        <v>1465954.65</v>
      </c>
      <c r="I906" s="7">
        <f t="shared" si="41"/>
        <v>263871.837</v>
      </c>
      <c r="J906" s="7">
        <f t="shared" si="42"/>
        <v>1729826.487</v>
      </c>
    </row>
    <row r="907" spans="1:10" x14ac:dyDescent="0.3">
      <c r="A907" s="2">
        <v>891</v>
      </c>
      <c r="B907" s="2" t="s">
        <v>2091</v>
      </c>
      <c r="C907" s="2" t="s">
        <v>2092</v>
      </c>
      <c r="D907" s="2" t="s">
        <v>2092</v>
      </c>
      <c r="E907" s="2" t="s">
        <v>3458</v>
      </c>
      <c r="F907" s="7">
        <v>488651.55</v>
      </c>
      <c r="G907" s="13">
        <v>3</v>
      </c>
      <c r="H907" s="15">
        <f t="shared" si="40"/>
        <v>1465954.65</v>
      </c>
      <c r="I907" s="7">
        <f t="shared" si="41"/>
        <v>263871.837</v>
      </c>
      <c r="J907" s="7">
        <f t="shared" si="42"/>
        <v>1729826.487</v>
      </c>
    </row>
    <row r="908" spans="1:10" x14ac:dyDescent="0.3">
      <c r="A908" s="2">
        <v>892</v>
      </c>
      <c r="B908" s="2" t="s">
        <v>3917</v>
      </c>
      <c r="C908" s="2" t="s">
        <v>4416</v>
      </c>
      <c r="D908" s="2" t="s">
        <v>4416</v>
      </c>
      <c r="E908" s="2" t="s">
        <v>3458</v>
      </c>
      <c r="F908" s="7">
        <v>488651.55</v>
      </c>
      <c r="G908" s="13">
        <v>3</v>
      </c>
      <c r="H908" s="15">
        <f t="shared" si="40"/>
        <v>1465954.65</v>
      </c>
      <c r="I908" s="7">
        <f t="shared" si="41"/>
        <v>263871.837</v>
      </c>
      <c r="J908" s="7">
        <f t="shared" si="42"/>
        <v>1729826.487</v>
      </c>
    </row>
    <row r="909" spans="1:10" x14ac:dyDescent="0.3">
      <c r="A909" s="2">
        <v>893</v>
      </c>
      <c r="B909" s="2" t="s">
        <v>3481</v>
      </c>
      <c r="C909" s="2" t="s">
        <v>3487</v>
      </c>
      <c r="D909" s="2" t="s">
        <v>3487</v>
      </c>
      <c r="E909" s="2" t="s">
        <v>3458</v>
      </c>
      <c r="F909" s="7">
        <v>488651.55</v>
      </c>
      <c r="G909" s="13">
        <v>3</v>
      </c>
      <c r="H909" s="15">
        <f t="shared" si="40"/>
        <v>1465954.65</v>
      </c>
      <c r="I909" s="7">
        <f t="shared" si="41"/>
        <v>263871.837</v>
      </c>
      <c r="J909" s="7">
        <f t="shared" si="42"/>
        <v>1729826.487</v>
      </c>
    </row>
    <row r="910" spans="1:10" x14ac:dyDescent="0.3">
      <c r="A910" s="2">
        <v>894</v>
      </c>
      <c r="B910" s="2" t="s">
        <v>1487</v>
      </c>
      <c r="C910" s="2" t="s">
        <v>1488</v>
      </c>
      <c r="D910" s="2" t="s">
        <v>1488</v>
      </c>
      <c r="E910" s="2" t="s">
        <v>3458</v>
      </c>
      <c r="F910" s="7">
        <v>488651.55</v>
      </c>
      <c r="G910" s="13">
        <v>3</v>
      </c>
      <c r="H910" s="15">
        <f t="shared" si="40"/>
        <v>1465954.65</v>
      </c>
      <c r="I910" s="7">
        <f t="shared" si="41"/>
        <v>263871.837</v>
      </c>
      <c r="J910" s="7">
        <f t="shared" si="42"/>
        <v>1729826.487</v>
      </c>
    </row>
    <row r="911" spans="1:10" x14ac:dyDescent="0.3">
      <c r="A911" s="2">
        <v>895</v>
      </c>
      <c r="B911" s="2" t="s">
        <v>2219</v>
      </c>
      <c r="C911" s="2" t="s">
        <v>2220</v>
      </c>
      <c r="D911" s="2" t="s">
        <v>2220</v>
      </c>
      <c r="E911" s="2" t="s">
        <v>3458</v>
      </c>
      <c r="F911" s="7">
        <v>488651.55</v>
      </c>
      <c r="G911" s="13">
        <v>3</v>
      </c>
      <c r="H911" s="15">
        <f t="shared" si="40"/>
        <v>1465954.65</v>
      </c>
      <c r="I911" s="7">
        <f t="shared" si="41"/>
        <v>263871.837</v>
      </c>
      <c r="J911" s="7">
        <f t="shared" si="42"/>
        <v>1729826.487</v>
      </c>
    </row>
    <row r="912" spans="1:10" x14ac:dyDescent="0.3">
      <c r="A912" s="2">
        <v>896</v>
      </c>
      <c r="B912" s="2" t="s">
        <v>2065</v>
      </c>
      <c r="C912" s="2" t="s">
        <v>2066</v>
      </c>
      <c r="D912" s="2" t="s">
        <v>2066</v>
      </c>
      <c r="E912" s="2" t="s">
        <v>3458</v>
      </c>
      <c r="F912" s="7">
        <v>488651.55</v>
      </c>
      <c r="G912" s="13">
        <v>3</v>
      </c>
      <c r="H912" s="15">
        <f t="shared" ref="H912:H975" si="43">+F912*G912</f>
        <v>1465954.65</v>
      </c>
      <c r="I912" s="7">
        <f t="shared" ref="I912:I975" si="44">+H912*0.18</f>
        <v>263871.837</v>
      </c>
      <c r="J912" s="7">
        <f t="shared" si="42"/>
        <v>1729826.487</v>
      </c>
    </row>
    <row r="913" spans="1:10" x14ac:dyDescent="0.3">
      <c r="A913" s="2">
        <v>897</v>
      </c>
      <c r="B913" s="2" t="s">
        <v>2122</v>
      </c>
      <c r="C913" s="2" t="s">
        <v>2123</v>
      </c>
      <c r="D913" s="2" t="s">
        <v>2123</v>
      </c>
      <c r="E913" s="2" t="s">
        <v>3458</v>
      </c>
      <c r="F913" s="7">
        <v>488651.55</v>
      </c>
      <c r="G913" s="13">
        <v>3</v>
      </c>
      <c r="H913" s="15">
        <f t="shared" si="43"/>
        <v>1465954.65</v>
      </c>
      <c r="I913" s="7">
        <f t="shared" si="44"/>
        <v>263871.837</v>
      </c>
      <c r="J913" s="7">
        <f t="shared" si="42"/>
        <v>1729826.487</v>
      </c>
    </row>
    <row r="914" spans="1:10" x14ac:dyDescent="0.3">
      <c r="A914" s="2">
        <v>898</v>
      </c>
      <c r="B914" s="2" t="s">
        <v>3918</v>
      </c>
      <c r="C914" s="2" t="s">
        <v>4417</v>
      </c>
      <c r="D914" s="2" t="s">
        <v>4417</v>
      </c>
      <c r="E914" s="2" t="s">
        <v>3458</v>
      </c>
      <c r="F914" s="7">
        <v>488651.55</v>
      </c>
      <c r="G914" s="13">
        <v>3</v>
      </c>
      <c r="H914" s="15">
        <f t="shared" si="43"/>
        <v>1465954.65</v>
      </c>
      <c r="I914" s="7">
        <f t="shared" si="44"/>
        <v>263871.837</v>
      </c>
      <c r="J914" s="7">
        <f t="shared" si="42"/>
        <v>1729826.487</v>
      </c>
    </row>
    <row r="915" spans="1:10" x14ac:dyDescent="0.3">
      <c r="A915" s="2">
        <v>899</v>
      </c>
      <c r="B915" s="2" t="s">
        <v>3919</v>
      </c>
      <c r="C915" s="2" t="s">
        <v>4418</v>
      </c>
      <c r="D915" s="2" t="s">
        <v>4418</v>
      </c>
      <c r="E915" s="2" t="s">
        <v>3458</v>
      </c>
      <c r="F915" s="7">
        <v>488651.55</v>
      </c>
      <c r="G915" s="13">
        <v>3</v>
      </c>
      <c r="H915" s="15">
        <f t="shared" si="43"/>
        <v>1465954.65</v>
      </c>
      <c r="I915" s="7">
        <f t="shared" si="44"/>
        <v>263871.837</v>
      </c>
      <c r="J915" s="7">
        <f t="shared" si="42"/>
        <v>1729826.487</v>
      </c>
    </row>
    <row r="916" spans="1:10" x14ac:dyDescent="0.3">
      <c r="A916" s="2">
        <v>900</v>
      </c>
      <c r="B916" s="2" t="s">
        <v>1086</v>
      </c>
      <c r="C916" s="2" t="s">
        <v>1087</v>
      </c>
      <c r="D916" s="2" t="s">
        <v>1087</v>
      </c>
      <c r="E916" s="2" t="s">
        <v>3458</v>
      </c>
      <c r="F916" s="7">
        <v>488651.55</v>
      </c>
      <c r="G916" s="13">
        <v>3</v>
      </c>
      <c r="H916" s="15">
        <f t="shared" si="43"/>
        <v>1465954.65</v>
      </c>
      <c r="I916" s="7">
        <f t="shared" si="44"/>
        <v>263871.837</v>
      </c>
      <c r="J916" s="7">
        <f t="shared" si="42"/>
        <v>1729826.487</v>
      </c>
    </row>
    <row r="917" spans="1:10" x14ac:dyDescent="0.3">
      <c r="A917" s="2">
        <v>901</v>
      </c>
      <c r="B917" s="2" t="s">
        <v>1345</v>
      </c>
      <c r="C917" s="2" t="s">
        <v>1346</v>
      </c>
      <c r="D917" s="2" t="s">
        <v>1346</v>
      </c>
      <c r="E917" s="2" t="s">
        <v>3458</v>
      </c>
      <c r="F917" s="7">
        <v>488651.55</v>
      </c>
      <c r="G917" s="13">
        <v>3</v>
      </c>
      <c r="H917" s="15">
        <f t="shared" si="43"/>
        <v>1465954.65</v>
      </c>
      <c r="I917" s="7">
        <f t="shared" si="44"/>
        <v>263871.837</v>
      </c>
      <c r="J917" s="7">
        <f t="shared" si="42"/>
        <v>1729826.487</v>
      </c>
    </row>
    <row r="918" spans="1:10" x14ac:dyDescent="0.3">
      <c r="A918" s="2">
        <v>902</v>
      </c>
      <c r="B918" s="2" t="s">
        <v>3920</v>
      </c>
      <c r="C918" s="2" t="s">
        <v>4419</v>
      </c>
      <c r="D918" s="2" t="s">
        <v>4419</v>
      </c>
      <c r="E918" s="2" t="s">
        <v>3458</v>
      </c>
      <c r="F918" s="7">
        <v>488651.55</v>
      </c>
      <c r="G918" s="13">
        <v>3</v>
      </c>
      <c r="H918" s="15">
        <f t="shared" si="43"/>
        <v>1465954.65</v>
      </c>
      <c r="I918" s="7">
        <f t="shared" si="44"/>
        <v>263871.837</v>
      </c>
      <c r="J918" s="7">
        <f t="shared" si="42"/>
        <v>1729826.487</v>
      </c>
    </row>
    <row r="919" spans="1:10" x14ac:dyDescent="0.3">
      <c r="A919" s="2">
        <v>903</v>
      </c>
      <c r="B919" s="2" t="s">
        <v>2134</v>
      </c>
      <c r="C919" s="2" t="s">
        <v>2135</v>
      </c>
      <c r="D919" s="2" t="s">
        <v>2135</v>
      </c>
      <c r="E919" s="2" t="s">
        <v>3458</v>
      </c>
      <c r="F919" s="7">
        <v>488651.55</v>
      </c>
      <c r="G919" s="13">
        <v>3</v>
      </c>
      <c r="H919" s="15">
        <f t="shared" si="43"/>
        <v>1465954.65</v>
      </c>
      <c r="I919" s="7">
        <f t="shared" si="44"/>
        <v>263871.837</v>
      </c>
      <c r="J919" s="7">
        <f t="shared" si="42"/>
        <v>1729826.487</v>
      </c>
    </row>
    <row r="920" spans="1:10" x14ac:dyDescent="0.3">
      <c r="A920" s="2">
        <v>904</v>
      </c>
      <c r="B920" s="2" t="s">
        <v>1874</v>
      </c>
      <c r="C920" s="2" t="s">
        <v>1875</v>
      </c>
      <c r="D920" s="2" t="s">
        <v>1875</v>
      </c>
      <c r="E920" s="2" t="s">
        <v>3458</v>
      </c>
      <c r="F920" s="7">
        <v>488651.55</v>
      </c>
      <c r="G920" s="13">
        <v>3</v>
      </c>
      <c r="H920" s="15">
        <f t="shared" si="43"/>
        <v>1465954.65</v>
      </c>
      <c r="I920" s="7">
        <f t="shared" si="44"/>
        <v>263871.837</v>
      </c>
      <c r="J920" s="7">
        <f t="shared" si="42"/>
        <v>1729826.487</v>
      </c>
    </row>
    <row r="921" spans="1:10" x14ac:dyDescent="0.3">
      <c r="A921" s="2">
        <v>905</v>
      </c>
      <c r="B921" s="2" t="s">
        <v>1551</v>
      </c>
      <c r="C921" s="2" t="s">
        <v>1552</v>
      </c>
      <c r="D921" s="2" t="s">
        <v>1552</v>
      </c>
      <c r="E921" s="2" t="s">
        <v>3458</v>
      </c>
      <c r="F921" s="7">
        <v>488651.55</v>
      </c>
      <c r="G921" s="13">
        <v>3</v>
      </c>
      <c r="H921" s="15">
        <f t="shared" si="43"/>
        <v>1465954.65</v>
      </c>
      <c r="I921" s="7">
        <f t="shared" si="44"/>
        <v>263871.837</v>
      </c>
      <c r="J921" s="7">
        <f t="shared" si="42"/>
        <v>1729826.487</v>
      </c>
    </row>
    <row r="922" spans="1:10" x14ac:dyDescent="0.3">
      <c r="A922" s="2">
        <v>906</v>
      </c>
      <c r="B922" s="2" t="s">
        <v>1339</v>
      </c>
      <c r="C922" s="2" t="s">
        <v>1340</v>
      </c>
      <c r="D922" s="2" t="s">
        <v>1340</v>
      </c>
      <c r="E922" s="2" t="s">
        <v>3458</v>
      </c>
      <c r="F922" s="7">
        <v>488651.55</v>
      </c>
      <c r="G922" s="13">
        <v>3</v>
      </c>
      <c r="H922" s="15">
        <f t="shared" si="43"/>
        <v>1465954.65</v>
      </c>
      <c r="I922" s="7">
        <f t="shared" si="44"/>
        <v>263871.837</v>
      </c>
      <c r="J922" s="7">
        <f t="shared" si="42"/>
        <v>1729826.487</v>
      </c>
    </row>
    <row r="923" spans="1:10" x14ac:dyDescent="0.3">
      <c r="A923" s="2">
        <v>907</v>
      </c>
      <c r="B923" s="2" t="s">
        <v>1890</v>
      </c>
      <c r="C923" s="2" t="s">
        <v>1891</v>
      </c>
      <c r="D923" s="2" t="s">
        <v>1891</v>
      </c>
      <c r="E923" s="2" t="s">
        <v>3458</v>
      </c>
      <c r="F923" s="7">
        <v>488651.55</v>
      </c>
      <c r="G923" s="13">
        <v>3</v>
      </c>
      <c r="H923" s="15">
        <f t="shared" si="43"/>
        <v>1465954.65</v>
      </c>
      <c r="I923" s="7">
        <f t="shared" si="44"/>
        <v>263871.837</v>
      </c>
      <c r="J923" s="7">
        <f t="shared" si="42"/>
        <v>1729826.487</v>
      </c>
    </row>
    <row r="924" spans="1:10" x14ac:dyDescent="0.3">
      <c r="A924" s="2">
        <v>908</v>
      </c>
      <c r="B924" s="2" t="s">
        <v>2036</v>
      </c>
      <c r="C924" s="2" t="s">
        <v>2037</v>
      </c>
      <c r="D924" s="2" t="s">
        <v>2037</v>
      </c>
      <c r="E924" s="2" t="s">
        <v>3458</v>
      </c>
      <c r="F924" s="7">
        <v>488651.55</v>
      </c>
      <c r="G924" s="13">
        <v>3</v>
      </c>
      <c r="H924" s="15">
        <f t="shared" si="43"/>
        <v>1465954.65</v>
      </c>
      <c r="I924" s="7">
        <f t="shared" si="44"/>
        <v>263871.837</v>
      </c>
      <c r="J924" s="7">
        <f t="shared" si="42"/>
        <v>1729826.487</v>
      </c>
    </row>
    <row r="925" spans="1:10" x14ac:dyDescent="0.3">
      <c r="A925" s="2">
        <v>909</v>
      </c>
      <c r="B925" s="2" t="s">
        <v>3921</v>
      </c>
      <c r="C925" s="2" t="s">
        <v>4420</v>
      </c>
      <c r="D925" s="2" t="s">
        <v>4420</v>
      </c>
      <c r="E925" s="2" t="s">
        <v>3458</v>
      </c>
      <c r="F925" s="7">
        <v>488651.55</v>
      </c>
      <c r="G925" s="13">
        <v>3</v>
      </c>
      <c r="H925" s="15">
        <f t="shared" si="43"/>
        <v>1465954.65</v>
      </c>
      <c r="I925" s="7">
        <f t="shared" si="44"/>
        <v>263871.837</v>
      </c>
      <c r="J925" s="7">
        <f t="shared" si="42"/>
        <v>1729826.487</v>
      </c>
    </row>
    <row r="926" spans="1:10" x14ac:dyDescent="0.3">
      <c r="A926" s="2">
        <v>910</v>
      </c>
      <c r="B926" s="2" t="s">
        <v>1860</v>
      </c>
      <c r="C926" s="2" t="s">
        <v>1861</v>
      </c>
      <c r="D926" s="2" t="s">
        <v>1861</v>
      </c>
      <c r="E926" s="2" t="s">
        <v>3458</v>
      </c>
      <c r="F926" s="7">
        <v>488651.55</v>
      </c>
      <c r="G926" s="13">
        <v>3</v>
      </c>
      <c r="H926" s="15">
        <f t="shared" si="43"/>
        <v>1465954.65</v>
      </c>
      <c r="I926" s="7">
        <f t="shared" si="44"/>
        <v>263871.837</v>
      </c>
      <c r="J926" s="7">
        <f t="shared" si="42"/>
        <v>1729826.487</v>
      </c>
    </row>
    <row r="927" spans="1:10" x14ac:dyDescent="0.3">
      <c r="A927" s="2">
        <v>911</v>
      </c>
      <c r="B927" s="2" t="s">
        <v>3922</v>
      </c>
      <c r="C927" s="2" t="s">
        <v>4421</v>
      </c>
      <c r="D927" s="2" t="s">
        <v>4421</v>
      </c>
      <c r="E927" s="2" t="s">
        <v>3458</v>
      </c>
      <c r="F927" s="7">
        <v>488651.55</v>
      </c>
      <c r="G927" s="13">
        <v>3</v>
      </c>
      <c r="H927" s="15">
        <f t="shared" si="43"/>
        <v>1465954.65</v>
      </c>
      <c r="I927" s="7">
        <f t="shared" si="44"/>
        <v>263871.837</v>
      </c>
      <c r="J927" s="7">
        <f t="shared" si="42"/>
        <v>1729826.487</v>
      </c>
    </row>
    <row r="928" spans="1:10" x14ac:dyDescent="0.3">
      <c r="A928" s="2">
        <v>912</v>
      </c>
      <c r="B928" s="2" t="s">
        <v>1736</v>
      </c>
      <c r="C928" s="2" t="s">
        <v>1737</v>
      </c>
      <c r="D928" s="2" t="s">
        <v>1737</v>
      </c>
      <c r="E928" s="2" t="s">
        <v>3458</v>
      </c>
      <c r="F928" s="7">
        <v>488651.55</v>
      </c>
      <c r="G928" s="13">
        <v>3</v>
      </c>
      <c r="H928" s="15">
        <f t="shared" si="43"/>
        <v>1465954.65</v>
      </c>
      <c r="I928" s="7">
        <f t="shared" si="44"/>
        <v>263871.837</v>
      </c>
      <c r="J928" s="7">
        <f t="shared" si="42"/>
        <v>1729826.487</v>
      </c>
    </row>
    <row r="929" spans="1:10" x14ac:dyDescent="0.3">
      <c r="A929" s="2">
        <v>913</v>
      </c>
      <c r="B929" s="2" t="s">
        <v>1505</v>
      </c>
      <c r="C929" s="2" t="s">
        <v>1506</v>
      </c>
      <c r="D929" s="2" t="s">
        <v>1506</v>
      </c>
      <c r="E929" s="2" t="s">
        <v>3458</v>
      </c>
      <c r="F929" s="7">
        <v>488651.55</v>
      </c>
      <c r="G929" s="13">
        <v>3</v>
      </c>
      <c r="H929" s="15">
        <f t="shared" si="43"/>
        <v>1465954.65</v>
      </c>
      <c r="I929" s="7">
        <f t="shared" si="44"/>
        <v>263871.837</v>
      </c>
      <c r="J929" s="7">
        <f t="shared" si="42"/>
        <v>1729826.487</v>
      </c>
    </row>
    <row r="930" spans="1:10" x14ac:dyDescent="0.3">
      <c r="A930" s="2">
        <v>914</v>
      </c>
      <c r="B930" s="2" t="s">
        <v>3923</v>
      </c>
      <c r="C930" s="2" t="s">
        <v>4422</v>
      </c>
      <c r="D930" s="2" t="s">
        <v>4422</v>
      </c>
      <c r="E930" s="2" t="s">
        <v>3458</v>
      </c>
      <c r="F930" s="7">
        <v>488651.55</v>
      </c>
      <c r="G930" s="13">
        <v>3</v>
      </c>
      <c r="H930" s="15">
        <f t="shared" si="43"/>
        <v>1465954.65</v>
      </c>
      <c r="I930" s="7">
        <f t="shared" si="44"/>
        <v>263871.837</v>
      </c>
      <c r="J930" s="7">
        <f t="shared" si="42"/>
        <v>1729826.487</v>
      </c>
    </row>
    <row r="931" spans="1:10" x14ac:dyDescent="0.3">
      <c r="A931" s="2">
        <v>915</v>
      </c>
      <c r="B931" s="2" t="s">
        <v>1315</v>
      </c>
      <c r="C931" s="2" t="s">
        <v>1316</v>
      </c>
      <c r="D931" s="2" t="s">
        <v>1316</v>
      </c>
      <c r="E931" s="2" t="s">
        <v>3458</v>
      </c>
      <c r="F931" s="7">
        <v>488651.55</v>
      </c>
      <c r="G931" s="13">
        <v>3</v>
      </c>
      <c r="H931" s="15">
        <f t="shared" si="43"/>
        <v>1465954.65</v>
      </c>
      <c r="I931" s="7">
        <f t="shared" si="44"/>
        <v>263871.837</v>
      </c>
      <c r="J931" s="7">
        <f t="shared" si="42"/>
        <v>1729826.487</v>
      </c>
    </row>
    <row r="932" spans="1:10" x14ac:dyDescent="0.3">
      <c r="A932" s="2">
        <v>916</v>
      </c>
      <c r="B932" s="2" t="s">
        <v>1629</v>
      </c>
      <c r="C932" s="2" t="s">
        <v>1630</v>
      </c>
      <c r="D932" s="2" t="s">
        <v>1630</v>
      </c>
      <c r="E932" s="2" t="s">
        <v>3458</v>
      </c>
      <c r="F932" s="7">
        <v>488651.55</v>
      </c>
      <c r="G932" s="13">
        <v>3</v>
      </c>
      <c r="H932" s="15">
        <f t="shared" si="43"/>
        <v>1465954.65</v>
      </c>
      <c r="I932" s="7">
        <f t="shared" si="44"/>
        <v>263871.837</v>
      </c>
      <c r="J932" s="7">
        <f t="shared" si="42"/>
        <v>1729826.487</v>
      </c>
    </row>
    <row r="933" spans="1:10" x14ac:dyDescent="0.3">
      <c r="A933" s="2">
        <v>917</v>
      </c>
      <c r="B933" s="2" t="s">
        <v>2102</v>
      </c>
      <c r="C933" s="2" t="s">
        <v>2103</v>
      </c>
      <c r="D933" s="2" t="s">
        <v>2103</v>
      </c>
      <c r="E933" s="2" t="s">
        <v>3458</v>
      </c>
      <c r="F933" s="7">
        <v>488651.55</v>
      </c>
      <c r="G933" s="13">
        <v>3</v>
      </c>
      <c r="H933" s="15">
        <f t="shared" si="43"/>
        <v>1465954.65</v>
      </c>
      <c r="I933" s="7">
        <f t="shared" si="44"/>
        <v>263871.837</v>
      </c>
      <c r="J933" s="7">
        <f t="shared" si="42"/>
        <v>1729826.487</v>
      </c>
    </row>
    <row r="934" spans="1:10" x14ac:dyDescent="0.3">
      <c r="A934" s="2">
        <v>918</v>
      </c>
      <c r="B934" s="2" t="s">
        <v>3924</v>
      </c>
      <c r="C934" s="2" t="s">
        <v>4423</v>
      </c>
      <c r="D934" s="2" t="s">
        <v>4423</v>
      </c>
      <c r="E934" s="2" t="s">
        <v>3458</v>
      </c>
      <c r="F934" s="7">
        <v>488651.55</v>
      </c>
      <c r="G934" s="13">
        <v>3</v>
      </c>
      <c r="H934" s="15">
        <f t="shared" si="43"/>
        <v>1465954.65</v>
      </c>
      <c r="I934" s="7">
        <f t="shared" si="44"/>
        <v>263871.837</v>
      </c>
      <c r="J934" s="7">
        <f t="shared" si="42"/>
        <v>1729826.487</v>
      </c>
    </row>
    <row r="935" spans="1:10" x14ac:dyDescent="0.3">
      <c r="A935" s="2">
        <v>919</v>
      </c>
      <c r="B935" s="2" t="s">
        <v>1088</v>
      </c>
      <c r="C935" s="2" t="s">
        <v>1089</v>
      </c>
      <c r="D935" s="2" t="s">
        <v>1089</v>
      </c>
      <c r="E935" s="2" t="s">
        <v>3458</v>
      </c>
      <c r="F935" s="7">
        <v>488651.55</v>
      </c>
      <c r="G935" s="13">
        <v>3</v>
      </c>
      <c r="H935" s="15">
        <f t="shared" si="43"/>
        <v>1465954.65</v>
      </c>
      <c r="I935" s="7">
        <f t="shared" si="44"/>
        <v>263871.837</v>
      </c>
      <c r="J935" s="7">
        <f t="shared" si="42"/>
        <v>1729826.487</v>
      </c>
    </row>
    <row r="936" spans="1:10" x14ac:dyDescent="0.3">
      <c r="A936" s="2">
        <v>920</v>
      </c>
      <c r="B936" s="2" t="s">
        <v>1132</v>
      </c>
      <c r="C936" s="2" t="s">
        <v>1133</v>
      </c>
      <c r="D936" s="2" t="s">
        <v>1133</v>
      </c>
      <c r="E936" s="2" t="s">
        <v>3458</v>
      </c>
      <c r="F936" s="7">
        <v>488651.55</v>
      </c>
      <c r="G936" s="13">
        <v>3</v>
      </c>
      <c r="H936" s="15">
        <f t="shared" si="43"/>
        <v>1465954.65</v>
      </c>
      <c r="I936" s="7">
        <f t="shared" si="44"/>
        <v>263871.837</v>
      </c>
      <c r="J936" s="7">
        <f t="shared" si="42"/>
        <v>1729826.487</v>
      </c>
    </row>
    <row r="937" spans="1:10" x14ac:dyDescent="0.3">
      <c r="A937" s="2">
        <v>921</v>
      </c>
      <c r="B937" s="2" t="s">
        <v>2034</v>
      </c>
      <c r="C937" s="2" t="s">
        <v>2035</v>
      </c>
      <c r="D937" s="2" t="s">
        <v>2035</v>
      </c>
      <c r="E937" s="2" t="s">
        <v>3458</v>
      </c>
      <c r="F937" s="7">
        <v>488651.55</v>
      </c>
      <c r="G937" s="13">
        <v>3</v>
      </c>
      <c r="H937" s="15">
        <f t="shared" si="43"/>
        <v>1465954.65</v>
      </c>
      <c r="I937" s="7">
        <f t="shared" si="44"/>
        <v>263871.837</v>
      </c>
      <c r="J937" s="7">
        <f t="shared" si="42"/>
        <v>1729826.487</v>
      </c>
    </row>
    <row r="938" spans="1:10" x14ac:dyDescent="0.3">
      <c r="A938" s="2">
        <v>922</v>
      </c>
      <c r="B938" s="2" t="s">
        <v>2081</v>
      </c>
      <c r="C938" s="2" t="s">
        <v>2082</v>
      </c>
      <c r="D938" s="2" t="s">
        <v>2082</v>
      </c>
      <c r="E938" s="2" t="s">
        <v>3458</v>
      </c>
      <c r="F938" s="7">
        <v>488651.55</v>
      </c>
      <c r="G938" s="13">
        <v>3</v>
      </c>
      <c r="H938" s="15">
        <f t="shared" si="43"/>
        <v>1465954.65</v>
      </c>
      <c r="I938" s="7">
        <f t="shared" si="44"/>
        <v>263871.837</v>
      </c>
      <c r="J938" s="7">
        <f t="shared" si="42"/>
        <v>1729826.487</v>
      </c>
    </row>
    <row r="939" spans="1:10" x14ac:dyDescent="0.3">
      <c r="A939" s="2">
        <v>923</v>
      </c>
      <c r="B939" s="2" t="s">
        <v>3925</v>
      </c>
      <c r="C939" s="2" t="s">
        <v>953</v>
      </c>
      <c r="D939" s="2" t="s">
        <v>953</v>
      </c>
      <c r="E939" s="2" t="s">
        <v>3458</v>
      </c>
      <c r="F939" s="7">
        <v>488651.55</v>
      </c>
      <c r="G939" s="13">
        <v>3</v>
      </c>
      <c r="H939" s="15">
        <f t="shared" si="43"/>
        <v>1465954.65</v>
      </c>
      <c r="I939" s="7">
        <f t="shared" si="44"/>
        <v>263871.837</v>
      </c>
      <c r="J939" s="7">
        <f t="shared" si="42"/>
        <v>1729826.487</v>
      </c>
    </row>
    <row r="940" spans="1:10" x14ac:dyDescent="0.3">
      <c r="A940" s="2">
        <v>924</v>
      </c>
      <c r="B940" s="2" t="s">
        <v>3926</v>
      </c>
      <c r="C940" s="2" t="s">
        <v>4424</v>
      </c>
      <c r="D940" s="2" t="s">
        <v>4424</v>
      </c>
      <c r="E940" s="2" t="s">
        <v>3458</v>
      </c>
      <c r="F940" s="7">
        <v>488651.55</v>
      </c>
      <c r="G940" s="13">
        <v>3</v>
      </c>
      <c r="H940" s="15">
        <f t="shared" si="43"/>
        <v>1465954.65</v>
      </c>
      <c r="I940" s="7">
        <f t="shared" si="44"/>
        <v>263871.837</v>
      </c>
      <c r="J940" s="7">
        <f t="shared" si="42"/>
        <v>1729826.487</v>
      </c>
    </row>
    <row r="941" spans="1:10" x14ac:dyDescent="0.3">
      <c r="A941" s="2">
        <v>925</v>
      </c>
      <c r="B941" s="2" t="s">
        <v>1547</v>
      </c>
      <c r="C941" s="2" t="s">
        <v>1548</v>
      </c>
      <c r="D941" s="2" t="s">
        <v>1548</v>
      </c>
      <c r="E941" s="2" t="s">
        <v>3458</v>
      </c>
      <c r="F941" s="7">
        <v>488651.55</v>
      </c>
      <c r="G941" s="13">
        <v>3</v>
      </c>
      <c r="H941" s="15">
        <f t="shared" si="43"/>
        <v>1465954.65</v>
      </c>
      <c r="I941" s="7">
        <f t="shared" si="44"/>
        <v>263871.837</v>
      </c>
      <c r="J941" s="7">
        <f t="shared" si="42"/>
        <v>1729826.487</v>
      </c>
    </row>
    <row r="942" spans="1:10" x14ac:dyDescent="0.3">
      <c r="A942" s="2">
        <v>926</v>
      </c>
      <c r="B942" s="2" t="s">
        <v>3927</v>
      </c>
      <c r="C942" s="2" t="s">
        <v>4425</v>
      </c>
      <c r="D942" s="2" t="s">
        <v>4425</v>
      </c>
      <c r="E942" s="2" t="s">
        <v>3458</v>
      </c>
      <c r="F942" s="7">
        <v>488651.55</v>
      </c>
      <c r="G942" s="13">
        <v>3</v>
      </c>
      <c r="H942" s="15">
        <f t="shared" si="43"/>
        <v>1465954.65</v>
      </c>
      <c r="I942" s="7">
        <f t="shared" si="44"/>
        <v>263871.837</v>
      </c>
      <c r="J942" s="7">
        <f t="shared" si="42"/>
        <v>1729826.487</v>
      </c>
    </row>
    <row r="943" spans="1:10" x14ac:dyDescent="0.3">
      <c r="A943" s="2">
        <v>927</v>
      </c>
      <c r="B943" s="2" t="s">
        <v>3928</v>
      </c>
      <c r="C943" s="2" t="s">
        <v>4426</v>
      </c>
      <c r="D943" s="2" t="s">
        <v>4426</v>
      </c>
      <c r="E943" s="2" t="s">
        <v>3458</v>
      </c>
      <c r="F943" s="7">
        <v>488651.55</v>
      </c>
      <c r="G943" s="13">
        <v>3</v>
      </c>
      <c r="H943" s="15">
        <f t="shared" si="43"/>
        <v>1465954.65</v>
      </c>
      <c r="I943" s="7">
        <f t="shared" si="44"/>
        <v>263871.837</v>
      </c>
      <c r="J943" s="7">
        <f t="shared" si="42"/>
        <v>1729826.487</v>
      </c>
    </row>
    <row r="944" spans="1:10" x14ac:dyDescent="0.3">
      <c r="A944" s="2">
        <v>928</v>
      </c>
      <c r="B944" s="2" t="s">
        <v>1319</v>
      </c>
      <c r="C944" s="2" t="s">
        <v>1320</v>
      </c>
      <c r="D944" s="2" t="s">
        <v>1320</v>
      </c>
      <c r="E944" s="2" t="s">
        <v>3458</v>
      </c>
      <c r="F944" s="7">
        <v>488651.55</v>
      </c>
      <c r="G944" s="13">
        <v>3</v>
      </c>
      <c r="H944" s="15">
        <f t="shared" si="43"/>
        <v>1465954.65</v>
      </c>
      <c r="I944" s="7">
        <f t="shared" si="44"/>
        <v>263871.837</v>
      </c>
      <c r="J944" s="7">
        <f t="shared" si="42"/>
        <v>1729826.487</v>
      </c>
    </row>
    <row r="945" spans="1:10" x14ac:dyDescent="0.3">
      <c r="A945" s="2">
        <v>929</v>
      </c>
      <c r="B945" s="2" t="s">
        <v>1603</v>
      </c>
      <c r="C945" s="2" t="s">
        <v>1604</v>
      </c>
      <c r="D945" s="2" t="s">
        <v>1604</v>
      </c>
      <c r="E945" s="2" t="s">
        <v>3458</v>
      </c>
      <c r="F945" s="7">
        <v>488651.55</v>
      </c>
      <c r="G945" s="13">
        <v>3</v>
      </c>
      <c r="H945" s="15">
        <f t="shared" si="43"/>
        <v>1465954.65</v>
      </c>
      <c r="I945" s="7">
        <f t="shared" si="44"/>
        <v>263871.837</v>
      </c>
      <c r="J945" s="7">
        <f t="shared" si="42"/>
        <v>1729826.487</v>
      </c>
    </row>
    <row r="946" spans="1:10" x14ac:dyDescent="0.3">
      <c r="A946" s="2">
        <v>930</v>
      </c>
      <c r="B946" s="2" t="s">
        <v>1988</v>
      </c>
      <c r="C946" s="2" t="s">
        <v>1989</v>
      </c>
      <c r="D946" s="2" t="s">
        <v>1989</v>
      </c>
      <c r="E946" s="2" t="s">
        <v>3458</v>
      </c>
      <c r="F946" s="7">
        <v>488651.55</v>
      </c>
      <c r="G946" s="13">
        <v>3</v>
      </c>
      <c r="H946" s="15">
        <f t="shared" si="43"/>
        <v>1465954.65</v>
      </c>
      <c r="I946" s="7">
        <f t="shared" si="44"/>
        <v>263871.837</v>
      </c>
      <c r="J946" s="7">
        <f t="shared" si="42"/>
        <v>1729826.487</v>
      </c>
    </row>
    <row r="947" spans="1:10" x14ac:dyDescent="0.3">
      <c r="A947" s="2">
        <v>931</v>
      </c>
      <c r="B947" s="2" t="s">
        <v>3929</v>
      </c>
      <c r="C947" s="2" t="s">
        <v>4427</v>
      </c>
      <c r="D947" s="2" t="s">
        <v>4427</v>
      </c>
      <c r="E947" s="2" t="s">
        <v>3458</v>
      </c>
      <c r="F947" s="7">
        <v>488651.55</v>
      </c>
      <c r="G947" s="13">
        <v>3</v>
      </c>
      <c r="H947" s="15">
        <f t="shared" si="43"/>
        <v>1465954.65</v>
      </c>
      <c r="I947" s="7">
        <f t="shared" si="44"/>
        <v>263871.837</v>
      </c>
      <c r="J947" s="7">
        <f t="shared" si="42"/>
        <v>1729826.487</v>
      </c>
    </row>
    <row r="948" spans="1:10" x14ac:dyDescent="0.3">
      <c r="A948" s="2">
        <v>932</v>
      </c>
      <c r="B948" s="2" t="s">
        <v>3930</v>
      </c>
      <c r="C948" s="2" t="s">
        <v>4428</v>
      </c>
      <c r="D948" s="2" t="s">
        <v>4428</v>
      </c>
      <c r="E948" s="2" t="s">
        <v>3458</v>
      </c>
      <c r="F948" s="7">
        <v>488651.55</v>
      </c>
      <c r="G948" s="13">
        <v>3</v>
      </c>
      <c r="H948" s="15">
        <f t="shared" si="43"/>
        <v>1465954.65</v>
      </c>
      <c r="I948" s="7">
        <f t="shared" si="44"/>
        <v>263871.837</v>
      </c>
      <c r="J948" s="7">
        <f t="shared" si="42"/>
        <v>1729826.487</v>
      </c>
    </row>
    <row r="949" spans="1:10" x14ac:dyDescent="0.3">
      <c r="A949" s="2">
        <v>933</v>
      </c>
      <c r="B949" s="2" t="s">
        <v>1523</v>
      </c>
      <c r="C949" s="2" t="s">
        <v>1524</v>
      </c>
      <c r="D949" s="2" t="s">
        <v>1524</v>
      </c>
      <c r="E949" s="2" t="s">
        <v>3458</v>
      </c>
      <c r="F949" s="7">
        <v>488651.55</v>
      </c>
      <c r="G949" s="13">
        <v>3</v>
      </c>
      <c r="H949" s="15">
        <f t="shared" si="43"/>
        <v>1465954.65</v>
      </c>
      <c r="I949" s="7">
        <f t="shared" si="44"/>
        <v>263871.837</v>
      </c>
      <c r="J949" s="7">
        <f t="shared" si="42"/>
        <v>1729826.487</v>
      </c>
    </row>
    <row r="950" spans="1:10" x14ac:dyDescent="0.3">
      <c r="A950" s="2">
        <v>934</v>
      </c>
      <c r="B950" s="2" t="s">
        <v>2032</v>
      </c>
      <c r="C950" s="2" t="s">
        <v>2033</v>
      </c>
      <c r="D950" s="2" t="s">
        <v>2033</v>
      </c>
      <c r="E950" s="2" t="s">
        <v>3458</v>
      </c>
      <c r="F950" s="7">
        <v>488651.55</v>
      </c>
      <c r="G950" s="13">
        <v>3</v>
      </c>
      <c r="H950" s="15">
        <f t="shared" si="43"/>
        <v>1465954.65</v>
      </c>
      <c r="I950" s="7">
        <f t="shared" si="44"/>
        <v>263871.837</v>
      </c>
      <c r="J950" s="7">
        <f t="shared" si="42"/>
        <v>1729826.487</v>
      </c>
    </row>
    <row r="951" spans="1:10" x14ac:dyDescent="0.3">
      <c r="A951" s="2">
        <v>935</v>
      </c>
      <c r="B951" s="2" t="s">
        <v>3931</v>
      </c>
      <c r="C951" s="2" t="s">
        <v>4429</v>
      </c>
      <c r="D951" s="2" t="s">
        <v>4429</v>
      </c>
      <c r="E951" s="2" t="s">
        <v>3458</v>
      </c>
      <c r="F951" s="7">
        <v>488651.55</v>
      </c>
      <c r="G951" s="13">
        <v>3</v>
      </c>
      <c r="H951" s="15">
        <f t="shared" si="43"/>
        <v>1465954.65</v>
      </c>
      <c r="I951" s="7">
        <f t="shared" si="44"/>
        <v>263871.837</v>
      </c>
      <c r="J951" s="7">
        <f t="shared" si="42"/>
        <v>1729826.487</v>
      </c>
    </row>
    <row r="952" spans="1:10" x14ac:dyDescent="0.3">
      <c r="A952" s="2">
        <v>936</v>
      </c>
      <c r="B952" s="2" t="s">
        <v>3932</v>
      </c>
      <c r="C952" s="2" t="s">
        <v>4430</v>
      </c>
      <c r="D952" s="2" t="s">
        <v>4430</v>
      </c>
      <c r="E952" s="2" t="s">
        <v>3458</v>
      </c>
      <c r="F952" s="7">
        <v>488651.55</v>
      </c>
      <c r="G952" s="13">
        <v>3</v>
      </c>
      <c r="H952" s="15">
        <f t="shared" si="43"/>
        <v>1465954.65</v>
      </c>
      <c r="I952" s="7">
        <f t="shared" si="44"/>
        <v>263871.837</v>
      </c>
      <c r="J952" s="7">
        <f t="shared" si="42"/>
        <v>1729826.487</v>
      </c>
    </row>
    <row r="953" spans="1:10" x14ac:dyDescent="0.3">
      <c r="A953" s="2">
        <v>937</v>
      </c>
      <c r="B953" s="2" t="s">
        <v>1351</v>
      </c>
      <c r="C953" s="2" t="s">
        <v>1352</v>
      </c>
      <c r="D953" s="2" t="s">
        <v>1352</v>
      </c>
      <c r="E953" s="2" t="s">
        <v>3458</v>
      </c>
      <c r="F953" s="7">
        <v>488651.55</v>
      </c>
      <c r="G953" s="13">
        <v>3</v>
      </c>
      <c r="H953" s="15">
        <f t="shared" si="43"/>
        <v>1465954.65</v>
      </c>
      <c r="I953" s="7">
        <f t="shared" si="44"/>
        <v>263871.837</v>
      </c>
      <c r="J953" s="7">
        <f t="shared" si="42"/>
        <v>1729826.487</v>
      </c>
    </row>
    <row r="954" spans="1:10" x14ac:dyDescent="0.3">
      <c r="A954" s="2">
        <v>938</v>
      </c>
      <c r="B954" s="2" t="s">
        <v>2136</v>
      </c>
      <c r="C954" s="2" t="s">
        <v>2137</v>
      </c>
      <c r="D954" s="2" t="s">
        <v>2137</v>
      </c>
      <c r="E954" s="2" t="s">
        <v>3458</v>
      </c>
      <c r="F954" s="7">
        <v>488651.55</v>
      </c>
      <c r="G954" s="13">
        <v>3</v>
      </c>
      <c r="H954" s="15">
        <f t="shared" si="43"/>
        <v>1465954.65</v>
      </c>
      <c r="I954" s="7">
        <f t="shared" si="44"/>
        <v>263871.837</v>
      </c>
      <c r="J954" s="7">
        <f t="shared" si="42"/>
        <v>1729826.487</v>
      </c>
    </row>
    <row r="955" spans="1:10" x14ac:dyDescent="0.3">
      <c r="A955" s="2">
        <v>939</v>
      </c>
      <c r="B955" s="2" t="s">
        <v>3933</v>
      </c>
      <c r="C955" s="2" t="s">
        <v>4431</v>
      </c>
      <c r="D955" s="2" t="s">
        <v>4431</v>
      </c>
      <c r="E955" s="2" t="s">
        <v>3458</v>
      </c>
      <c r="F955" s="7">
        <v>488651.55</v>
      </c>
      <c r="G955" s="13">
        <v>3</v>
      </c>
      <c r="H955" s="15">
        <f t="shared" si="43"/>
        <v>1465954.65</v>
      </c>
      <c r="I955" s="7">
        <f t="shared" si="44"/>
        <v>263871.837</v>
      </c>
      <c r="J955" s="7">
        <f t="shared" si="42"/>
        <v>1729826.487</v>
      </c>
    </row>
    <row r="956" spans="1:10" x14ac:dyDescent="0.3">
      <c r="A956" s="2">
        <v>940</v>
      </c>
      <c r="B956" s="2" t="s">
        <v>3934</v>
      </c>
      <c r="C956" s="2" t="s">
        <v>4432</v>
      </c>
      <c r="D956" s="2" t="s">
        <v>4432</v>
      </c>
      <c r="E956" s="2" t="s">
        <v>3458</v>
      </c>
      <c r="F956" s="7">
        <v>488651.55</v>
      </c>
      <c r="G956" s="13">
        <v>3</v>
      </c>
      <c r="H956" s="15">
        <f t="shared" si="43"/>
        <v>1465954.65</v>
      </c>
      <c r="I956" s="7">
        <f t="shared" si="44"/>
        <v>263871.837</v>
      </c>
      <c r="J956" s="7">
        <f t="shared" si="42"/>
        <v>1729826.487</v>
      </c>
    </row>
    <row r="957" spans="1:10" x14ac:dyDescent="0.3">
      <c r="A957" s="2">
        <v>941</v>
      </c>
      <c r="B957" s="2" t="s">
        <v>2185</v>
      </c>
      <c r="C957" s="2" t="s">
        <v>2186</v>
      </c>
      <c r="D957" s="2" t="s">
        <v>2186</v>
      </c>
      <c r="E957" s="2" t="s">
        <v>3458</v>
      </c>
      <c r="F957" s="7">
        <v>488651.55</v>
      </c>
      <c r="G957" s="13">
        <v>3</v>
      </c>
      <c r="H957" s="15">
        <f t="shared" si="43"/>
        <v>1465954.65</v>
      </c>
      <c r="I957" s="7">
        <f t="shared" si="44"/>
        <v>263871.837</v>
      </c>
      <c r="J957" s="7">
        <f t="shared" si="42"/>
        <v>1729826.487</v>
      </c>
    </row>
    <row r="958" spans="1:10" x14ac:dyDescent="0.3">
      <c r="A958" s="2">
        <v>942</v>
      </c>
      <c r="B958" s="2" t="s">
        <v>1501</v>
      </c>
      <c r="C958" s="2" t="s">
        <v>1502</v>
      </c>
      <c r="D958" s="2" t="s">
        <v>1502</v>
      </c>
      <c r="E958" s="2" t="s">
        <v>3458</v>
      </c>
      <c r="F958" s="7">
        <v>488651.55</v>
      </c>
      <c r="G958" s="13">
        <v>3</v>
      </c>
      <c r="H958" s="15">
        <f t="shared" si="43"/>
        <v>1465954.65</v>
      </c>
      <c r="I958" s="7">
        <f t="shared" si="44"/>
        <v>263871.837</v>
      </c>
      <c r="J958" s="7">
        <f t="shared" si="42"/>
        <v>1729826.487</v>
      </c>
    </row>
    <row r="959" spans="1:10" x14ac:dyDescent="0.3">
      <c r="A959" s="2">
        <v>943</v>
      </c>
      <c r="B959" s="2" t="s">
        <v>1383</v>
      </c>
      <c r="C959" s="2" t="s">
        <v>1384</v>
      </c>
      <c r="D959" s="2" t="s">
        <v>1384</v>
      </c>
      <c r="E959" s="2" t="s">
        <v>3458</v>
      </c>
      <c r="F959" s="7">
        <v>488651.55</v>
      </c>
      <c r="G959" s="13">
        <v>3</v>
      </c>
      <c r="H959" s="15">
        <f t="shared" si="43"/>
        <v>1465954.65</v>
      </c>
      <c r="I959" s="7">
        <f t="shared" si="44"/>
        <v>263871.837</v>
      </c>
      <c r="J959" s="7">
        <f t="shared" si="42"/>
        <v>1729826.487</v>
      </c>
    </row>
    <row r="960" spans="1:10" x14ac:dyDescent="0.3">
      <c r="A960" s="2">
        <v>944</v>
      </c>
      <c r="B960" s="2" t="s">
        <v>2132</v>
      </c>
      <c r="C960" s="2" t="s">
        <v>2133</v>
      </c>
      <c r="D960" s="2" t="s">
        <v>2133</v>
      </c>
      <c r="E960" s="2" t="s">
        <v>3458</v>
      </c>
      <c r="F960" s="7">
        <v>488651.55</v>
      </c>
      <c r="G960" s="13">
        <v>3</v>
      </c>
      <c r="H960" s="15">
        <f t="shared" si="43"/>
        <v>1465954.65</v>
      </c>
      <c r="I960" s="7">
        <f t="shared" si="44"/>
        <v>263871.837</v>
      </c>
      <c r="J960" s="7">
        <f t="shared" si="42"/>
        <v>1729826.487</v>
      </c>
    </row>
    <row r="961" spans="1:10" x14ac:dyDescent="0.3">
      <c r="A961" s="2">
        <v>945</v>
      </c>
      <c r="B961" s="2" t="s">
        <v>1170</v>
      </c>
      <c r="C961" s="2" t="s">
        <v>1171</v>
      </c>
      <c r="D961" s="2" t="s">
        <v>1171</v>
      </c>
      <c r="E961" s="2" t="s">
        <v>3458</v>
      </c>
      <c r="F961" s="7">
        <v>488651.55</v>
      </c>
      <c r="G961" s="13">
        <v>3</v>
      </c>
      <c r="H961" s="15">
        <f t="shared" si="43"/>
        <v>1465954.65</v>
      </c>
      <c r="I961" s="7">
        <f t="shared" si="44"/>
        <v>263871.837</v>
      </c>
      <c r="J961" s="7">
        <f t="shared" si="42"/>
        <v>1729826.487</v>
      </c>
    </row>
    <row r="962" spans="1:10" x14ac:dyDescent="0.3">
      <c r="A962" s="2">
        <v>946</v>
      </c>
      <c r="B962" s="2" t="s">
        <v>3935</v>
      </c>
      <c r="C962" s="2" t="s">
        <v>4433</v>
      </c>
      <c r="D962" s="2" t="s">
        <v>4433</v>
      </c>
      <c r="E962" s="2" t="s">
        <v>3458</v>
      </c>
      <c r="F962" s="7">
        <v>488651.55</v>
      </c>
      <c r="G962" s="13">
        <v>3</v>
      </c>
      <c r="H962" s="15">
        <f t="shared" si="43"/>
        <v>1465954.65</v>
      </c>
      <c r="I962" s="7">
        <f t="shared" si="44"/>
        <v>263871.837</v>
      </c>
      <c r="J962" s="7">
        <f t="shared" si="42"/>
        <v>1729826.487</v>
      </c>
    </row>
    <row r="963" spans="1:10" x14ac:dyDescent="0.3">
      <c r="A963" s="2">
        <v>947</v>
      </c>
      <c r="B963" s="2" t="s">
        <v>1990</v>
      </c>
      <c r="C963" s="2" t="s">
        <v>1991</v>
      </c>
      <c r="D963" s="2" t="s">
        <v>1991</v>
      </c>
      <c r="E963" s="2" t="s">
        <v>3458</v>
      </c>
      <c r="F963" s="7">
        <v>488651.55</v>
      </c>
      <c r="G963" s="13">
        <v>3</v>
      </c>
      <c r="H963" s="15">
        <f t="shared" si="43"/>
        <v>1465954.65</v>
      </c>
      <c r="I963" s="7">
        <f t="shared" si="44"/>
        <v>263871.837</v>
      </c>
      <c r="J963" s="7">
        <f t="shared" si="42"/>
        <v>1729826.487</v>
      </c>
    </row>
    <row r="964" spans="1:10" x14ac:dyDescent="0.3">
      <c r="A964" s="2">
        <v>948</v>
      </c>
      <c r="B964" s="2" t="s">
        <v>2130</v>
      </c>
      <c r="C964" s="2" t="s">
        <v>2131</v>
      </c>
      <c r="D964" s="2" t="s">
        <v>2131</v>
      </c>
      <c r="E964" s="2" t="s">
        <v>3458</v>
      </c>
      <c r="F964" s="7">
        <v>488651.55</v>
      </c>
      <c r="G964" s="13">
        <v>3</v>
      </c>
      <c r="H964" s="15">
        <f t="shared" si="43"/>
        <v>1465954.65</v>
      </c>
      <c r="I964" s="7">
        <f t="shared" si="44"/>
        <v>263871.837</v>
      </c>
      <c r="J964" s="7">
        <f t="shared" si="42"/>
        <v>1729826.487</v>
      </c>
    </row>
    <row r="965" spans="1:10" x14ac:dyDescent="0.3">
      <c r="A965" s="2">
        <v>949</v>
      </c>
      <c r="B965" s="2" t="s">
        <v>1928</v>
      </c>
      <c r="C965" s="2" t="s">
        <v>1929</v>
      </c>
      <c r="D965" s="2" t="s">
        <v>1929</v>
      </c>
      <c r="E965" s="2" t="s">
        <v>3458</v>
      </c>
      <c r="F965" s="7">
        <v>488651.55</v>
      </c>
      <c r="G965" s="13">
        <v>3</v>
      </c>
      <c r="H965" s="15">
        <f t="shared" si="43"/>
        <v>1465954.65</v>
      </c>
      <c r="I965" s="7">
        <f t="shared" si="44"/>
        <v>263871.837</v>
      </c>
      <c r="J965" s="7">
        <f t="shared" si="42"/>
        <v>1729826.487</v>
      </c>
    </row>
    <row r="966" spans="1:10" x14ac:dyDescent="0.3">
      <c r="A966" s="2">
        <v>950</v>
      </c>
      <c r="B966" s="2" t="s">
        <v>1156</v>
      </c>
      <c r="C966" s="2" t="s">
        <v>1157</v>
      </c>
      <c r="D966" s="2" t="s">
        <v>1157</v>
      </c>
      <c r="E966" s="2" t="s">
        <v>3458</v>
      </c>
      <c r="F966" s="7">
        <v>488651.55</v>
      </c>
      <c r="G966" s="13">
        <v>3</v>
      </c>
      <c r="H966" s="15">
        <f t="shared" si="43"/>
        <v>1465954.65</v>
      </c>
      <c r="I966" s="7">
        <f t="shared" si="44"/>
        <v>263871.837</v>
      </c>
      <c r="J966" s="7">
        <f t="shared" si="42"/>
        <v>1729826.487</v>
      </c>
    </row>
    <row r="967" spans="1:10" x14ac:dyDescent="0.3">
      <c r="A967" s="2">
        <v>951</v>
      </c>
      <c r="B967" s="2" t="s">
        <v>3936</v>
      </c>
      <c r="C967" s="2" t="s">
        <v>4434</v>
      </c>
      <c r="D967" s="2" t="s">
        <v>4434</v>
      </c>
      <c r="E967" s="2" t="s">
        <v>3458</v>
      </c>
      <c r="F967" s="7">
        <v>488651.55</v>
      </c>
      <c r="G967" s="13">
        <v>3</v>
      </c>
      <c r="H967" s="15">
        <f t="shared" si="43"/>
        <v>1465954.65</v>
      </c>
      <c r="I967" s="7">
        <f t="shared" si="44"/>
        <v>263871.837</v>
      </c>
      <c r="J967" s="7">
        <f t="shared" si="42"/>
        <v>1729826.487</v>
      </c>
    </row>
    <row r="968" spans="1:10" x14ac:dyDescent="0.3">
      <c r="A968" s="2">
        <v>952</v>
      </c>
      <c r="B968" s="2" t="s">
        <v>3937</v>
      </c>
      <c r="C968" s="2" t="s">
        <v>4435</v>
      </c>
      <c r="D968" s="2" t="s">
        <v>4435</v>
      </c>
      <c r="E968" s="2" t="s">
        <v>3458</v>
      </c>
      <c r="F968" s="7">
        <v>488651.55</v>
      </c>
      <c r="G968" s="13">
        <v>3</v>
      </c>
      <c r="H968" s="15">
        <f t="shared" si="43"/>
        <v>1465954.65</v>
      </c>
      <c r="I968" s="7">
        <f t="shared" si="44"/>
        <v>263871.837</v>
      </c>
      <c r="J968" s="7">
        <f t="shared" si="42"/>
        <v>1729826.487</v>
      </c>
    </row>
    <row r="969" spans="1:10" x14ac:dyDescent="0.3">
      <c r="A969" s="2">
        <v>953</v>
      </c>
      <c r="B969" s="2" t="s">
        <v>3938</v>
      </c>
      <c r="C969" s="2" t="s">
        <v>4436</v>
      </c>
      <c r="D969" s="2" t="s">
        <v>4436</v>
      </c>
      <c r="E969" s="2" t="s">
        <v>3458</v>
      </c>
      <c r="F969" s="7">
        <v>488651.55</v>
      </c>
      <c r="G969" s="13">
        <v>3</v>
      </c>
      <c r="H969" s="15">
        <f t="shared" si="43"/>
        <v>1465954.65</v>
      </c>
      <c r="I969" s="7">
        <f t="shared" si="44"/>
        <v>263871.837</v>
      </c>
      <c r="J969" s="7">
        <f t="shared" ref="J969:J1032" si="45">+H969+I969</f>
        <v>1729826.487</v>
      </c>
    </row>
    <row r="970" spans="1:10" x14ac:dyDescent="0.3">
      <c r="A970" s="2">
        <v>954</v>
      </c>
      <c r="B970" s="2" t="s">
        <v>1714</v>
      </c>
      <c r="C970" s="2" t="s">
        <v>1715</v>
      </c>
      <c r="D970" s="2" t="s">
        <v>1715</v>
      </c>
      <c r="E970" s="2" t="s">
        <v>3458</v>
      </c>
      <c r="F970" s="7">
        <v>488651.55</v>
      </c>
      <c r="G970" s="13">
        <v>3</v>
      </c>
      <c r="H970" s="15">
        <f t="shared" si="43"/>
        <v>1465954.65</v>
      </c>
      <c r="I970" s="7">
        <f t="shared" si="44"/>
        <v>263871.837</v>
      </c>
      <c r="J970" s="7">
        <f t="shared" si="45"/>
        <v>1729826.487</v>
      </c>
    </row>
    <row r="971" spans="1:10" x14ac:dyDescent="0.3">
      <c r="A971" s="2">
        <v>955</v>
      </c>
      <c r="B971" s="2" t="s">
        <v>3939</v>
      </c>
      <c r="C971" s="2" t="s">
        <v>4437</v>
      </c>
      <c r="D971" s="2" t="s">
        <v>4437</v>
      </c>
      <c r="E971" s="2" t="s">
        <v>3458</v>
      </c>
      <c r="F971" s="7">
        <v>488651.55</v>
      </c>
      <c r="G971" s="13">
        <v>3</v>
      </c>
      <c r="H971" s="15">
        <f t="shared" si="43"/>
        <v>1465954.65</v>
      </c>
      <c r="I971" s="7">
        <f t="shared" si="44"/>
        <v>263871.837</v>
      </c>
      <c r="J971" s="7">
        <f t="shared" si="45"/>
        <v>1729826.487</v>
      </c>
    </row>
    <row r="972" spans="1:10" x14ac:dyDescent="0.3">
      <c r="A972" s="2">
        <v>956</v>
      </c>
      <c r="B972" s="2" t="s">
        <v>3940</v>
      </c>
      <c r="C972" s="2" t="s">
        <v>4438</v>
      </c>
      <c r="D972" s="2" t="s">
        <v>4438</v>
      </c>
      <c r="E972" s="2" t="s">
        <v>3458</v>
      </c>
      <c r="F972" s="7">
        <v>488651.55</v>
      </c>
      <c r="G972" s="13">
        <v>3</v>
      </c>
      <c r="H972" s="15">
        <f t="shared" si="43"/>
        <v>1465954.65</v>
      </c>
      <c r="I972" s="7">
        <f t="shared" si="44"/>
        <v>263871.837</v>
      </c>
      <c r="J972" s="7">
        <f t="shared" si="45"/>
        <v>1729826.487</v>
      </c>
    </row>
    <row r="973" spans="1:10" x14ac:dyDescent="0.3">
      <c r="A973" s="2">
        <v>957</v>
      </c>
      <c r="B973" s="2" t="s">
        <v>1772</v>
      </c>
      <c r="C973" s="2" t="s">
        <v>1773</v>
      </c>
      <c r="D973" s="2" t="s">
        <v>1773</v>
      </c>
      <c r="E973" s="2" t="s">
        <v>3458</v>
      </c>
      <c r="F973" s="7">
        <v>488651.55</v>
      </c>
      <c r="G973" s="13">
        <v>3</v>
      </c>
      <c r="H973" s="15">
        <f t="shared" si="43"/>
        <v>1465954.65</v>
      </c>
      <c r="I973" s="7">
        <f t="shared" si="44"/>
        <v>263871.837</v>
      </c>
      <c r="J973" s="7">
        <f t="shared" si="45"/>
        <v>1729826.487</v>
      </c>
    </row>
    <row r="974" spans="1:10" x14ac:dyDescent="0.3">
      <c r="A974" s="2">
        <v>958</v>
      </c>
      <c r="B974" s="2" t="s">
        <v>1281</v>
      </c>
      <c r="C974" s="2" t="s">
        <v>1282</v>
      </c>
      <c r="D974" s="2" t="s">
        <v>1282</v>
      </c>
      <c r="E974" s="2" t="s">
        <v>3458</v>
      </c>
      <c r="F974" s="7">
        <v>488651.55</v>
      </c>
      <c r="G974" s="13">
        <v>3</v>
      </c>
      <c r="H974" s="15">
        <f t="shared" si="43"/>
        <v>1465954.65</v>
      </c>
      <c r="I974" s="7">
        <f t="shared" si="44"/>
        <v>263871.837</v>
      </c>
      <c r="J974" s="7">
        <f t="shared" si="45"/>
        <v>1729826.487</v>
      </c>
    </row>
    <row r="975" spans="1:10" x14ac:dyDescent="0.3">
      <c r="A975" s="2">
        <v>959</v>
      </c>
      <c r="B975" s="2" t="s">
        <v>1136</v>
      </c>
      <c r="C975" s="2" t="s">
        <v>1137</v>
      </c>
      <c r="D975" s="2" t="s">
        <v>1137</v>
      </c>
      <c r="E975" s="2" t="s">
        <v>3458</v>
      </c>
      <c r="F975" s="7">
        <v>488651.55</v>
      </c>
      <c r="G975" s="13">
        <v>3</v>
      </c>
      <c r="H975" s="15">
        <f t="shared" si="43"/>
        <v>1465954.65</v>
      </c>
      <c r="I975" s="7">
        <f t="shared" si="44"/>
        <v>263871.837</v>
      </c>
      <c r="J975" s="7">
        <f t="shared" si="45"/>
        <v>1729826.487</v>
      </c>
    </row>
    <row r="976" spans="1:10" x14ac:dyDescent="0.3">
      <c r="A976" s="2">
        <v>960</v>
      </c>
      <c r="B976" s="2" t="s">
        <v>1810</v>
      </c>
      <c r="C976" s="2" t="s">
        <v>1811</v>
      </c>
      <c r="D976" s="2" t="s">
        <v>1811</v>
      </c>
      <c r="E976" s="2" t="s">
        <v>3458</v>
      </c>
      <c r="F976" s="7">
        <v>488651.55</v>
      </c>
      <c r="G976" s="13">
        <v>3</v>
      </c>
      <c r="H976" s="15">
        <f t="shared" ref="H976:H1039" si="46">+F976*G976</f>
        <v>1465954.65</v>
      </c>
      <c r="I976" s="7">
        <f t="shared" ref="I976:I1039" si="47">+H976*0.18</f>
        <v>263871.837</v>
      </c>
      <c r="J976" s="7">
        <f t="shared" si="45"/>
        <v>1729826.487</v>
      </c>
    </row>
    <row r="977" spans="1:10" x14ac:dyDescent="0.3">
      <c r="A977" s="2">
        <v>961</v>
      </c>
      <c r="B977" s="2" t="s">
        <v>1623</v>
      </c>
      <c r="C977" s="2" t="s">
        <v>1624</v>
      </c>
      <c r="D977" s="2" t="s">
        <v>1624</v>
      </c>
      <c r="E977" s="2" t="s">
        <v>3458</v>
      </c>
      <c r="F977" s="7">
        <v>488651.55</v>
      </c>
      <c r="G977" s="13">
        <v>3</v>
      </c>
      <c r="H977" s="15">
        <f t="shared" si="46"/>
        <v>1465954.65</v>
      </c>
      <c r="I977" s="7">
        <f t="shared" si="47"/>
        <v>263871.837</v>
      </c>
      <c r="J977" s="7">
        <f t="shared" si="45"/>
        <v>1729826.487</v>
      </c>
    </row>
    <row r="978" spans="1:10" x14ac:dyDescent="0.3">
      <c r="A978" s="2">
        <v>962</v>
      </c>
      <c r="B978" s="2" t="s">
        <v>3941</v>
      </c>
      <c r="C978" s="2" t="s">
        <v>4439</v>
      </c>
      <c r="D978" s="2" t="s">
        <v>4439</v>
      </c>
      <c r="E978" s="2" t="s">
        <v>3458</v>
      </c>
      <c r="F978" s="7">
        <v>488651.55</v>
      </c>
      <c r="G978" s="13">
        <v>3</v>
      </c>
      <c r="H978" s="15">
        <f t="shared" si="46"/>
        <v>1465954.65</v>
      </c>
      <c r="I978" s="7">
        <f t="shared" si="47"/>
        <v>263871.837</v>
      </c>
      <c r="J978" s="7">
        <f t="shared" si="45"/>
        <v>1729826.487</v>
      </c>
    </row>
    <row r="979" spans="1:10" x14ac:dyDescent="0.3">
      <c r="A979" s="2">
        <v>963</v>
      </c>
      <c r="B979" s="2" t="s">
        <v>1403</v>
      </c>
      <c r="C979" s="2" t="s">
        <v>1404</v>
      </c>
      <c r="D979" s="2" t="s">
        <v>1404</v>
      </c>
      <c r="E979" s="2" t="s">
        <v>3458</v>
      </c>
      <c r="F979" s="7">
        <v>488651.55</v>
      </c>
      <c r="G979" s="13">
        <v>3</v>
      </c>
      <c r="H979" s="15">
        <f t="shared" si="46"/>
        <v>1465954.65</v>
      </c>
      <c r="I979" s="7">
        <f t="shared" si="47"/>
        <v>263871.837</v>
      </c>
      <c r="J979" s="7">
        <f t="shared" si="45"/>
        <v>1729826.487</v>
      </c>
    </row>
    <row r="980" spans="1:10" x14ac:dyDescent="0.3">
      <c r="A980" s="2">
        <v>964</v>
      </c>
      <c r="B980" s="2" t="s">
        <v>2116</v>
      </c>
      <c r="C980" s="2" t="s">
        <v>2117</v>
      </c>
      <c r="D980" s="2" t="s">
        <v>2117</v>
      </c>
      <c r="E980" s="2" t="s">
        <v>3458</v>
      </c>
      <c r="F980" s="7">
        <v>488651.55</v>
      </c>
      <c r="G980" s="13">
        <v>3</v>
      </c>
      <c r="H980" s="15">
        <f t="shared" si="46"/>
        <v>1465954.65</v>
      </c>
      <c r="I980" s="7">
        <f t="shared" si="47"/>
        <v>263871.837</v>
      </c>
      <c r="J980" s="7">
        <f t="shared" si="45"/>
        <v>1729826.487</v>
      </c>
    </row>
    <row r="981" spans="1:10" x14ac:dyDescent="0.3">
      <c r="A981" s="2">
        <v>965</v>
      </c>
      <c r="B981" s="2" t="s">
        <v>3942</v>
      </c>
      <c r="C981" s="2" t="s">
        <v>4440</v>
      </c>
      <c r="D981" s="2" t="s">
        <v>4440</v>
      </c>
      <c r="E981" s="2" t="s">
        <v>3458</v>
      </c>
      <c r="F981" s="7">
        <v>488651.55</v>
      </c>
      <c r="G981" s="13">
        <v>3</v>
      </c>
      <c r="H981" s="15">
        <f t="shared" si="46"/>
        <v>1465954.65</v>
      </c>
      <c r="I981" s="7">
        <f t="shared" si="47"/>
        <v>263871.837</v>
      </c>
      <c r="J981" s="7">
        <f t="shared" si="45"/>
        <v>1729826.487</v>
      </c>
    </row>
    <row r="982" spans="1:10" x14ac:dyDescent="0.3">
      <c r="A982" s="2">
        <v>966</v>
      </c>
      <c r="B982" s="2" t="s">
        <v>3943</v>
      </c>
      <c r="C982" s="2" t="s">
        <v>4441</v>
      </c>
      <c r="D982" s="2" t="s">
        <v>4441</v>
      </c>
      <c r="E982" s="2" t="s">
        <v>3458</v>
      </c>
      <c r="F982" s="7">
        <v>488651.55</v>
      </c>
      <c r="G982" s="13">
        <v>3</v>
      </c>
      <c r="H982" s="15">
        <f t="shared" si="46"/>
        <v>1465954.65</v>
      </c>
      <c r="I982" s="7">
        <f t="shared" si="47"/>
        <v>263871.837</v>
      </c>
      <c r="J982" s="7">
        <f t="shared" si="45"/>
        <v>1729826.487</v>
      </c>
    </row>
    <row r="983" spans="1:10" x14ac:dyDescent="0.3">
      <c r="A983" s="2">
        <v>967</v>
      </c>
      <c r="B983" s="2" t="s">
        <v>2169</v>
      </c>
      <c r="C983" s="2" t="s">
        <v>2170</v>
      </c>
      <c r="D983" s="2" t="s">
        <v>2170</v>
      </c>
      <c r="E983" s="2" t="s">
        <v>3458</v>
      </c>
      <c r="F983" s="7">
        <v>488651.55</v>
      </c>
      <c r="G983" s="13">
        <v>3</v>
      </c>
      <c r="H983" s="15">
        <f t="shared" si="46"/>
        <v>1465954.65</v>
      </c>
      <c r="I983" s="7">
        <f t="shared" si="47"/>
        <v>263871.837</v>
      </c>
      <c r="J983" s="7">
        <f t="shared" si="45"/>
        <v>1729826.487</v>
      </c>
    </row>
    <row r="984" spans="1:10" x14ac:dyDescent="0.3">
      <c r="A984" s="2">
        <v>968</v>
      </c>
      <c r="B984" s="2" t="s">
        <v>1465</v>
      </c>
      <c r="C984" s="2" t="s">
        <v>1466</v>
      </c>
      <c r="D984" s="2" t="s">
        <v>1466</v>
      </c>
      <c r="E984" s="2" t="s">
        <v>3458</v>
      </c>
      <c r="F984" s="7">
        <v>488651.55</v>
      </c>
      <c r="G984" s="13">
        <v>3</v>
      </c>
      <c r="H984" s="15">
        <f t="shared" si="46"/>
        <v>1465954.65</v>
      </c>
      <c r="I984" s="7">
        <f t="shared" si="47"/>
        <v>263871.837</v>
      </c>
      <c r="J984" s="7">
        <f t="shared" si="45"/>
        <v>1729826.487</v>
      </c>
    </row>
    <row r="985" spans="1:10" x14ac:dyDescent="0.3">
      <c r="A985" s="2">
        <v>969</v>
      </c>
      <c r="B985" s="2" t="s">
        <v>1822</v>
      </c>
      <c r="C985" s="2" t="s">
        <v>1823</v>
      </c>
      <c r="D985" s="2" t="s">
        <v>1823</v>
      </c>
      <c r="E985" s="2" t="s">
        <v>3458</v>
      </c>
      <c r="F985" s="7">
        <v>488651.55</v>
      </c>
      <c r="G985" s="13">
        <v>3</v>
      </c>
      <c r="H985" s="15">
        <f t="shared" si="46"/>
        <v>1465954.65</v>
      </c>
      <c r="I985" s="7">
        <f t="shared" si="47"/>
        <v>263871.837</v>
      </c>
      <c r="J985" s="7">
        <f t="shared" si="45"/>
        <v>1729826.487</v>
      </c>
    </row>
    <row r="986" spans="1:10" x14ac:dyDescent="0.3">
      <c r="A986" s="2">
        <v>970</v>
      </c>
      <c r="B986" s="2" t="s">
        <v>2026</v>
      </c>
      <c r="C986" s="2" t="s">
        <v>2027</v>
      </c>
      <c r="D986" s="2" t="s">
        <v>2027</v>
      </c>
      <c r="E986" s="2" t="s">
        <v>3458</v>
      </c>
      <c r="F986" s="7">
        <v>488651.55</v>
      </c>
      <c r="G986" s="13">
        <v>3</v>
      </c>
      <c r="H986" s="15">
        <f t="shared" si="46"/>
        <v>1465954.65</v>
      </c>
      <c r="I986" s="7">
        <f t="shared" si="47"/>
        <v>263871.837</v>
      </c>
      <c r="J986" s="7">
        <f t="shared" si="45"/>
        <v>1729826.487</v>
      </c>
    </row>
    <row r="987" spans="1:10" x14ac:dyDescent="0.3">
      <c r="A987" s="2">
        <v>971</v>
      </c>
      <c r="B987" s="2" t="s">
        <v>3944</v>
      </c>
      <c r="C987" s="2" t="s">
        <v>4442</v>
      </c>
      <c r="D987" s="2" t="s">
        <v>4442</v>
      </c>
      <c r="E987" s="2" t="s">
        <v>3458</v>
      </c>
      <c r="F987" s="7">
        <v>488651.55</v>
      </c>
      <c r="G987" s="13">
        <v>3</v>
      </c>
      <c r="H987" s="15">
        <f t="shared" si="46"/>
        <v>1465954.65</v>
      </c>
      <c r="I987" s="7">
        <f t="shared" si="47"/>
        <v>263871.837</v>
      </c>
      <c r="J987" s="7">
        <f t="shared" si="45"/>
        <v>1729826.487</v>
      </c>
    </row>
    <row r="988" spans="1:10" x14ac:dyDescent="0.3">
      <c r="A988" s="2">
        <v>972</v>
      </c>
      <c r="B988" s="2" t="s">
        <v>3945</v>
      </c>
      <c r="C988" s="2" t="s">
        <v>4443</v>
      </c>
      <c r="D988" s="2" t="s">
        <v>4443</v>
      </c>
      <c r="E988" s="2" t="s">
        <v>3458</v>
      </c>
      <c r="F988" s="7">
        <v>488651.55</v>
      </c>
      <c r="G988" s="13">
        <v>3</v>
      </c>
      <c r="H988" s="15">
        <f t="shared" si="46"/>
        <v>1465954.65</v>
      </c>
      <c r="I988" s="7">
        <f t="shared" si="47"/>
        <v>263871.837</v>
      </c>
      <c r="J988" s="7">
        <f t="shared" si="45"/>
        <v>1729826.487</v>
      </c>
    </row>
    <row r="989" spans="1:10" x14ac:dyDescent="0.3">
      <c r="A989" s="2">
        <v>973</v>
      </c>
      <c r="B989" s="2" t="s">
        <v>3946</v>
      </c>
      <c r="C989" s="2" t="s">
        <v>4444</v>
      </c>
      <c r="D989" s="2" t="s">
        <v>4444</v>
      </c>
      <c r="E989" s="2" t="s">
        <v>3458</v>
      </c>
      <c r="F989" s="7">
        <v>488651.55</v>
      </c>
      <c r="G989" s="13">
        <v>3</v>
      </c>
      <c r="H989" s="15">
        <f t="shared" si="46"/>
        <v>1465954.65</v>
      </c>
      <c r="I989" s="7">
        <f t="shared" si="47"/>
        <v>263871.837</v>
      </c>
      <c r="J989" s="7">
        <f t="shared" si="45"/>
        <v>1729826.487</v>
      </c>
    </row>
    <row r="990" spans="1:10" x14ac:dyDescent="0.3">
      <c r="A990" s="2">
        <v>974</v>
      </c>
      <c r="B990" s="2" t="s">
        <v>3947</v>
      </c>
      <c r="C990" s="2" t="s">
        <v>4445</v>
      </c>
      <c r="D990" s="2" t="s">
        <v>4445</v>
      </c>
      <c r="E990" s="2" t="s">
        <v>3458</v>
      </c>
      <c r="F990" s="7">
        <v>488651.55</v>
      </c>
      <c r="G990" s="13">
        <v>3</v>
      </c>
      <c r="H990" s="15">
        <f t="shared" si="46"/>
        <v>1465954.65</v>
      </c>
      <c r="I990" s="7">
        <f t="shared" si="47"/>
        <v>263871.837</v>
      </c>
      <c r="J990" s="7">
        <f t="shared" si="45"/>
        <v>1729826.487</v>
      </c>
    </row>
    <row r="991" spans="1:10" x14ac:dyDescent="0.3">
      <c r="A991" s="2">
        <v>975</v>
      </c>
      <c r="B991" s="2" t="s">
        <v>1836</v>
      </c>
      <c r="C991" s="2" t="s">
        <v>1837</v>
      </c>
      <c r="D991" s="2" t="s">
        <v>1837</v>
      </c>
      <c r="E991" s="2" t="s">
        <v>3458</v>
      </c>
      <c r="F991" s="7">
        <v>488651.55</v>
      </c>
      <c r="G991" s="13">
        <v>3</v>
      </c>
      <c r="H991" s="15">
        <f t="shared" si="46"/>
        <v>1465954.65</v>
      </c>
      <c r="I991" s="7">
        <f t="shared" si="47"/>
        <v>263871.837</v>
      </c>
      <c r="J991" s="7">
        <f t="shared" si="45"/>
        <v>1729826.487</v>
      </c>
    </row>
    <row r="992" spans="1:10" x14ac:dyDescent="0.3">
      <c r="A992" s="2">
        <v>976</v>
      </c>
      <c r="B992" s="2" t="s">
        <v>3948</v>
      </c>
      <c r="C992" s="2" t="s">
        <v>4446</v>
      </c>
      <c r="D992" s="2" t="s">
        <v>4446</v>
      </c>
      <c r="E992" s="2" t="s">
        <v>3458</v>
      </c>
      <c r="F992" s="7">
        <v>488651.55</v>
      </c>
      <c r="G992" s="13">
        <v>3</v>
      </c>
      <c r="H992" s="15">
        <f t="shared" si="46"/>
        <v>1465954.65</v>
      </c>
      <c r="I992" s="7">
        <f t="shared" si="47"/>
        <v>263871.837</v>
      </c>
      <c r="J992" s="7">
        <f t="shared" si="45"/>
        <v>1729826.487</v>
      </c>
    </row>
    <row r="993" spans="1:10" x14ac:dyDescent="0.3">
      <c r="A993" s="2">
        <v>977</v>
      </c>
      <c r="B993" s="2" t="s">
        <v>1619</v>
      </c>
      <c r="C993" s="2" t="s">
        <v>1620</v>
      </c>
      <c r="D993" s="2" t="s">
        <v>1620</v>
      </c>
      <c r="E993" s="2" t="s">
        <v>3458</v>
      </c>
      <c r="F993" s="7">
        <v>488651.55</v>
      </c>
      <c r="G993" s="13">
        <v>3</v>
      </c>
      <c r="H993" s="15">
        <f t="shared" si="46"/>
        <v>1465954.65</v>
      </c>
      <c r="I993" s="7">
        <f t="shared" si="47"/>
        <v>263871.837</v>
      </c>
      <c r="J993" s="7">
        <f t="shared" si="45"/>
        <v>1729826.487</v>
      </c>
    </row>
    <row r="994" spans="1:10" x14ac:dyDescent="0.3">
      <c r="A994" s="2">
        <v>978</v>
      </c>
      <c r="B994" s="2" t="s">
        <v>1485</v>
      </c>
      <c r="C994" s="2" t="s">
        <v>1486</v>
      </c>
      <c r="D994" s="2" t="s">
        <v>1486</v>
      </c>
      <c r="E994" s="2" t="s">
        <v>3458</v>
      </c>
      <c r="F994" s="7">
        <v>488651.55</v>
      </c>
      <c r="G994" s="13">
        <v>3</v>
      </c>
      <c r="H994" s="15">
        <f t="shared" si="46"/>
        <v>1465954.65</v>
      </c>
      <c r="I994" s="7">
        <f t="shared" si="47"/>
        <v>263871.837</v>
      </c>
      <c r="J994" s="7">
        <f t="shared" si="45"/>
        <v>1729826.487</v>
      </c>
    </row>
    <row r="995" spans="1:10" x14ac:dyDescent="0.3">
      <c r="A995" s="2">
        <v>979</v>
      </c>
      <c r="B995" s="2" t="s">
        <v>3949</v>
      </c>
      <c r="C995" s="2" t="s">
        <v>4447</v>
      </c>
      <c r="D995" s="2" t="s">
        <v>4447</v>
      </c>
      <c r="E995" s="2" t="s">
        <v>3458</v>
      </c>
      <c r="F995" s="7">
        <v>488651.55</v>
      </c>
      <c r="G995" s="13">
        <v>3</v>
      </c>
      <c r="H995" s="15">
        <f t="shared" si="46"/>
        <v>1465954.65</v>
      </c>
      <c r="I995" s="7">
        <f t="shared" si="47"/>
        <v>263871.837</v>
      </c>
      <c r="J995" s="7">
        <f t="shared" si="45"/>
        <v>1729826.487</v>
      </c>
    </row>
    <row r="996" spans="1:10" x14ac:dyDescent="0.3">
      <c r="A996" s="2">
        <v>980</v>
      </c>
      <c r="B996" s="2" t="s">
        <v>1830</v>
      </c>
      <c r="C996" s="2" t="s">
        <v>1831</v>
      </c>
      <c r="D996" s="2" t="s">
        <v>1831</v>
      </c>
      <c r="E996" s="2" t="s">
        <v>3458</v>
      </c>
      <c r="F996" s="7">
        <v>488651.55</v>
      </c>
      <c r="G996" s="13">
        <v>3</v>
      </c>
      <c r="H996" s="15">
        <f t="shared" si="46"/>
        <v>1465954.65</v>
      </c>
      <c r="I996" s="7">
        <f t="shared" si="47"/>
        <v>263871.837</v>
      </c>
      <c r="J996" s="7">
        <f t="shared" si="45"/>
        <v>1729826.487</v>
      </c>
    </row>
    <row r="997" spans="1:10" x14ac:dyDescent="0.3">
      <c r="A997" s="2">
        <v>981</v>
      </c>
      <c r="B997" s="2" t="s">
        <v>3950</v>
      </c>
      <c r="C997" s="2" t="s">
        <v>4448</v>
      </c>
      <c r="D997" s="2" t="s">
        <v>4448</v>
      </c>
      <c r="E997" s="2" t="s">
        <v>3458</v>
      </c>
      <c r="F997" s="7">
        <v>488651.55</v>
      </c>
      <c r="G997" s="13">
        <v>3</v>
      </c>
      <c r="H997" s="15">
        <f t="shared" si="46"/>
        <v>1465954.65</v>
      </c>
      <c r="I997" s="7">
        <f t="shared" si="47"/>
        <v>263871.837</v>
      </c>
      <c r="J997" s="7">
        <f t="shared" si="45"/>
        <v>1729826.487</v>
      </c>
    </row>
    <row r="998" spans="1:10" x14ac:dyDescent="0.3">
      <c r="A998" s="2">
        <v>982</v>
      </c>
      <c r="B998" s="2" t="s">
        <v>1750</v>
      </c>
      <c r="C998" s="2" t="s">
        <v>1751</v>
      </c>
      <c r="D998" s="2" t="s">
        <v>1751</v>
      </c>
      <c r="E998" s="2" t="s">
        <v>3458</v>
      </c>
      <c r="F998" s="7">
        <v>488651.55</v>
      </c>
      <c r="G998" s="13">
        <v>3</v>
      </c>
      <c r="H998" s="15">
        <f t="shared" si="46"/>
        <v>1465954.65</v>
      </c>
      <c r="I998" s="7">
        <f t="shared" si="47"/>
        <v>263871.837</v>
      </c>
      <c r="J998" s="7">
        <f t="shared" si="45"/>
        <v>1729826.487</v>
      </c>
    </row>
    <row r="999" spans="1:10" x14ac:dyDescent="0.3">
      <c r="A999" s="2">
        <v>983</v>
      </c>
      <c r="B999" s="2" t="s">
        <v>3951</v>
      </c>
      <c r="C999" s="2" t="s">
        <v>4449</v>
      </c>
      <c r="D999" s="2" t="s">
        <v>4449</v>
      </c>
      <c r="E999" s="2" t="s">
        <v>3458</v>
      </c>
      <c r="F999" s="7">
        <v>488651.55</v>
      </c>
      <c r="G999" s="13">
        <v>3</v>
      </c>
      <c r="H999" s="15">
        <f t="shared" si="46"/>
        <v>1465954.65</v>
      </c>
      <c r="I999" s="7">
        <f t="shared" si="47"/>
        <v>263871.837</v>
      </c>
      <c r="J999" s="7">
        <f t="shared" si="45"/>
        <v>1729826.487</v>
      </c>
    </row>
    <row r="1000" spans="1:10" x14ac:dyDescent="0.3">
      <c r="A1000" s="2">
        <v>984</v>
      </c>
      <c r="B1000" s="2" t="s">
        <v>3952</v>
      </c>
      <c r="C1000" s="2" t="s">
        <v>2078</v>
      </c>
      <c r="D1000" s="2" t="s">
        <v>2078</v>
      </c>
      <c r="E1000" s="2" t="s">
        <v>3458</v>
      </c>
      <c r="F1000" s="7">
        <v>488651.55</v>
      </c>
      <c r="G1000" s="13">
        <v>3</v>
      </c>
      <c r="H1000" s="15">
        <f t="shared" si="46"/>
        <v>1465954.65</v>
      </c>
      <c r="I1000" s="7">
        <f t="shared" si="47"/>
        <v>263871.837</v>
      </c>
      <c r="J1000" s="7">
        <f t="shared" si="45"/>
        <v>1729826.487</v>
      </c>
    </row>
    <row r="1001" spans="1:10" x14ac:dyDescent="0.3">
      <c r="A1001" s="2">
        <v>985</v>
      </c>
      <c r="B1001" s="2" t="s">
        <v>3953</v>
      </c>
      <c r="C1001" s="2" t="s">
        <v>4450</v>
      </c>
      <c r="D1001" s="2" t="s">
        <v>4450</v>
      </c>
      <c r="E1001" s="2" t="s">
        <v>3458</v>
      </c>
      <c r="F1001" s="7">
        <v>488651.55</v>
      </c>
      <c r="G1001" s="13">
        <v>3</v>
      </c>
      <c r="H1001" s="15">
        <f t="shared" si="46"/>
        <v>1465954.65</v>
      </c>
      <c r="I1001" s="7">
        <f t="shared" si="47"/>
        <v>263871.837</v>
      </c>
      <c r="J1001" s="7">
        <f t="shared" si="45"/>
        <v>1729826.487</v>
      </c>
    </row>
    <row r="1002" spans="1:10" x14ac:dyDescent="0.3">
      <c r="A1002" s="2">
        <v>986</v>
      </c>
      <c r="B1002" s="2" t="s">
        <v>2072</v>
      </c>
      <c r="C1002" s="2" t="s">
        <v>2073</v>
      </c>
      <c r="D1002" s="2" t="s">
        <v>2073</v>
      </c>
      <c r="E1002" s="2" t="s">
        <v>3458</v>
      </c>
      <c r="F1002" s="7">
        <v>488651.55</v>
      </c>
      <c r="G1002" s="13">
        <v>3</v>
      </c>
      <c r="H1002" s="15">
        <f t="shared" si="46"/>
        <v>1465954.65</v>
      </c>
      <c r="I1002" s="7">
        <f t="shared" si="47"/>
        <v>263871.837</v>
      </c>
      <c r="J1002" s="7">
        <f t="shared" si="45"/>
        <v>1729826.487</v>
      </c>
    </row>
    <row r="1003" spans="1:10" x14ac:dyDescent="0.3">
      <c r="A1003" s="2">
        <v>987</v>
      </c>
      <c r="B1003" s="2" t="s">
        <v>2126</v>
      </c>
      <c r="C1003" s="2" t="s">
        <v>2127</v>
      </c>
      <c r="D1003" s="2" t="s">
        <v>2127</v>
      </c>
      <c r="E1003" s="2" t="s">
        <v>3458</v>
      </c>
      <c r="F1003" s="7">
        <v>488651.55</v>
      </c>
      <c r="G1003" s="13">
        <v>3</v>
      </c>
      <c r="H1003" s="15">
        <f t="shared" si="46"/>
        <v>1465954.65</v>
      </c>
      <c r="I1003" s="7">
        <f t="shared" si="47"/>
        <v>263871.837</v>
      </c>
      <c r="J1003" s="7">
        <f t="shared" si="45"/>
        <v>1729826.487</v>
      </c>
    </row>
    <row r="1004" spans="1:10" x14ac:dyDescent="0.3">
      <c r="A1004" s="2">
        <v>988</v>
      </c>
      <c r="B1004" s="2" t="s">
        <v>1588</v>
      </c>
      <c r="C1004" s="2" t="s">
        <v>1589</v>
      </c>
      <c r="D1004" s="2" t="s">
        <v>1589</v>
      </c>
      <c r="E1004" s="2" t="s">
        <v>3458</v>
      </c>
      <c r="F1004" s="7">
        <v>488651.55</v>
      </c>
      <c r="G1004" s="13">
        <v>3</v>
      </c>
      <c r="H1004" s="15">
        <f t="shared" si="46"/>
        <v>1465954.65</v>
      </c>
      <c r="I1004" s="7">
        <f t="shared" si="47"/>
        <v>263871.837</v>
      </c>
      <c r="J1004" s="7">
        <f t="shared" si="45"/>
        <v>1729826.487</v>
      </c>
    </row>
    <row r="1005" spans="1:10" x14ac:dyDescent="0.3">
      <c r="A1005" s="2">
        <v>989</v>
      </c>
      <c r="B1005" s="2" t="s">
        <v>3954</v>
      </c>
      <c r="C1005" s="2" t="s">
        <v>1997</v>
      </c>
      <c r="D1005" s="2" t="s">
        <v>1997</v>
      </c>
      <c r="E1005" s="2" t="s">
        <v>3458</v>
      </c>
      <c r="F1005" s="7">
        <v>488651.55</v>
      </c>
      <c r="G1005" s="13">
        <v>3</v>
      </c>
      <c r="H1005" s="15">
        <f t="shared" si="46"/>
        <v>1465954.65</v>
      </c>
      <c r="I1005" s="7">
        <f t="shared" si="47"/>
        <v>263871.837</v>
      </c>
      <c r="J1005" s="7">
        <f t="shared" si="45"/>
        <v>1729826.487</v>
      </c>
    </row>
    <row r="1006" spans="1:10" x14ac:dyDescent="0.3">
      <c r="A1006" s="2">
        <v>990</v>
      </c>
      <c r="B1006" s="2" t="s">
        <v>1678</v>
      </c>
      <c r="C1006" s="2" t="s">
        <v>1679</v>
      </c>
      <c r="D1006" s="2" t="s">
        <v>1679</v>
      </c>
      <c r="E1006" s="2" t="s">
        <v>3458</v>
      </c>
      <c r="F1006" s="7">
        <v>488651.55</v>
      </c>
      <c r="G1006" s="13">
        <v>3</v>
      </c>
      <c r="H1006" s="15">
        <f t="shared" si="46"/>
        <v>1465954.65</v>
      </c>
      <c r="I1006" s="7">
        <f t="shared" si="47"/>
        <v>263871.837</v>
      </c>
      <c r="J1006" s="7">
        <f t="shared" si="45"/>
        <v>1729826.487</v>
      </c>
    </row>
    <row r="1007" spans="1:10" x14ac:dyDescent="0.3">
      <c r="A1007" s="2">
        <v>991</v>
      </c>
      <c r="B1007" s="2" t="s">
        <v>3955</v>
      </c>
      <c r="C1007" s="2" t="s">
        <v>4451</v>
      </c>
      <c r="D1007" s="2" t="s">
        <v>4451</v>
      </c>
      <c r="E1007" s="2" t="s">
        <v>3458</v>
      </c>
      <c r="F1007" s="7">
        <v>488651.55</v>
      </c>
      <c r="G1007" s="13">
        <v>3</v>
      </c>
      <c r="H1007" s="15">
        <f t="shared" si="46"/>
        <v>1465954.65</v>
      </c>
      <c r="I1007" s="7">
        <f t="shared" si="47"/>
        <v>263871.837</v>
      </c>
      <c r="J1007" s="7">
        <f t="shared" si="45"/>
        <v>1729826.487</v>
      </c>
    </row>
    <row r="1008" spans="1:10" x14ac:dyDescent="0.3">
      <c r="A1008" s="2">
        <v>992</v>
      </c>
      <c r="B1008" s="2" t="s">
        <v>1407</v>
      </c>
      <c r="C1008" s="2" t="s">
        <v>1408</v>
      </c>
      <c r="D1008" s="2" t="s">
        <v>1408</v>
      </c>
      <c r="E1008" s="2" t="s">
        <v>3458</v>
      </c>
      <c r="F1008" s="7">
        <v>488651.55</v>
      </c>
      <c r="G1008" s="13">
        <v>3</v>
      </c>
      <c r="H1008" s="15">
        <f t="shared" si="46"/>
        <v>1465954.65</v>
      </c>
      <c r="I1008" s="7">
        <f t="shared" si="47"/>
        <v>263871.837</v>
      </c>
      <c r="J1008" s="7">
        <f t="shared" si="45"/>
        <v>1729826.487</v>
      </c>
    </row>
    <row r="1009" spans="1:10" x14ac:dyDescent="0.3">
      <c r="A1009" s="2">
        <v>993</v>
      </c>
      <c r="B1009" s="2" t="s">
        <v>1846</v>
      </c>
      <c r="C1009" s="2" t="s">
        <v>1847</v>
      </c>
      <c r="D1009" s="2" t="s">
        <v>1847</v>
      </c>
      <c r="E1009" s="2" t="s">
        <v>3458</v>
      </c>
      <c r="F1009" s="7">
        <v>488651.55</v>
      </c>
      <c r="G1009" s="13">
        <v>3</v>
      </c>
      <c r="H1009" s="15">
        <f t="shared" si="46"/>
        <v>1465954.65</v>
      </c>
      <c r="I1009" s="7">
        <f t="shared" si="47"/>
        <v>263871.837</v>
      </c>
      <c r="J1009" s="7">
        <f t="shared" si="45"/>
        <v>1729826.487</v>
      </c>
    </row>
    <row r="1010" spans="1:10" x14ac:dyDescent="0.3">
      <c r="A1010" s="2">
        <v>994</v>
      </c>
      <c r="B1010" s="2" t="s">
        <v>1882</v>
      </c>
      <c r="C1010" s="2" t="s">
        <v>1883</v>
      </c>
      <c r="D1010" s="2" t="s">
        <v>1883</v>
      </c>
      <c r="E1010" s="2" t="s">
        <v>3458</v>
      </c>
      <c r="F1010" s="7">
        <v>488651.55</v>
      </c>
      <c r="G1010" s="13">
        <v>3</v>
      </c>
      <c r="H1010" s="15">
        <f t="shared" si="46"/>
        <v>1465954.65</v>
      </c>
      <c r="I1010" s="7">
        <f t="shared" si="47"/>
        <v>263871.837</v>
      </c>
      <c r="J1010" s="7">
        <f t="shared" si="45"/>
        <v>1729826.487</v>
      </c>
    </row>
    <row r="1011" spans="1:10" x14ac:dyDescent="0.3">
      <c r="A1011" s="2">
        <v>995</v>
      </c>
      <c r="B1011" s="2" t="s">
        <v>3956</v>
      </c>
      <c r="C1011" s="2" t="s">
        <v>4452</v>
      </c>
      <c r="D1011" s="2" t="s">
        <v>4452</v>
      </c>
      <c r="E1011" s="2" t="s">
        <v>3458</v>
      </c>
      <c r="F1011" s="7">
        <v>488651.55</v>
      </c>
      <c r="G1011" s="13">
        <v>3</v>
      </c>
      <c r="H1011" s="15">
        <f t="shared" si="46"/>
        <v>1465954.65</v>
      </c>
      <c r="I1011" s="7">
        <f t="shared" si="47"/>
        <v>263871.837</v>
      </c>
      <c r="J1011" s="7">
        <f t="shared" si="45"/>
        <v>1729826.487</v>
      </c>
    </row>
    <row r="1012" spans="1:10" x14ac:dyDescent="0.3">
      <c r="A1012" s="2">
        <v>996</v>
      </c>
      <c r="B1012" s="2" t="s">
        <v>3957</v>
      </c>
      <c r="C1012" s="2" t="s">
        <v>4453</v>
      </c>
      <c r="D1012" s="2" t="s">
        <v>4453</v>
      </c>
      <c r="E1012" s="2" t="s">
        <v>3458</v>
      </c>
      <c r="F1012" s="7">
        <v>488651.55</v>
      </c>
      <c r="G1012" s="13">
        <v>3</v>
      </c>
      <c r="H1012" s="15">
        <f t="shared" si="46"/>
        <v>1465954.65</v>
      </c>
      <c r="I1012" s="7">
        <f t="shared" si="47"/>
        <v>263871.837</v>
      </c>
      <c r="J1012" s="7">
        <f t="shared" si="45"/>
        <v>1729826.487</v>
      </c>
    </row>
    <row r="1013" spans="1:10" x14ac:dyDescent="0.3">
      <c r="A1013" s="2">
        <v>997</v>
      </c>
      <c r="B1013" s="2" t="s">
        <v>2083</v>
      </c>
      <c r="C1013" s="2" t="s">
        <v>2084</v>
      </c>
      <c r="D1013" s="2" t="s">
        <v>2084</v>
      </c>
      <c r="E1013" s="2" t="s">
        <v>3458</v>
      </c>
      <c r="F1013" s="7">
        <v>488651.55</v>
      </c>
      <c r="G1013" s="13">
        <v>3</v>
      </c>
      <c r="H1013" s="15">
        <f t="shared" si="46"/>
        <v>1465954.65</v>
      </c>
      <c r="I1013" s="7">
        <f t="shared" si="47"/>
        <v>263871.837</v>
      </c>
      <c r="J1013" s="7">
        <f t="shared" si="45"/>
        <v>1729826.487</v>
      </c>
    </row>
    <row r="1014" spans="1:10" x14ac:dyDescent="0.3">
      <c r="A1014" s="2">
        <v>998</v>
      </c>
      <c r="B1014" s="2" t="s">
        <v>1976</v>
      </c>
      <c r="C1014" s="2" t="s">
        <v>1977</v>
      </c>
      <c r="D1014" s="2" t="s">
        <v>1977</v>
      </c>
      <c r="E1014" s="2" t="s">
        <v>3458</v>
      </c>
      <c r="F1014" s="7">
        <v>488651.55</v>
      </c>
      <c r="G1014" s="13">
        <v>3</v>
      </c>
      <c r="H1014" s="15">
        <f t="shared" si="46"/>
        <v>1465954.65</v>
      </c>
      <c r="I1014" s="7">
        <f t="shared" si="47"/>
        <v>263871.837</v>
      </c>
      <c r="J1014" s="7">
        <f t="shared" si="45"/>
        <v>1729826.487</v>
      </c>
    </row>
    <row r="1015" spans="1:10" x14ac:dyDescent="0.3">
      <c r="A1015" s="2">
        <v>999</v>
      </c>
      <c r="B1015" s="2" t="s">
        <v>3461</v>
      </c>
      <c r="C1015" s="2" t="s">
        <v>3466</v>
      </c>
      <c r="D1015" s="2" t="s">
        <v>3466</v>
      </c>
      <c r="E1015" s="2" t="s">
        <v>3458</v>
      </c>
      <c r="F1015" s="7">
        <v>488651.55</v>
      </c>
      <c r="G1015" s="13">
        <v>3</v>
      </c>
      <c r="H1015" s="15">
        <f t="shared" si="46"/>
        <v>1465954.65</v>
      </c>
      <c r="I1015" s="7">
        <f t="shared" si="47"/>
        <v>263871.837</v>
      </c>
      <c r="J1015" s="7">
        <f t="shared" si="45"/>
        <v>1729826.487</v>
      </c>
    </row>
    <row r="1016" spans="1:10" x14ac:dyDescent="0.3">
      <c r="A1016" s="2">
        <v>1000</v>
      </c>
      <c r="B1016" s="2" t="s">
        <v>3958</v>
      </c>
      <c r="C1016" s="2" t="s">
        <v>4454</v>
      </c>
      <c r="D1016" s="2" t="s">
        <v>4454</v>
      </c>
      <c r="E1016" s="2" t="s">
        <v>3458</v>
      </c>
      <c r="F1016" s="7">
        <v>488651.55</v>
      </c>
      <c r="G1016" s="13">
        <v>3</v>
      </c>
      <c r="H1016" s="15">
        <f t="shared" si="46"/>
        <v>1465954.65</v>
      </c>
      <c r="I1016" s="7">
        <f t="shared" si="47"/>
        <v>263871.837</v>
      </c>
      <c r="J1016" s="7">
        <f t="shared" si="45"/>
        <v>1729826.487</v>
      </c>
    </row>
    <row r="1017" spans="1:10" x14ac:dyDescent="0.3">
      <c r="A1017" s="2">
        <v>1001</v>
      </c>
      <c r="B1017" s="2" t="s">
        <v>2014</v>
      </c>
      <c r="C1017" s="2" t="s">
        <v>2015</v>
      </c>
      <c r="D1017" s="2" t="s">
        <v>2015</v>
      </c>
      <c r="E1017" s="2" t="s">
        <v>3458</v>
      </c>
      <c r="F1017" s="7">
        <v>488651.55</v>
      </c>
      <c r="G1017" s="13">
        <v>3</v>
      </c>
      <c r="H1017" s="15">
        <f t="shared" si="46"/>
        <v>1465954.65</v>
      </c>
      <c r="I1017" s="7">
        <f t="shared" si="47"/>
        <v>263871.837</v>
      </c>
      <c r="J1017" s="7">
        <f t="shared" si="45"/>
        <v>1729826.487</v>
      </c>
    </row>
    <row r="1018" spans="1:10" x14ac:dyDescent="0.3">
      <c r="A1018" s="2">
        <v>1002</v>
      </c>
      <c r="B1018" s="2" t="s">
        <v>1635</v>
      </c>
      <c r="C1018" s="2" t="s">
        <v>1636</v>
      </c>
      <c r="D1018" s="2" t="s">
        <v>1636</v>
      </c>
      <c r="E1018" s="2" t="s">
        <v>3458</v>
      </c>
      <c r="F1018" s="7">
        <v>488651.55</v>
      </c>
      <c r="G1018" s="13">
        <v>3</v>
      </c>
      <c r="H1018" s="15">
        <f t="shared" si="46"/>
        <v>1465954.65</v>
      </c>
      <c r="I1018" s="7">
        <f t="shared" si="47"/>
        <v>263871.837</v>
      </c>
      <c r="J1018" s="7">
        <f t="shared" si="45"/>
        <v>1729826.487</v>
      </c>
    </row>
    <row r="1019" spans="1:10" x14ac:dyDescent="0.3">
      <c r="A1019" s="2">
        <v>1003</v>
      </c>
      <c r="B1019" s="2" t="s">
        <v>3959</v>
      </c>
      <c r="C1019" s="2" t="s">
        <v>4455</v>
      </c>
      <c r="D1019" s="2" t="s">
        <v>4455</v>
      </c>
      <c r="E1019" s="2" t="s">
        <v>3458</v>
      </c>
      <c r="F1019" s="7">
        <v>488651.55</v>
      </c>
      <c r="G1019" s="13">
        <v>3</v>
      </c>
      <c r="H1019" s="15">
        <f t="shared" si="46"/>
        <v>1465954.65</v>
      </c>
      <c r="I1019" s="7">
        <f t="shared" si="47"/>
        <v>263871.837</v>
      </c>
      <c r="J1019" s="7">
        <f t="shared" si="45"/>
        <v>1729826.487</v>
      </c>
    </row>
    <row r="1020" spans="1:10" x14ac:dyDescent="0.3">
      <c r="A1020" s="2">
        <v>1004</v>
      </c>
      <c r="B1020" s="2" t="s">
        <v>3960</v>
      </c>
      <c r="C1020" s="2" t="s">
        <v>4456</v>
      </c>
      <c r="D1020" s="2" t="s">
        <v>4456</v>
      </c>
      <c r="E1020" s="2" t="s">
        <v>3458</v>
      </c>
      <c r="F1020" s="7">
        <v>488651.55</v>
      </c>
      <c r="G1020" s="13">
        <v>3</v>
      </c>
      <c r="H1020" s="15">
        <f t="shared" si="46"/>
        <v>1465954.65</v>
      </c>
      <c r="I1020" s="7">
        <f t="shared" si="47"/>
        <v>263871.837</v>
      </c>
      <c r="J1020" s="7">
        <f t="shared" si="45"/>
        <v>1729826.487</v>
      </c>
    </row>
    <row r="1021" spans="1:10" x14ac:dyDescent="0.3">
      <c r="A1021" s="2">
        <v>1005</v>
      </c>
      <c r="B1021" s="2" t="s">
        <v>3961</v>
      </c>
      <c r="C1021" s="2" t="s">
        <v>4457</v>
      </c>
      <c r="D1021" s="2" t="s">
        <v>4457</v>
      </c>
      <c r="E1021" s="2" t="s">
        <v>3458</v>
      </c>
      <c r="F1021" s="7">
        <v>488651.55</v>
      </c>
      <c r="G1021" s="13">
        <v>3</v>
      </c>
      <c r="H1021" s="15">
        <f t="shared" si="46"/>
        <v>1465954.65</v>
      </c>
      <c r="I1021" s="7">
        <f t="shared" si="47"/>
        <v>263871.837</v>
      </c>
      <c r="J1021" s="7">
        <f t="shared" si="45"/>
        <v>1729826.487</v>
      </c>
    </row>
    <row r="1022" spans="1:10" x14ac:dyDescent="0.3">
      <c r="A1022" s="2">
        <v>1006</v>
      </c>
      <c r="B1022" s="2" t="s">
        <v>3962</v>
      </c>
      <c r="C1022" s="2" t="s">
        <v>4458</v>
      </c>
      <c r="D1022" s="2" t="s">
        <v>4458</v>
      </c>
      <c r="E1022" s="2" t="s">
        <v>3458</v>
      </c>
      <c r="F1022" s="7">
        <v>488651.55</v>
      </c>
      <c r="G1022" s="13">
        <v>3</v>
      </c>
      <c r="H1022" s="15">
        <f t="shared" si="46"/>
        <v>1465954.65</v>
      </c>
      <c r="I1022" s="7">
        <f t="shared" si="47"/>
        <v>263871.837</v>
      </c>
      <c r="J1022" s="7">
        <f t="shared" si="45"/>
        <v>1729826.487</v>
      </c>
    </row>
    <row r="1023" spans="1:10" x14ac:dyDescent="0.3">
      <c r="A1023" s="2">
        <v>1007</v>
      </c>
      <c r="B1023" s="2" t="s">
        <v>3963</v>
      </c>
      <c r="C1023" s="2" t="s">
        <v>4459</v>
      </c>
      <c r="D1023" s="2" t="s">
        <v>4459</v>
      </c>
      <c r="E1023" s="2" t="s">
        <v>3458</v>
      </c>
      <c r="F1023" s="7">
        <v>488651.55</v>
      </c>
      <c r="G1023" s="13">
        <v>3</v>
      </c>
      <c r="H1023" s="15">
        <f t="shared" si="46"/>
        <v>1465954.65</v>
      </c>
      <c r="I1023" s="7">
        <f t="shared" si="47"/>
        <v>263871.837</v>
      </c>
      <c r="J1023" s="7">
        <f t="shared" si="45"/>
        <v>1729826.487</v>
      </c>
    </row>
    <row r="1024" spans="1:10" x14ac:dyDescent="0.3">
      <c r="A1024" s="2">
        <v>1008</v>
      </c>
      <c r="B1024" s="2" t="s">
        <v>3964</v>
      </c>
      <c r="C1024" s="2" t="s">
        <v>4460</v>
      </c>
      <c r="D1024" s="2" t="s">
        <v>4460</v>
      </c>
      <c r="E1024" s="2" t="s">
        <v>3458</v>
      </c>
      <c r="F1024" s="7">
        <v>488651.55</v>
      </c>
      <c r="G1024" s="13">
        <v>3</v>
      </c>
      <c r="H1024" s="15">
        <f t="shared" si="46"/>
        <v>1465954.65</v>
      </c>
      <c r="I1024" s="7">
        <f t="shared" si="47"/>
        <v>263871.837</v>
      </c>
      <c r="J1024" s="7">
        <f t="shared" si="45"/>
        <v>1729826.487</v>
      </c>
    </row>
    <row r="1025" spans="1:10" x14ac:dyDescent="0.3">
      <c r="A1025" s="2">
        <v>1009</v>
      </c>
      <c r="B1025" s="2" t="s">
        <v>3965</v>
      </c>
      <c r="C1025" s="2" t="s">
        <v>4461</v>
      </c>
      <c r="D1025" s="2" t="s">
        <v>4461</v>
      </c>
      <c r="E1025" s="2" t="s">
        <v>3458</v>
      </c>
      <c r="F1025" s="7">
        <v>488651.55</v>
      </c>
      <c r="G1025" s="13">
        <v>3</v>
      </c>
      <c r="H1025" s="15">
        <f t="shared" si="46"/>
        <v>1465954.65</v>
      </c>
      <c r="I1025" s="7">
        <f t="shared" si="47"/>
        <v>263871.837</v>
      </c>
      <c r="J1025" s="7">
        <f t="shared" si="45"/>
        <v>1729826.487</v>
      </c>
    </row>
    <row r="1026" spans="1:10" x14ac:dyDescent="0.3">
      <c r="A1026" s="2">
        <v>1010</v>
      </c>
      <c r="B1026" s="2" t="s">
        <v>3966</v>
      </c>
      <c r="C1026" s="2" t="s">
        <v>4462</v>
      </c>
      <c r="D1026" s="2" t="s">
        <v>4462</v>
      </c>
      <c r="E1026" s="2" t="s">
        <v>3458</v>
      </c>
      <c r="F1026" s="7">
        <v>488651.55</v>
      </c>
      <c r="G1026" s="13">
        <v>3</v>
      </c>
      <c r="H1026" s="15">
        <f t="shared" si="46"/>
        <v>1465954.65</v>
      </c>
      <c r="I1026" s="7">
        <f t="shared" si="47"/>
        <v>263871.837</v>
      </c>
      <c r="J1026" s="7">
        <f t="shared" si="45"/>
        <v>1729826.487</v>
      </c>
    </row>
    <row r="1027" spans="1:10" x14ac:dyDescent="0.3">
      <c r="A1027" s="2">
        <v>1011</v>
      </c>
      <c r="B1027" s="2" t="s">
        <v>3967</v>
      </c>
      <c r="C1027" s="2" t="s">
        <v>4463</v>
      </c>
      <c r="D1027" s="2" t="s">
        <v>4463</v>
      </c>
      <c r="E1027" s="2" t="s">
        <v>3458</v>
      </c>
      <c r="F1027" s="7">
        <v>488651.55</v>
      </c>
      <c r="G1027" s="13">
        <v>3</v>
      </c>
      <c r="H1027" s="15">
        <f t="shared" si="46"/>
        <v>1465954.65</v>
      </c>
      <c r="I1027" s="7">
        <f t="shared" si="47"/>
        <v>263871.837</v>
      </c>
      <c r="J1027" s="7">
        <f t="shared" si="45"/>
        <v>1729826.487</v>
      </c>
    </row>
    <row r="1028" spans="1:10" x14ac:dyDescent="0.3">
      <c r="A1028" s="2">
        <v>1012</v>
      </c>
      <c r="B1028" s="2" t="s">
        <v>3968</v>
      </c>
      <c r="C1028" s="2" t="s">
        <v>4464</v>
      </c>
      <c r="D1028" s="2" t="s">
        <v>4464</v>
      </c>
      <c r="E1028" s="2" t="s">
        <v>3458</v>
      </c>
      <c r="F1028" s="7">
        <v>488651.55</v>
      </c>
      <c r="G1028" s="13">
        <v>3</v>
      </c>
      <c r="H1028" s="15">
        <f t="shared" si="46"/>
        <v>1465954.65</v>
      </c>
      <c r="I1028" s="7">
        <f t="shared" si="47"/>
        <v>263871.837</v>
      </c>
      <c r="J1028" s="7">
        <f t="shared" si="45"/>
        <v>1729826.487</v>
      </c>
    </row>
    <row r="1029" spans="1:10" x14ac:dyDescent="0.3">
      <c r="A1029" s="2">
        <v>1013</v>
      </c>
      <c r="B1029" s="2" t="s">
        <v>1672</v>
      </c>
      <c r="C1029" s="2" t="s">
        <v>1673</v>
      </c>
      <c r="D1029" s="2" t="s">
        <v>1673</v>
      </c>
      <c r="E1029" s="2" t="s">
        <v>3458</v>
      </c>
      <c r="F1029" s="7">
        <v>488651.55</v>
      </c>
      <c r="G1029" s="13">
        <v>3</v>
      </c>
      <c r="H1029" s="15">
        <f t="shared" si="46"/>
        <v>1465954.65</v>
      </c>
      <c r="I1029" s="7">
        <f t="shared" si="47"/>
        <v>263871.837</v>
      </c>
      <c r="J1029" s="7">
        <f t="shared" si="45"/>
        <v>1729826.487</v>
      </c>
    </row>
    <row r="1030" spans="1:10" x14ac:dyDescent="0.3">
      <c r="A1030" s="2">
        <v>1014</v>
      </c>
      <c r="B1030" s="2" t="s">
        <v>1511</v>
      </c>
      <c r="C1030" s="2" t="s">
        <v>1512</v>
      </c>
      <c r="D1030" s="2" t="s">
        <v>1512</v>
      </c>
      <c r="E1030" s="2" t="s">
        <v>3458</v>
      </c>
      <c r="F1030" s="7">
        <v>488651.55</v>
      </c>
      <c r="G1030" s="13">
        <v>3</v>
      </c>
      <c r="H1030" s="15">
        <f t="shared" si="46"/>
        <v>1465954.65</v>
      </c>
      <c r="I1030" s="7">
        <f t="shared" si="47"/>
        <v>263871.837</v>
      </c>
      <c r="J1030" s="7">
        <f t="shared" si="45"/>
        <v>1729826.487</v>
      </c>
    </row>
    <row r="1031" spans="1:10" x14ac:dyDescent="0.3">
      <c r="A1031" s="2">
        <v>1015</v>
      </c>
      <c r="B1031" s="2" t="s">
        <v>1198</v>
      </c>
      <c r="C1031" s="2" t="s">
        <v>1199</v>
      </c>
      <c r="D1031" s="2" t="s">
        <v>1199</v>
      </c>
      <c r="E1031" s="2" t="s">
        <v>3458</v>
      </c>
      <c r="F1031" s="7">
        <v>488651.55</v>
      </c>
      <c r="G1031" s="13">
        <v>3</v>
      </c>
      <c r="H1031" s="15">
        <f t="shared" si="46"/>
        <v>1465954.65</v>
      </c>
      <c r="I1031" s="7">
        <f t="shared" si="47"/>
        <v>263871.837</v>
      </c>
      <c r="J1031" s="7">
        <f t="shared" si="45"/>
        <v>1729826.487</v>
      </c>
    </row>
    <row r="1032" spans="1:10" x14ac:dyDescent="0.3">
      <c r="A1032" s="2">
        <v>1016</v>
      </c>
      <c r="B1032" s="2" t="s">
        <v>1944</v>
      </c>
      <c r="C1032" s="2" t="s">
        <v>1945</v>
      </c>
      <c r="D1032" s="2" t="s">
        <v>1945</v>
      </c>
      <c r="E1032" s="2" t="s">
        <v>3458</v>
      </c>
      <c r="F1032" s="7">
        <v>488651.55</v>
      </c>
      <c r="G1032" s="13">
        <v>3</v>
      </c>
      <c r="H1032" s="15">
        <f t="shared" si="46"/>
        <v>1465954.65</v>
      </c>
      <c r="I1032" s="7">
        <f t="shared" si="47"/>
        <v>263871.837</v>
      </c>
      <c r="J1032" s="7">
        <f t="shared" si="45"/>
        <v>1729826.487</v>
      </c>
    </row>
    <row r="1033" spans="1:10" x14ac:dyDescent="0.3">
      <c r="A1033" s="2">
        <v>1017</v>
      </c>
      <c r="B1033" s="2" t="s">
        <v>3969</v>
      </c>
      <c r="C1033" s="2" t="s">
        <v>4465</v>
      </c>
      <c r="D1033" s="2" t="s">
        <v>4465</v>
      </c>
      <c r="E1033" s="2" t="s">
        <v>3458</v>
      </c>
      <c r="F1033" s="7">
        <v>488651.55</v>
      </c>
      <c r="G1033" s="13">
        <v>3</v>
      </c>
      <c r="H1033" s="15">
        <f t="shared" si="46"/>
        <v>1465954.65</v>
      </c>
      <c r="I1033" s="7">
        <f t="shared" si="47"/>
        <v>263871.837</v>
      </c>
      <c r="J1033" s="7">
        <f t="shared" ref="J1033:J1096" si="48">+H1033+I1033</f>
        <v>1729826.487</v>
      </c>
    </row>
    <row r="1034" spans="1:10" x14ac:dyDescent="0.3">
      <c r="A1034" s="2">
        <v>1018</v>
      </c>
      <c r="B1034" s="2" t="s">
        <v>1495</v>
      </c>
      <c r="C1034" s="2" t="s">
        <v>1496</v>
      </c>
      <c r="D1034" s="2" t="s">
        <v>1496</v>
      </c>
      <c r="E1034" s="2" t="s">
        <v>3458</v>
      </c>
      <c r="F1034" s="7">
        <v>488651.55</v>
      </c>
      <c r="G1034" s="13">
        <v>3</v>
      </c>
      <c r="H1034" s="15">
        <f t="shared" si="46"/>
        <v>1465954.65</v>
      </c>
      <c r="I1034" s="7">
        <f t="shared" si="47"/>
        <v>263871.837</v>
      </c>
      <c r="J1034" s="7">
        <f t="shared" si="48"/>
        <v>1729826.487</v>
      </c>
    </row>
    <row r="1035" spans="1:10" x14ac:dyDescent="0.3">
      <c r="A1035" s="2">
        <v>1019</v>
      </c>
      <c r="B1035" s="2" t="s">
        <v>3970</v>
      </c>
      <c r="C1035" s="2" t="s">
        <v>4466</v>
      </c>
      <c r="D1035" s="2" t="s">
        <v>4466</v>
      </c>
      <c r="E1035" s="2" t="s">
        <v>3458</v>
      </c>
      <c r="F1035" s="7">
        <v>488651.55</v>
      </c>
      <c r="G1035" s="13">
        <v>3</v>
      </c>
      <c r="H1035" s="15">
        <f t="shared" si="46"/>
        <v>1465954.65</v>
      </c>
      <c r="I1035" s="7">
        <f t="shared" si="47"/>
        <v>263871.837</v>
      </c>
      <c r="J1035" s="7">
        <f t="shared" si="48"/>
        <v>1729826.487</v>
      </c>
    </row>
    <row r="1036" spans="1:10" x14ac:dyDescent="0.3">
      <c r="A1036" s="2">
        <v>1020</v>
      </c>
      <c r="B1036" s="2" t="s">
        <v>1509</v>
      </c>
      <c r="C1036" s="2" t="s">
        <v>1510</v>
      </c>
      <c r="D1036" s="2" t="s">
        <v>1510</v>
      </c>
      <c r="E1036" s="2" t="s">
        <v>3458</v>
      </c>
      <c r="F1036" s="7">
        <v>488651.55</v>
      </c>
      <c r="G1036" s="13">
        <v>3</v>
      </c>
      <c r="H1036" s="15">
        <f t="shared" si="46"/>
        <v>1465954.65</v>
      </c>
      <c r="I1036" s="7">
        <f t="shared" si="47"/>
        <v>263871.837</v>
      </c>
      <c r="J1036" s="7">
        <f t="shared" si="48"/>
        <v>1729826.487</v>
      </c>
    </row>
    <row r="1037" spans="1:10" x14ac:dyDescent="0.3">
      <c r="A1037" s="2">
        <v>1021</v>
      </c>
      <c r="B1037" s="2" t="s">
        <v>3971</v>
      </c>
      <c r="C1037" s="2" t="s">
        <v>4467</v>
      </c>
      <c r="D1037" s="2" t="s">
        <v>4467</v>
      </c>
      <c r="E1037" s="2" t="s">
        <v>3458</v>
      </c>
      <c r="F1037" s="7">
        <v>488651.55</v>
      </c>
      <c r="G1037" s="13">
        <v>3</v>
      </c>
      <c r="H1037" s="15">
        <f t="shared" si="46"/>
        <v>1465954.65</v>
      </c>
      <c r="I1037" s="7">
        <f t="shared" si="47"/>
        <v>263871.837</v>
      </c>
      <c r="J1037" s="7">
        <f t="shared" si="48"/>
        <v>1729826.487</v>
      </c>
    </row>
    <row r="1038" spans="1:10" x14ac:dyDescent="0.3">
      <c r="A1038" s="2">
        <v>1022</v>
      </c>
      <c r="B1038" s="2" t="s">
        <v>3972</v>
      </c>
      <c r="C1038" s="2" t="s">
        <v>4468</v>
      </c>
      <c r="D1038" s="2" t="s">
        <v>4468</v>
      </c>
      <c r="E1038" s="2" t="s">
        <v>3458</v>
      </c>
      <c r="F1038" s="7">
        <v>488651.55</v>
      </c>
      <c r="G1038" s="13">
        <v>3</v>
      </c>
      <c r="H1038" s="15">
        <f t="shared" si="46"/>
        <v>1465954.65</v>
      </c>
      <c r="I1038" s="7">
        <f t="shared" si="47"/>
        <v>263871.837</v>
      </c>
      <c r="J1038" s="7">
        <f t="shared" si="48"/>
        <v>1729826.487</v>
      </c>
    </row>
    <row r="1039" spans="1:10" x14ac:dyDescent="0.3">
      <c r="A1039" s="2">
        <v>1023</v>
      </c>
      <c r="B1039" s="2" t="s">
        <v>1930</v>
      </c>
      <c r="C1039" s="2" t="s">
        <v>1931</v>
      </c>
      <c r="D1039" s="2" t="s">
        <v>1931</v>
      </c>
      <c r="E1039" s="2" t="s">
        <v>3458</v>
      </c>
      <c r="F1039" s="7">
        <v>488651.55</v>
      </c>
      <c r="G1039" s="13">
        <v>3</v>
      </c>
      <c r="H1039" s="15">
        <f t="shared" si="46"/>
        <v>1465954.65</v>
      </c>
      <c r="I1039" s="7">
        <f t="shared" si="47"/>
        <v>263871.837</v>
      </c>
      <c r="J1039" s="7">
        <f t="shared" si="48"/>
        <v>1729826.487</v>
      </c>
    </row>
    <row r="1040" spans="1:10" x14ac:dyDescent="0.3">
      <c r="A1040" s="2">
        <v>1024</v>
      </c>
      <c r="B1040" s="2" t="s">
        <v>1102</v>
      </c>
      <c r="C1040" s="2" t="s">
        <v>1103</v>
      </c>
      <c r="D1040" s="2" t="s">
        <v>1103</v>
      </c>
      <c r="E1040" s="2" t="s">
        <v>3458</v>
      </c>
      <c r="F1040" s="7">
        <v>488651.55</v>
      </c>
      <c r="G1040" s="13">
        <v>3</v>
      </c>
      <c r="H1040" s="15">
        <f t="shared" ref="H1040:H1103" si="49">+F1040*G1040</f>
        <v>1465954.65</v>
      </c>
      <c r="I1040" s="7">
        <f t="shared" ref="I1040:I1103" si="50">+H1040*0.18</f>
        <v>263871.837</v>
      </c>
      <c r="J1040" s="7">
        <f t="shared" si="48"/>
        <v>1729826.487</v>
      </c>
    </row>
    <row r="1041" spans="1:10" x14ac:dyDescent="0.3">
      <c r="A1041" s="2">
        <v>1025</v>
      </c>
      <c r="B1041" s="2" t="s">
        <v>1571</v>
      </c>
      <c r="C1041" s="2" t="s">
        <v>1572</v>
      </c>
      <c r="D1041" s="2" t="s">
        <v>1572</v>
      </c>
      <c r="E1041" s="2" t="s">
        <v>3458</v>
      </c>
      <c r="F1041" s="7">
        <v>488651.55</v>
      </c>
      <c r="G1041" s="13">
        <v>3</v>
      </c>
      <c r="H1041" s="15">
        <f t="shared" si="49"/>
        <v>1465954.65</v>
      </c>
      <c r="I1041" s="7">
        <f t="shared" si="50"/>
        <v>263871.837</v>
      </c>
      <c r="J1041" s="7">
        <f t="shared" si="48"/>
        <v>1729826.487</v>
      </c>
    </row>
    <row r="1042" spans="1:10" x14ac:dyDescent="0.3">
      <c r="A1042" s="2">
        <v>1026</v>
      </c>
      <c r="B1042" s="2" t="s">
        <v>3973</v>
      </c>
      <c r="C1042" s="2" t="s">
        <v>4469</v>
      </c>
      <c r="D1042" s="2" t="s">
        <v>4469</v>
      </c>
      <c r="E1042" s="2" t="s">
        <v>3458</v>
      </c>
      <c r="F1042" s="7">
        <v>488651.55</v>
      </c>
      <c r="G1042" s="13">
        <v>3</v>
      </c>
      <c r="H1042" s="15">
        <f t="shared" si="49"/>
        <v>1465954.65</v>
      </c>
      <c r="I1042" s="7">
        <f t="shared" si="50"/>
        <v>263871.837</v>
      </c>
      <c r="J1042" s="7">
        <f t="shared" si="48"/>
        <v>1729826.487</v>
      </c>
    </row>
    <row r="1043" spans="1:10" x14ac:dyDescent="0.3">
      <c r="A1043" s="2">
        <v>1027</v>
      </c>
      <c r="B1043" s="2" t="s">
        <v>3974</v>
      </c>
      <c r="C1043" s="2" t="s">
        <v>4470</v>
      </c>
      <c r="D1043" s="2" t="s">
        <v>4470</v>
      </c>
      <c r="E1043" s="2" t="s">
        <v>3458</v>
      </c>
      <c r="F1043" s="7">
        <v>488651.55</v>
      </c>
      <c r="G1043" s="13">
        <v>3</v>
      </c>
      <c r="H1043" s="15">
        <f t="shared" si="49"/>
        <v>1465954.65</v>
      </c>
      <c r="I1043" s="7">
        <f t="shared" si="50"/>
        <v>263871.837</v>
      </c>
      <c r="J1043" s="7">
        <f t="shared" si="48"/>
        <v>1729826.487</v>
      </c>
    </row>
    <row r="1044" spans="1:10" x14ac:dyDescent="0.3">
      <c r="A1044" s="2">
        <v>1028</v>
      </c>
      <c r="B1044" s="2" t="s">
        <v>1168</v>
      </c>
      <c r="C1044" s="2" t="s">
        <v>1169</v>
      </c>
      <c r="D1044" s="2" t="s">
        <v>1169</v>
      </c>
      <c r="E1044" s="2" t="s">
        <v>3458</v>
      </c>
      <c r="F1044" s="7">
        <v>488651.55</v>
      </c>
      <c r="G1044" s="13">
        <v>3</v>
      </c>
      <c r="H1044" s="15">
        <f t="shared" si="49"/>
        <v>1465954.65</v>
      </c>
      <c r="I1044" s="7">
        <f t="shared" si="50"/>
        <v>263871.837</v>
      </c>
      <c r="J1044" s="7">
        <f t="shared" si="48"/>
        <v>1729826.487</v>
      </c>
    </row>
    <row r="1045" spans="1:10" x14ac:dyDescent="0.3">
      <c r="A1045" s="2">
        <v>1029</v>
      </c>
      <c r="B1045" s="2" t="s">
        <v>3975</v>
      </c>
      <c r="C1045" s="2" t="s">
        <v>4471</v>
      </c>
      <c r="D1045" s="2" t="s">
        <v>4471</v>
      </c>
      <c r="E1045" s="2" t="s">
        <v>3458</v>
      </c>
      <c r="F1045" s="7">
        <v>488651.55</v>
      </c>
      <c r="G1045" s="13">
        <v>3</v>
      </c>
      <c r="H1045" s="15">
        <f t="shared" si="49"/>
        <v>1465954.65</v>
      </c>
      <c r="I1045" s="7">
        <f t="shared" si="50"/>
        <v>263871.837</v>
      </c>
      <c r="J1045" s="7">
        <f t="shared" si="48"/>
        <v>1729826.487</v>
      </c>
    </row>
    <row r="1046" spans="1:10" x14ac:dyDescent="0.3">
      <c r="A1046" s="2">
        <v>1030</v>
      </c>
      <c r="B1046" s="2" t="s">
        <v>1647</v>
      </c>
      <c r="C1046" s="2" t="s">
        <v>1648</v>
      </c>
      <c r="D1046" s="2" t="s">
        <v>1648</v>
      </c>
      <c r="E1046" s="2" t="s">
        <v>3458</v>
      </c>
      <c r="F1046" s="7">
        <v>488651.55</v>
      </c>
      <c r="G1046" s="13">
        <v>3</v>
      </c>
      <c r="H1046" s="15">
        <f t="shared" si="49"/>
        <v>1465954.65</v>
      </c>
      <c r="I1046" s="7">
        <f t="shared" si="50"/>
        <v>263871.837</v>
      </c>
      <c r="J1046" s="7">
        <f t="shared" si="48"/>
        <v>1729826.487</v>
      </c>
    </row>
    <row r="1047" spans="1:10" x14ac:dyDescent="0.3">
      <c r="A1047" s="2">
        <v>1031</v>
      </c>
      <c r="B1047" s="2" t="s">
        <v>2154</v>
      </c>
      <c r="C1047" s="2" t="s">
        <v>2155</v>
      </c>
      <c r="D1047" s="2" t="s">
        <v>2155</v>
      </c>
      <c r="E1047" s="2" t="s">
        <v>3458</v>
      </c>
      <c r="F1047" s="7">
        <v>488651.55</v>
      </c>
      <c r="G1047" s="13">
        <v>3</v>
      </c>
      <c r="H1047" s="15">
        <f t="shared" si="49"/>
        <v>1465954.65</v>
      </c>
      <c r="I1047" s="7">
        <f t="shared" si="50"/>
        <v>263871.837</v>
      </c>
      <c r="J1047" s="7">
        <f t="shared" si="48"/>
        <v>1729826.487</v>
      </c>
    </row>
    <row r="1048" spans="1:10" x14ac:dyDescent="0.3">
      <c r="A1048" s="2">
        <v>1032</v>
      </c>
      <c r="B1048" s="2" t="s">
        <v>3976</v>
      </c>
      <c r="C1048" s="2" t="s">
        <v>4472</v>
      </c>
      <c r="D1048" s="2" t="s">
        <v>4472</v>
      </c>
      <c r="E1048" s="2" t="s">
        <v>3458</v>
      </c>
      <c r="F1048" s="7">
        <v>488651.55</v>
      </c>
      <c r="G1048" s="13">
        <v>3</v>
      </c>
      <c r="H1048" s="15">
        <f t="shared" si="49"/>
        <v>1465954.65</v>
      </c>
      <c r="I1048" s="7">
        <f t="shared" si="50"/>
        <v>263871.837</v>
      </c>
      <c r="J1048" s="7">
        <f t="shared" si="48"/>
        <v>1729826.487</v>
      </c>
    </row>
    <row r="1049" spans="1:10" x14ac:dyDescent="0.3">
      <c r="A1049" s="2">
        <v>1033</v>
      </c>
      <c r="B1049" s="2" t="s">
        <v>3977</v>
      </c>
      <c r="C1049" s="2" t="s">
        <v>4473</v>
      </c>
      <c r="D1049" s="2" t="s">
        <v>4473</v>
      </c>
      <c r="E1049" s="2" t="s">
        <v>3458</v>
      </c>
      <c r="F1049" s="7">
        <v>488651.55</v>
      </c>
      <c r="G1049" s="13">
        <v>3</v>
      </c>
      <c r="H1049" s="15">
        <f t="shared" si="49"/>
        <v>1465954.65</v>
      </c>
      <c r="I1049" s="7">
        <f t="shared" si="50"/>
        <v>263871.837</v>
      </c>
      <c r="J1049" s="7">
        <f t="shared" si="48"/>
        <v>1729826.487</v>
      </c>
    </row>
    <row r="1050" spans="1:10" x14ac:dyDescent="0.3">
      <c r="A1050" s="2">
        <v>1034</v>
      </c>
      <c r="B1050" s="2" t="s">
        <v>3978</v>
      </c>
      <c r="C1050" s="2" t="s">
        <v>4474</v>
      </c>
      <c r="D1050" s="2" t="s">
        <v>4474</v>
      </c>
      <c r="E1050" s="2" t="s">
        <v>3458</v>
      </c>
      <c r="F1050" s="7">
        <v>488651.55</v>
      </c>
      <c r="G1050" s="13">
        <v>3</v>
      </c>
      <c r="H1050" s="15">
        <f t="shared" si="49"/>
        <v>1465954.65</v>
      </c>
      <c r="I1050" s="7">
        <f t="shared" si="50"/>
        <v>263871.837</v>
      </c>
      <c r="J1050" s="7">
        <f t="shared" si="48"/>
        <v>1729826.487</v>
      </c>
    </row>
    <row r="1051" spans="1:10" x14ac:dyDescent="0.3">
      <c r="A1051" s="2">
        <v>1035</v>
      </c>
      <c r="B1051" s="2" t="s">
        <v>3979</v>
      </c>
      <c r="C1051" s="2" t="s">
        <v>4475</v>
      </c>
      <c r="D1051" s="2" t="s">
        <v>4475</v>
      </c>
      <c r="E1051" s="2" t="s">
        <v>3458</v>
      </c>
      <c r="F1051" s="7">
        <v>488651.55</v>
      </c>
      <c r="G1051" s="13">
        <v>3</v>
      </c>
      <c r="H1051" s="15">
        <f t="shared" si="49"/>
        <v>1465954.65</v>
      </c>
      <c r="I1051" s="7">
        <f t="shared" si="50"/>
        <v>263871.837</v>
      </c>
      <c r="J1051" s="7">
        <f t="shared" si="48"/>
        <v>1729826.487</v>
      </c>
    </row>
    <row r="1052" spans="1:10" x14ac:dyDescent="0.3">
      <c r="A1052" s="2">
        <v>1036</v>
      </c>
      <c r="B1052" s="2" t="s">
        <v>3980</v>
      </c>
      <c r="C1052" s="2" t="s">
        <v>4476</v>
      </c>
      <c r="D1052" s="2" t="s">
        <v>4476</v>
      </c>
      <c r="E1052" s="2" t="s">
        <v>3458</v>
      </c>
      <c r="F1052" s="7">
        <v>488651.55</v>
      </c>
      <c r="G1052" s="13">
        <v>3</v>
      </c>
      <c r="H1052" s="15">
        <f t="shared" si="49"/>
        <v>1465954.65</v>
      </c>
      <c r="I1052" s="7">
        <f t="shared" si="50"/>
        <v>263871.837</v>
      </c>
      <c r="J1052" s="7">
        <f t="shared" si="48"/>
        <v>1729826.487</v>
      </c>
    </row>
    <row r="1053" spans="1:10" x14ac:dyDescent="0.3">
      <c r="A1053" s="2">
        <v>1037</v>
      </c>
      <c r="B1053" s="2" t="s">
        <v>3981</v>
      </c>
      <c r="C1053" s="2" t="s">
        <v>4477</v>
      </c>
      <c r="D1053" s="2" t="s">
        <v>4477</v>
      </c>
      <c r="E1053" s="2" t="s">
        <v>3458</v>
      </c>
      <c r="F1053" s="7">
        <v>488651.55</v>
      </c>
      <c r="G1053" s="13">
        <v>3</v>
      </c>
      <c r="H1053" s="15">
        <f t="shared" si="49"/>
        <v>1465954.65</v>
      </c>
      <c r="I1053" s="7">
        <f t="shared" si="50"/>
        <v>263871.837</v>
      </c>
      <c r="J1053" s="7">
        <f t="shared" si="48"/>
        <v>1729826.487</v>
      </c>
    </row>
    <row r="1054" spans="1:10" x14ac:dyDescent="0.3">
      <c r="A1054" s="2">
        <v>1038</v>
      </c>
      <c r="B1054" s="2" t="s">
        <v>3982</v>
      </c>
      <c r="C1054" s="2" t="s">
        <v>4478</v>
      </c>
      <c r="D1054" s="2" t="s">
        <v>4478</v>
      </c>
      <c r="E1054" s="2" t="s">
        <v>3458</v>
      </c>
      <c r="F1054" s="7">
        <v>488651.55</v>
      </c>
      <c r="G1054" s="13">
        <v>3</v>
      </c>
      <c r="H1054" s="15">
        <f t="shared" si="49"/>
        <v>1465954.65</v>
      </c>
      <c r="I1054" s="7">
        <f t="shared" si="50"/>
        <v>263871.837</v>
      </c>
      <c r="J1054" s="7">
        <f t="shared" si="48"/>
        <v>1729826.487</v>
      </c>
    </row>
    <row r="1055" spans="1:10" x14ac:dyDescent="0.3">
      <c r="A1055" s="2">
        <v>1039</v>
      </c>
      <c r="B1055" s="2" t="s">
        <v>1984</v>
      </c>
      <c r="C1055" s="2" t="s">
        <v>1985</v>
      </c>
      <c r="D1055" s="2" t="s">
        <v>1985</v>
      </c>
      <c r="E1055" s="2" t="s">
        <v>3458</v>
      </c>
      <c r="F1055" s="7">
        <v>488651.55</v>
      </c>
      <c r="G1055" s="13">
        <v>3</v>
      </c>
      <c r="H1055" s="15">
        <f t="shared" si="49"/>
        <v>1465954.65</v>
      </c>
      <c r="I1055" s="7">
        <f t="shared" si="50"/>
        <v>263871.837</v>
      </c>
      <c r="J1055" s="7">
        <f t="shared" si="48"/>
        <v>1729826.487</v>
      </c>
    </row>
    <row r="1056" spans="1:10" x14ac:dyDescent="0.3">
      <c r="A1056" s="2">
        <v>1040</v>
      </c>
      <c r="B1056" s="2" t="s">
        <v>2006</v>
      </c>
      <c r="C1056" s="2" t="s">
        <v>2007</v>
      </c>
      <c r="D1056" s="2" t="s">
        <v>2007</v>
      </c>
      <c r="E1056" s="2" t="s">
        <v>3458</v>
      </c>
      <c r="F1056" s="7">
        <v>488651.55</v>
      </c>
      <c r="G1056" s="13">
        <v>3</v>
      </c>
      <c r="H1056" s="15">
        <f t="shared" si="49"/>
        <v>1465954.65</v>
      </c>
      <c r="I1056" s="7">
        <f t="shared" si="50"/>
        <v>263871.837</v>
      </c>
      <c r="J1056" s="7">
        <f t="shared" si="48"/>
        <v>1729826.487</v>
      </c>
    </row>
    <row r="1057" spans="1:10" x14ac:dyDescent="0.3">
      <c r="A1057" s="2">
        <v>1041</v>
      </c>
      <c r="B1057" s="2" t="s">
        <v>1960</v>
      </c>
      <c r="C1057" s="2" t="s">
        <v>1961</v>
      </c>
      <c r="D1057" s="2" t="s">
        <v>1961</v>
      </c>
      <c r="E1057" s="2" t="s">
        <v>3458</v>
      </c>
      <c r="F1057" s="7">
        <v>488651.55</v>
      </c>
      <c r="G1057" s="13">
        <v>3</v>
      </c>
      <c r="H1057" s="15">
        <f t="shared" si="49"/>
        <v>1465954.65</v>
      </c>
      <c r="I1057" s="7">
        <f t="shared" si="50"/>
        <v>263871.837</v>
      </c>
      <c r="J1057" s="7">
        <f t="shared" si="48"/>
        <v>1729826.487</v>
      </c>
    </row>
    <row r="1058" spans="1:10" x14ac:dyDescent="0.3">
      <c r="A1058" s="2">
        <v>1042</v>
      </c>
      <c r="B1058" s="2" t="s">
        <v>3983</v>
      </c>
      <c r="C1058" s="2" t="s">
        <v>4479</v>
      </c>
      <c r="D1058" s="2" t="s">
        <v>4479</v>
      </c>
      <c r="E1058" s="2" t="s">
        <v>3458</v>
      </c>
      <c r="F1058" s="7">
        <v>488651.55</v>
      </c>
      <c r="G1058" s="13">
        <v>3</v>
      </c>
      <c r="H1058" s="15">
        <f t="shared" si="49"/>
        <v>1465954.65</v>
      </c>
      <c r="I1058" s="7">
        <f t="shared" si="50"/>
        <v>263871.837</v>
      </c>
      <c r="J1058" s="7">
        <f t="shared" si="48"/>
        <v>1729826.487</v>
      </c>
    </row>
    <row r="1059" spans="1:10" x14ac:dyDescent="0.3">
      <c r="A1059" s="2">
        <v>1043</v>
      </c>
      <c r="B1059" s="2" t="s">
        <v>3984</v>
      </c>
      <c r="C1059" s="2" t="s">
        <v>4480</v>
      </c>
      <c r="D1059" s="2" t="s">
        <v>4480</v>
      </c>
      <c r="E1059" s="2" t="s">
        <v>3458</v>
      </c>
      <c r="F1059" s="7">
        <v>488651.55</v>
      </c>
      <c r="G1059" s="13">
        <v>3</v>
      </c>
      <c r="H1059" s="15">
        <f t="shared" si="49"/>
        <v>1465954.65</v>
      </c>
      <c r="I1059" s="7">
        <f t="shared" si="50"/>
        <v>263871.837</v>
      </c>
      <c r="J1059" s="7">
        <f t="shared" si="48"/>
        <v>1729826.487</v>
      </c>
    </row>
    <row r="1060" spans="1:10" x14ac:dyDescent="0.3">
      <c r="A1060" s="2">
        <v>1044</v>
      </c>
      <c r="B1060" s="2" t="s">
        <v>3985</v>
      </c>
      <c r="C1060" s="2" t="s">
        <v>4481</v>
      </c>
      <c r="D1060" s="2" t="s">
        <v>4481</v>
      </c>
      <c r="E1060" s="2" t="s">
        <v>3458</v>
      </c>
      <c r="F1060" s="7">
        <v>488651.55</v>
      </c>
      <c r="G1060" s="13">
        <v>3</v>
      </c>
      <c r="H1060" s="15">
        <f t="shared" si="49"/>
        <v>1465954.65</v>
      </c>
      <c r="I1060" s="7">
        <f t="shared" si="50"/>
        <v>263871.837</v>
      </c>
      <c r="J1060" s="7">
        <f t="shared" si="48"/>
        <v>1729826.487</v>
      </c>
    </row>
    <row r="1061" spans="1:10" x14ac:dyDescent="0.3">
      <c r="A1061" s="2">
        <v>1045</v>
      </c>
      <c r="B1061" s="2" t="s">
        <v>3986</v>
      </c>
      <c r="C1061" s="2" t="s">
        <v>4482</v>
      </c>
      <c r="D1061" s="2" t="s">
        <v>4482</v>
      </c>
      <c r="E1061" s="2" t="s">
        <v>3458</v>
      </c>
      <c r="F1061" s="7">
        <v>488651.55</v>
      </c>
      <c r="G1061" s="13">
        <v>3</v>
      </c>
      <c r="H1061" s="15">
        <f t="shared" si="49"/>
        <v>1465954.65</v>
      </c>
      <c r="I1061" s="7">
        <f t="shared" si="50"/>
        <v>263871.837</v>
      </c>
      <c r="J1061" s="7">
        <f t="shared" si="48"/>
        <v>1729826.487</v>
      </c>
    </row>
    <row r="1062" spans="1:10" x14ac:dyDescent="0.3">
      <c r="A1062" s="2">
        <v>1046</v>
      </c>
      <c r="B1062" s="2" t="s">
        <v>2156</v>
      </c>
      <c r="C1062" s="2" t="s">
        <v>2157</v>
      </c>
      <c r="D1062" s="2" t="s">
        <v>2157</v>
      </c>
      <c r="E1062" s="2" t="s">
        <v>3458</v>
      </c>
      <c r="F1062" s="7">
        <v>488651.55</v>
      </c>
      <c r="G1062" s="13">
        <v>3</v>
      </c>
      <c r="H1062" s="15">
        <f t="shared" si="49"/>
        <v>1465954.65</v>
      </c>
      <c r="I1062" s="7">
        <f t="shared" si="50"/>
        <v>263871.837</v>
      </c>
      <c r="J1062" s="7">
        <f t="shared" si="48"/>
        <v>1729826.487</v>
      </c>
    </row>
    <row r="1063" spans="1:10" x14ac:dyDescent="0.3">
      <c r="A1063" s="2">
        <v>1047</v>
      </c>
      <c r="B1063" s="2" t="s">
        <v>2031</v>
      </c>
      <c r="C1063" s="2" t="s">
        <v>4483</v>
      </c>
      <c r="D1063" s="2" t="s">
        <v>4483</v>
      </c>
      <c r="E1063" s="2" t="s">
        <v>3458</v>
      </c>
      <c r="F1063" s="7">
        <v>488651.55</v>
      </c>
      <c r="G1063" s="13">
        <v>3</v>
      </c>
      <c r="H1063" s="15">
        <f t="shared" si="49"/>
        <v>1465954.65</v>
      </c>
      <c r="I1063" s="7">
        <f t="shared" si="50"/>
        <v>263871.837</v>
      </c>
      <c r="J1063" s="7">
        <f t="shared" si="48"/>
        <v>1729826.487</v>
      </c>
    </row>
    <row r="1064" spans="1:10" x14ac:dyDescent="0.3">
      <c r="A1064" s="2">
        <v>1048</v>
      </c>
      <c r="B1064" s="2" t="s">
        <v>3987</v>
      </c>
      <c r="C1064" s="2" t="s">
        <v>4484</v>
      </c>
      <c r="D1064" s="2" t="s">
        <v>4484</v>
      </c>
      <c r="E1064" s="2" t="s">
        <v>3458</v>
      </c>
      <c r="F1064" s="7">
        <v>488651.55</v>
      </c>
      <c r="G1064" s="13">
        <v>3</v>
      </c>
      <c r="H1064" s="15">
        <f t="shared" si="49"/>
        <v>1465954.65</v>
      </c>
      <c r="I1064" s="7">
        <f t="shared" si="50"/>
        <v>263871.837</v>
      </c>
      <c r="J1064" s="7">
        <f t="shared" si="48"/>
        <v>1729826.487</v>
      </c>
    </row>
    <row r="1065" spans="1:10" x14ac:dyDescent="0.3">
      <c r="A1065" s="2">
        <v>1049</v>
      </c>
      <c r="B1065" s="2" t="s">
        <v>3988</v>
      </c>
      <c r="C1065" s="2" t="s">
        <v>4485</v>
      </c>
      <c r="D1065" s="2" t="s">
        <v>4485</v>
      </c>
      <c r="E1065" s="2" t="s">
        <v>3458</v>
      </c>
      <c r="F1065" s="7">
        <v>488651.55</v>
      </c>
      <c r="G1065" s="13">
        <v>3</v>
      </c>
      <c r="H1065" s="15">
        <f t="shared" si="49"/>
        <v>1465954.65</v>
      </c>
      <c r="I1065" s="7">
        <f t="shared" si="50"/>
        <v>263871.837</v>
      </c>
      <c r="J1065" s="7">
        <f t="shared" si="48"/>
        <v>1729826.487</v>
      </c>
    </row>
    <row r="1066" spans="1:10" x14ac:dyDescent="0.3">
      <c r="A1066" s="2">
        <v>1050</v>
      </c>
      <c r="B1066" s="2" t="s">
        <v>3989</v>
      </c>
      <c r="C1066" s="2" t="s">
        <v>4486</v>
      </c>
      <c r="D1066" s="2" t="s">
        <v>4486</v>
      </c>
      <c r="E1066" s="2" t="s">
        <v>3458</v>
      </c>
      <c r="F1066" s="7">
        <v>488651.55</v>
      </c>
      <c r="G1066" s="13">
        <v>3</v>
      </c>
      <c r="H1066" s="15">
        <f t="shared" si="49"/>
        <v>1465954.65</v>
      </c>
      <c r="I1066" s="7">
        <f t="shared" si="50"/>
        <v>263871.837</v>
      </c>
      <c r="J1066" s="7">
        <f t="shared" si="48"/>
        <v>1729826.487</v>
      </c>
    </row>
    <row r="1067" spans="1:10" x14ac:dyDescent="0.3">
      <c r="A1067" s="2">
        <v>1051</v>
      </c>
      <c r="B1067" s="2" t="s">
        <v>3990</v>
      </c>
      <c r="C1067" s="2" t="s">
        <v>4487</v>
      </c>
      <c r="D1067" s="2" t="s">
        <v>4487</v>
      </c>
      <c r="E1067" s="2" t="s">
        <v>3458</v>
      </c>
      <c r="F1067" s="7">
        <v>488651.55</v>
      </c>
      <c r="G1067" s="13">
        <v>3</v>
      </c>
      <c r="H1067" s="15">
        <f t="shared" si="49"/>
        <v>1465954.65</v>
      </c>
      <c r="I1067" s="7">
        <f t="shared" si="50"/>
        <v>263871.837</v>
      </c>
      <c r="J1067" s="7">
        <f t="shared" si="48"/>
        <v>1729826.487</v>
      </c>
    </row>
    <row r="1068" spans="1:10" x14ac:dyDescent="0.3">
      <c r="A1068" s="2">
        <v>1052</v>
      </c>
      <c r="B1068" s="2" t="s">
        <v>2074</v>
      </c>
      <c r="C1068" s="2" t="s">
        <v>2075</v>
      </c>
      <c r="D1068" s="2" t="s">
        <v>2075</v>
      </c>
      <c r="E1068" s="2" t="s">
        <v>3458</v>
      </c>
      <c r="F1068" s="7">
        <v>488651.55</v>
      </c>
      <c r="G1068" s="13">
        <v>3</v>
      </c>
      <c r="H1068" s="15">
        <f t="shared" si="49"/>
        <v>1465954.65</v>
      </c>
      <c r="I1068" s="7">
        <f t="shared" si="50"/>
        <v>263871.837</v>
      </c>
      <c r="J1068" s="7">
        <f t="shared" si="48"/>
        <v>1729826.487</v>
      </c>
    </row>
    <row r="1069" spans="1:10" x14ac:dyDescent="0.3">
      <c r="A1069" s="2">
        <v>1053</v>
      </c>
      <c r="B1069" s="2" t="s">
        <v>3991</v>
      </c>
      <c r="C1069" s="2" t="s">
        <v>4488</v>
      </c>
      <c r="D1069" s="2" t="s">
        <v>4488</v>
      </c>
      <c r="E1069" s="2" t="s">
        <v>3458</v>
      </c>
      <c r="F1069" s="7">
        <v>488651.55</v>
      </c>
      <c r="G1069" s="13">
        <v>3</v>
      </c>
      <c r="H1069" s="15">
        <f t="shared" si="49"/>
        <v>1465954.65</v>
      </c>
      <c r="I1069" s="7">
        <f t="shared" si="50"/>
        <v>263871.837</v>
      </c>
      <c r="J1069" s="7">
        <f t="shared" si="48"/>
        <v>1729826.487</v>
      </c>
    </row>
    <row r="1070" spans="1:10" x14ac:dyDescent="0.3">
      <c r="A1070" s="2">
        <v>1054</v>
      </c>
      <c r="B1070" s="2" t="s">
        <v>1834</v>
      </c>
      <c r="C1070" s="2" t="s">
        <v>1835</v>
      </c>
      <c r="D1070" s="2" t="s">
        <v>1835</v>
      </c>
      <c r="E1070" s="2" t="s">
        <v>3458</v>
      </c>
      <c r="F1070" s="7">
        <v>488651.55</v>
      </c>
      <c r="G1070" s="13">
        <v>3</v>
      </c>
      <c r="H1070" s="15">
        <f t="shared" si="49"/>
        <v>1465954.65</v>
      </c>
      <c r="I1070" s="7">
        <f t="shared" si="50"/>
        <v>263871.837</v>
      </c>
      <c r="J1070" s="7">
        <f t="shared" si="48"/>
        <v>1729826.487</v>
      </c>
    </row>
    <row r="1071" spans="1:10" x14ac:dyDescent="0.3">
      <c r="A1071" s="2">
        <v>1055</v>
      </c>
      <c r="B1071" s="2" t="s">
        <v>1764</v>
      </c>
      <c r="C1071" s="2" t="s">
        <v>1765</v>
      </c>
      <c r="D1071" s="2" t="s">
        <v>1765</v>
      </c>
      <c r="E1071" s="2" t="s">
        <v>3458</v>
      </c>
      <c r="F1071" s="7">
        <v>488651.55</v>
      </c>
      <c r="G1071" s="13">
        <v>3</v>
      </c>
      <c r="H1071" s="15">
        <f t="shared" si="49"/>
        <v>1465954.65</v>
      </c>
      <c r="I1071" s="7">
        <f t="shared" si="50"/>
        <v>263871.837</v>
      </c>
      <c r="J1071" s="7">
        <f t="shared" si="48"/>
        <v>1729826.487</v>
      </c>
    </row>
    <row r="1072" spans="1:10" x14ac:dyDescent="0.3">
      <c r="A1072" s="2">
        <v>1056</v>
      </c>
      <c r="B1072" s="2" t="s">
        <v>1952</v>
      </c>
      <c r="C1072" s="2" t="s">
        <v>1953</v>
      </c>
      <c r="D1072" s="2" t="s">
        <v>1953</v>
      </c>
      <c r="E1072" s="2" t="s">
        <v>3458</v>
      </c>
      <c r="F1072" s="7">
        <v>488651.55</v>
      </c>
      <c r="G1072" s="13">
        <v>3</v>
      </c>
      <c r="H1072" s="15">
        <f t="shared" si="49"/>
        <v>1465954.65</v>
      </c>
      <c r="I1072" s="7">
        <f t="shared" si="50"/>
        <v>263871.837</v>
      </c>
      <c r="J1072" s="7">
        <f t="shared" si="48"/>
        <v>1729826.487</v>
      </c>
    </row>
    <row r="1073" spans="1:10" x14ac:dyDescent="0.3">
      <c r="A1073" s="2">
        <v>1057</v>
      </c>
      <c r="B1073" s="2" t="s">
        <v>3992</v>
      </c>
      <c r="C1073" s="2" t="s">
        <v>4489</v>
      </c>
      <c r="D1073" s="2" t="s">
        <v>4489</v>
      </c>
      <c r="E1073" s="2" t="s">
        <v>3458</v>
      </c>
      <c r="F1073" s="7">
        <v>488651.55</v>
      </c>
      <c r="G1073" s="13">
        <v>3</v>
      </c>
      <c r="H1073" s="15">
        <f t="shared" si="49"/>
        <v>1465954.65</v>
      </c>
      <c r="I1073" s="7">
        <f t="shared" si="50"/>
        <v>263871.837</v>
      </c>
      <c r="J1073" s="7">
        <f t="shared" si="48"/>
        <v>1729826.487</v>
      </c>
    </row>
    <row r="1074" spans="1:10" x14ac:dyDescent="0.3">
      <c r="A1074" s="2">
        <v>1058</v>
      </c>
      <c r="B1074" s="2" t="s">
        <v>3462</v>
      </c>
      <c r="C1074" s="2" t="s">
        <v>3467</v>
      </c>
      <c r="D1074" s="2" t="s">
        <v>3467</v>
      </c>
      <c r="E1074" s="2" t="s">
        <v>3458</v>
      </c>
      <c r="F1074" s="7">
        <v>488651.55</v>
      </c>
      <c r="G1074" s="13">
        <v>3</v>
      </c>
      <c r="H1074" s="15">
        <f t="shared" si="49"/>
        <v>1465954.65</v>
      </c>
      <c r="I1074" s="7">
        <f t="shared" si="50"/>
        <v>263871.837</v>
      </c>
      <c r="J1074" s="7">
        <f t="shared" si="48"/>
        <v>1729826.487</v>
      </c>
    </row>
    <row r="1075" spans="1:10" x14ac:dyDescent="0.3">
      <c r="A1075" s="2">
        <v>1059</v>
      </c>
      <c r="B1075" s="2" t="s">
        <v>1752</v>
      </c>
      <c r="C1075" s="2" t="s">
        <v>1753</v>
      </c>
      <c r="D1075" s="2" t="s">
        <v>1753</v>
      </c>
      <c r="E1075" s="2" t="s">
        <v>3458</v>
      </c>
      <c r="F1075" s="7">
        <v>488651.55</v>
      </c>
      <c r="G1075" s="13">
        <v>3</v>
      </c>
      <c r="H1075" s="15">
        <f t="shared" si="49"/>
        <v>1465954.65</v>
      </c>
      <c r="I1075" s="7">
        <f t="shared" si="50"/>
        <v>263871.837</v>
      </c>
      <c r="J1075" s="7">
        <f t="shared" si="48"/>
        <v>1729826.487</v>
      </c>
    </row>
    <row r="1076" spans="1:10" x14ac:dyDescent="0.3">
      <c r="A1076" s="2">
        <v>1060</v>
      </c>
      <c r="B1076" s="2" t="s">
        <v>2191</v>
      </c>
      <c r="C1076" s="2" t="s">
        <v>2192</v>
      </c>
      <c r="D1076" s="2" t="s">
        <v>2192</v>
      </c>
      <c r="E1076" s="2" t="s">
        <v>3458</v>
      </c>
      <c r="F1076" s="7">
        <v>488651.55</v>
      </c>
      <c r="G1076" s="13">
        <v>3</v>
      </c>
      <c r="H1076" s="15">
        <f t="shared" si="49"/>
        <v>1465954.65</v>
      </c>
      <c r="I1076" s="7">
        <f t="shared" si="50"/>
        <v>263871.837</v>
      </c>
      <c r="J1076" s="7">
        <f t="shared" si="48"/>
        <v>1729826.487</v>
      </c>
    </row>
    <row r="1077" spans="1:10" x14ac:dyDescent="0.3">
      <c r="A1077" s="2">
        <v>1061</v>
      </c>
      <c r="B1077" s="2" t="s">
        <v>3463</v>
      </c>
      <c r="C1077" s="2" t="s">
        <v>3468</v>
      </c>
      <c r="D1077" s="2" t="s">
        <v>3468</v>
      </c>
      <c r="E1077" s="2" t="s">
        <v>3458</v>
      </c>
      <c r="F1077" s="7">
        <v>488651.55</v>
      </c>
      <c r="G1077" s="13">
        <v>3</v>
      </c>
      <c r="H1077" s="15">
        <f t="shared" si="49"/>
        <v>1465954.65</v>
      </c>
      <c r="I1077" s="7">
        <f t="shared" si="50"/>
        <v>263871.837</v>
      </c>
      <c r="J1077" s="7">
        <f t="shared" si="48"/>
        <v>1729826.487</v>
      </c>
    </row>
    <row r="1078" spans="1:10" x14ac:dyDescent="0.3">
      <c r="A1078" s="2">
        <v>1062</v>
      </c>
      <c r="B1078" s="2" t="s">
        <v>1824</v>
      </c>
      <c r="C1078" s="2" t="s">
        <v>1825</v>
      </c>
      <c r="D1078" s="2" t="s">
        <v>1825</v>
      </c>
      <c r="E1078" s="2" t="s">
        <v>3458</v>
      </c>
      <c r="F1078" s="7">
        <v>488651.55</v>
      </c>
      <c r="G1078" s="13">
        <v>3</v>
      </c>
      <c r="H1078" s="15">
        <f t="shared" si="49"/>
        <v>1465954.65</v>
      </c>
      <c r="I1078" s="7">
        <f t="shared" si="50"/>
        <v>263871.837</v>
      </c>
      <c r="J1078" s="7">
        <f t="shared" si="48"/>
        <v>1729826.487</v>
      </c>
    </row>
    <row r="1079" spans="1:10" x14ac:dyDescent="0.3">
      <c r="A1079" s="2">
        <v>1063</v>
      </c>
      <c r="B1079" s="2" t="s">
        <v>3993</v>
      </c>
      <c r="C1079" s="2" t="s">
        <v>4490</v>
      </c>
      <c r="D1079" s="2" t="s">
        <v>4490</v>
      </c>
      <c r="E1079" s="2" t="s">
        <v>3458</v>
      </c>
      <c r="F1079" s="7">
        <v>488651.55</v>
      </c>
      <c r="G1079" s="13">
        <v>3</v>
      </c>
      <c r="H1079" s="15">
        <f t="shared" si="49"/>
        <v>1465954.65</v>
      </c>
      <c r="I1079" s="7">
        <f t="shared" si="50"/>
        <v>263871.837</v>
      </c>
      <c r="J1079" s="7">
        <f t="shared" si="48"/>
        <v>1729826.487</v>
      </c>
    </row>
    <row r="1080" spans="1:10" x14ac:dyDescent="0.3">
      <c r="A1080" s="2">
        <v>1064</v>
      </c>
      <c r="B1080" s="2" t="s">
        <v>2018</v>
      </c>
      <c r="C1080" s="2" t="s">
        <v>2019</v>
      </c>
      <c r="D1080" s="2" t="s">
        <v>2019</v>
      </c>
      <c r="E1080" s="2" t="s">
        <v>3458</v>
      </c>
      <c r="F1080" s="7">
        <v>488651.55</v>
      </c>
      <c r="G1080" s="13">
        <v>3</v>
      </c>
      <c r="H1080" s="15">
        <f t="shared" si="49"/>
        <v>1465954.65</v>
      </c>
      <c r="I1080" s="7">
        <f t="shared" si="50"/>
        <v>263871.837</v>
      </c>
      <c r="J1080" s="7">
        <f t="shared" si="48"/>
        <v>1729826.487</v>
      </c>
    </row>
    <row r="1081" spans="1:10" x14ac:dyDescent="0.3">
      <c r="A1081" s="2">
        <v>1065</v>
      </c>
      <c r="B1081" s="2" t="s">
        <v>1313</v>
      </c>
      <c r="C1081" s="2" t="s">
        <v>1314</v>
      </c>
      <c r="D1081" s="2" t="s">
        <v>1314</v>
      </c>
      <c r="E1081" s="2" t="s">
        <v>3458</v>
      </c>
      <c r="F1081" s="7">
        <v>488651.55</v>
      </c>
      <c r="G1081" s="13">
        <v>3</v>
      </c>
      <c r="H1081" s="15">
        <f t="shared" si="49"/>
        <v>1465954.65</v>
      </c>
      <c r="I1081" s="7">
        <f t="shared" si="50"/>
        <v>263871.837</v>
      </c>
      <c r="J1081" s="7">
        <f t="shared" si="48"/>
        <v>1729826.487</v>
      </c>
    </row>
    <row r="1082" spans="1:10" x14ac:dyDescent="0.3">
      <c r="A1082" s="2">
        <v>1066</v>
      </c>
      <c r="B1082" s="2" t="s">
        <v>3419</v>
      </c>
      <c r="C1082" s="2" t="s">
        <v>3420</v>
      </c>
      <c r="D1082" s="2" t="s">
        <v>3420</v>
      </c>
      <c r="E1082" s="2" t="s">
        <v>3458</v>
      </c>
      <c r="F1082" s="7">
        <v>488651.55</v>
      </c>
      <c r="G1082" s="13">
        <v>3</v>
      </c>
      <c r="H1082" s="15">
        <f t="shared" si="49"/>
        <v>1465954.65</v>
      </c>
      <c r="I1082" s="7">
        <f t="shared" si="50"/>
        <v>263871.837</v>
      </c>
      <c r="J1082" s="7">
        <f t="shared" si="48"/>
        <v>1729826.487</v>
      </c>
    </row>
    <row r="1083" spans="1:10" x14ac:dyDescent="0.3">
      <c r="A1083" s="2">
        <v>1067</v>
      </c>
      <c r="B1083" s="2" t="s">
        <v>3994</v>
      </c>
      <c r="C1083" s="2" t="s">
        <v>4491</v>
      </c>
      <c r="D1083" s="2" t="s">
        <v>4491</v>
      </c>
      <c r="E1083" s="2" t="s">
        <v>3458</v>
      </c>
      <c r="F1083" s="7">
        <v>488651.55</v>
      </c>
      <c r="G1083" s="13">
        <v>3</v>
      </c>
      <c r="H1083" s="15">
        <f t="shared" si="49"/>
        <v>1465954.65</v>
      </c>
      <c r="I1083" s="7">
        <f t="shared" si="50"/>
        <v>263871.837</v>
      </c>
      <c r="J1083" s="7">
        <f t="shared" si="48"/>
        <v>1729826.487</v>
      </c>
    </row>
    <row r="1084" spans="1:10" x14ac:dyDescent="0.3">
      <c r="A1084" s="2">
        <v>1068</v>
      </c>
      <c r="B1084" s="2" t="s">
        <v>3995</v>
      </c>
      <c r="C1084" s="2" t="s">
        <v>4492</v>
      </c>
      <c r="D1084" s="2" t="s">
        <v>4492</v>
      </c>
      <c r="E1084" s="2" t="s">
        <v>3458</v>
      </c>
      <c r="F1084" s="7">
        <v>488651.55</v>
      </c>
      <c r="G1084" s="13">
        <v>3</v>
      </c>
      <c r="H1084" s="15">
        <f t="shared" si="49"/>
        <v>1465954.65</v>
      </c>
      <c r="I1084" s="7">
        <f t="shared" si="50"/>
        <v>263871.837</v>
      </c>
      <c r="J1084" s="7">
        <f t="shared" si="48"/>
        <v>1729826.487</v>
      </c>
    </row>
    <row r="1085" spans="1:10" x14ac:dyDescent="0.3">
      <c r="A1085" s="2">
        <v>1069</v>
      </c>
      <c r="B1085" s="2" t="s">
        <v>2165</v>
      </c>
      <c r="C1085" s="2" t="s">
        <v>2166</v>
      </c>
      <c r="D1085" s="2" t="s">
        <v>2166</v>
      </c>
      <c r="E1085" s="2" t="s">
        <v>3458</v>
      </c>
      <c r="F1085" s="7">
        <v>488651.55</v>
      </c>
      <c r="G1085" s="13">
        <v>3</v>
      </c>
      <c r="H1085" s="15">
        <f t="shared" si="49"/>
        <v>1465954.65</v>
      </c>
      <c r="I1085" s="7">
        <f t="shared" si="50"/>
        <v>263871.837</v>
      </c>
      <c r="J1085" s="7">
        <f t="shared" si="48"/>
        <v>1729826.487</v>
      </c>
    </row>
    <row r="1086" spans="1:10" x14ac:dyDescent="0.3">
      <c r="A1086" s="2">
        <v>1070</v>
      </c>
      <c r="B1086" s="2" t="s">
        <v>1158</v>
      </c>
      <c r="C1086" s="2" t="s">
        <v>1159</v>
      </c>
      <c r="D1086" s="2" t="s">
        <v>1159</v>
      </c>
      <c r="E1086" s="2" t="s">
        <v>3458</v>
      </c>
      <c r="F1086" s="7">
        <v>488651.55</v>
      </c>
      <c r="G1086" s="13">
        <v>3</v>
      </c>
      <c r="H1086" s="15">
        <f t="shared" si="49"/>
        <v>1465954.65</v>
      </c>
      <c r="I1086" s="7">
        <f t="shared" si="50"/>
        <v>263871.837</v>
      </c>
      <c r="J1086" s="7">
        <f t="shared" si="48"/>
        <v>1729826.487</v>
      </c>
    </row>
    <row r="1087" spans="1:10" x14ac:dyDescent="0.3">
      <c r="A1087" s="2">
        <v>1071</v>
      </c>
      <c r="B1087" s="2" t="s">
        <v>2158</v>
      </c>
      <c r="C1087" s="2" t="s">
        <v>2159</v>
      </c>
      <c r="D1087" s="2" t="s">
        <v>2159</v>
      </c>
      <c r="E1087" s="2" t="s">
        <v>3458</v>
      </c>
      <c r="F1087" s="7">
        <v>488651.55</v>
      </c>
      <c r="G1087" s="13">
        <v>3</v>
      </c>
      <c r="H1087" s="15">
        <f t="shared" si="49"/>
        <v>1465954.65</v>
      </c>
      <c r="I1087" s="7">
        <f t="shared" si="50"/>
        <v>263871.837</v>
      </c>
      <c r="J1087" s="7">
        <f t="shared" si="48"/>
        <v>1729826.487</v>
      </c>
    </row>
    <row r="1088" spans="1:10" x14ac:dyDescent="0.3">
      <c r="A1088" s="2">
        <v>1072</v>
      </c>
      <c r="B1088" s="2" t="s">
        <v>3996</v>
      </c>
      <c r="C1088" s="2" t="s">
        <v>4493</v>
      </c>
      <c r="D1088" s="2" t="s">
        <v>4493</v>
      </c>
      <c r="E1088" s="2" t="s">
        <v>3458</v>
      </c>
      <c r="F1088" s="7">
        <v>488651.55</v>
      </c>
      <c r="G1088" s="13">
        <v>3</v>
      </c>
      <c r="H1088" s="15">
        <f t="shared" si="49"/>
        <v>1465954.65</v>
      </c>
      <c r="I1088" s="7">
        <f t="shared" si="50"/>
        <v>263871.837</v>
      </c>
      <c r="J1088" s="7">
        <f t="shared" si="48"/>
        <v>1729826.487</v>
      </c>
    </row>
    <row r="1089" spans="1:10" x14ac:dyDescent="0.3">
      <c r="A1089" s="2">
        <v>1073</v>
      </c>
      <c r="B1089" s="2" t="s">
        <v>1297</v>
      </c>
      <c r="C1089" s="2" t="s">
        <v>1298</v>
      </c>
      <c r="D1089" s="2" t="s">
        <v>1298</v>
      </c>
      <c r="E1089" s="2" t="s">
        <v>3458</v>
      </c>
      <c r="F1089" s="7">
        <v>488651.55</v>
      </c>
      <c r="G1089" s="13">
        <v>3</v>
      </c>
      <c r="H1089" s="15">
        <f t="shared" si="49"/>
        <v>1465954.65</v>
      </c>
      <c r="I1089" s="7">
        <f t="shared" si="50"/>
        <v>263871.837</v>
      </c>
      <c r="J1089" s="7">
        <f t="shared" si="48"/>
        <v>1729826.487</v>
      </c>
    </row>
    <row r="1090" spans="1:10" x14ac:dyDescent="0.3">
      <c r="A1090" s="2">
        <v>1074</v>
      </c>
      <c r="B1090" s="2" t="s">
        <v>2173</v>
      </c>
      <c r="C1090" s="2" t="s">
        <v>2174</v>
      </c>
      <c r="D1090" s="2" t="s">
        <v>2174</v>
      </c>
      <c r="E1090" s="2" t="s">
        <v>3458</v>
      </c>
      <c r="F1090" s="7">
        <v>488651.55</v>
      </c>
      <c r="G1090" s="13">
        <v>3</v>
      </c>
      <c r="H1090" s="15">
        <f t="shared" si="49"/>
        <v>1465954.65</v>
      </c>
      <c r="I1090" s="7">
        <f t="shared" si="50"/>
        <v>263871.837</v>
      </c>
      <c r="J1090" s="7">
        <f t="shared" si="48"/>
        <v>1729826.487</v>
      </c>
    </row>
    <row r="1091" spans="1:10" x14ac:dyDescent="0.3">
      <c r="A1091" s="2">
        <v>1075</v>
      </c>
      <c r="B1091" s="2" t="s">
        <v>3997</v>
      </c>
      <c r="C1091" s="2" t="s">
        <v>4494</v>
      </c>
      <c r="D1091" s="2" t="s">
        <v>4494</v>
      </c>
      <c r="E1091" s="2" t="s">
        <v>3458</v>
      </c>
      <c r="F1091" s="7">
        <v>488651.55</v>
      </c>
      <c r="G1091" s="13">
        <v>3</v>
      </c>
      <c r="H1091" s="15">
        <f t="shared" si="49"/>
        <v>1465954.65</v>
      </c>
      <c r="I1091" s="7">
        <f t="shared" si="50"/>
        <v>263871.837</v>
      </c>
      <c r="J1091" s="7">
        <f t="shared" si="48"/>
        <v>1729826.487</v>
      </c>
    </row>
    <row r="1092" spans="1:10" x14ac:dyDescent="0.3">
      <c r="A1092" s="2">
        <v>1076</v>
      </c>
      <c r="B1092" s="2" t="s">
        <v>3998</v>
      </c>
      <c r="C1092" s="2" t="s">
        <v>4495</v>
      </c>
      <c r="D1092" s="2" t="s">
        <v>4495</v>
      </c>
      <c r="E1092" s="2" t="s">
        <v>3458</v>
      </c>
      <c r="F1092" s="7">
        <v>488651.55</v>
      </c>
      <c r="G1092" s="13">
        <v>3</v>
      </c>
      <c r="H1092" s="15">
        <f t="shared" si="49"/>
        <v>1465954.65</v>
      </c>
      <c r="I1092" s="7">
        <f t="shared" si="50"/>
        <v>263871.837</v>
      </c>
      <c r="J1092" s="7">
        <f t="shared" si="48"/>
        <v>1729826.487</v>
      </c>
    </row>
    <row r="1093" spans="1:10" x14ac:dyDescent="0.3">
      <c r="A1093" s="2">
        <v>1077</v>
      </c>
      <c r="B1093" s="2" t="s">
        <v>1840</v>
      </c>
      <c r="C1093" s="2" t="s">
        <v>1841</v>
      </c>
      <c r="D1093" s="2" t="s">
        <v>1841</v>
      </c>
      <c r="E1093" s="2" t="s">
        <v>3458</v>
      </c>
      <c r="F1093" s="7">
        <v>488651.55</v>
      </c>
      <c r="G1093" s="13">
        <v>3</v>
      </c>
      <c r="H1093" s="15">
        <f t="shared" si="49"/>
        <v>1465954.65</v>
      </c>
      <c r="I1093" s="7">
        <f t="shared" si="50"/>
        <v>263871.837</v>
      </c>
      <c r="J1093" s="7">
        <f t="shared" si="48"/>
        <v>1729826.487</v>
      </c>
    </row>
    <row r="1094" spans="1:10" x14ac:dyDescent="0.3">
      <c r="A1094" s="2">
        <v>1078</v>
      </c>
      <c r="B1094" s="2" t="s">
        <v>1241</v>
      </c>
      <c r="C1094" s="2" t="s">
        <v>1242</v>
      </c>
      <c r="D1094" s="2" t="s">
        <v>1242</v>
      </c>
      <c r="E1094" s="2" t="s">
        <v>3458</v>
      </c>
      <c r="F1094" s="7">
        <v>488651.55</v>
      </c>
      <c r="G1094" s="13">
        <v>3</v>
      </c>
      <c r="H1094" s="15">
        <f t="shared" si="49"/>
        <v>1465954.65</v>
      </c>
      <c r="I1094" s="7">
        <f t="shared" si="50"/>
        <v>263871.837</v>
      </c>
      <c r="J1094" s="7">
        <f t="shared" si="48"/>
        <v>1729826.487</v>
      </c>
    </row>
    <row r="1095" spans="1:10" x14ac:dyDescent="0.3">
      <c r="A1095" s="2">
        <v>1079</v>
      </c>
      <c r="B1095" s="2" t="s">
        <v>2181</v>
      </c>
      <c r="C1095" s="2" t="s">
        <v>2182</v>
      </c>
      <c r="D1095" s="2" t="s">
        <v>2182</v>
      </c>
      <c r="E1095" s="2" t="s">
        <v>3458</v>
      </c>
      <c r="F1095" s="7">
        <v>488651.55</v>
      </c>
      <c r="G1095" s="13">
        <v>3</v>
      </c>
      <c r="H1095" s="15">
        <f t="shared" si="49"/>
        <v>1465954.65</v>
      </c>
      <c r="I1095" s="7">
        <f t="shared" si="50"/>
        <v>263871.837</v>
      </c>
      <c r="J1095" s="7">
        <f t="shared" si="48"/>
        <v>1729826.487</v>
      </c>
    </row>
    <row r="1096" spans="1:10" x14ac:dyDescent="0.3">
      <c r="A1096" s="2">
        <v>1080</v>
      </c>
      <c r="B1096" s="2" t="s">
        <v>1515</v>
      </c>
      <c r="C1096" s="2" t="s">
        <v>1516</v>
      </c>
      <c r="D1096" s="2" t="s">
        <v>1516</v>
      </c>
      <c r="E1096" s="2" t="s">
        <v>3458</v>
      </c>
      <c r="F1096" s="7">
        <v>488651.55</v>
      </c>
      <c r="G1096" s="13">
        <v>3</v>
      </c>
      <c r="H1096" s="15">
        <f t="shared" si="49"/>
        <v>1465954.65</v>
      </c>
      <c r="I1096" s="7">
        <f t="shared" si="50"/>
        <v>263871.837</v>
      </c>
      <c r="J1096" s="7">
        <f t="shared" si="48"/>
        <v>1729826.487</v>
      </c>
    </row>
    <row r="1097" spans="1:10" x14ac:dyDescent="0.3">
      <c r="A1097" s="2">
        <v>1081</v>
      </c>
      <c r="B1097" s="2" t="s">
        <v>1954</v>
      </c>
      <c r="C1097" s="2" t="s">
        <v>1955</v>
      </c>
      <c r="D1097" s="2" t="s">
        <v>1955</v>
      </c>
      <c r="E1097" s="2" t="s">
        <v>3458</v>
      </c>
      <c r="F1097" s="7">
        <v>488651.55</v>
      </c>
      <c r="G1097" s="13">
        <v>3</v>
      </c>
      <c r="H1097" s="15">
        <f t="shared" si="49"/>
        <v>1465954.65</v>
      </c>
      <c r="I1097" s="7">
        <f t="shared" si="50"/>
        <v>263871.837</v>
      </c>
      <c r="J1097" s="7">
        <f t="shared" ref="J1097:J1122" si="51">+H1097+I1097</f>
        <v>1729826.487</v>
      </c>
    </row>
    <row r="1098" spans="1:10" x14ac:dyDescent="0.3">
      <c r="A1098" s="2">
        <v>1082</v>
      </c>
      <c r="B1098" s="2" t="s">
        <v>1820</v>
      </c>
      <c r="C1098" s="2" t="s">
        <v>1821</v>
      </c>
      <c r="D1098" s="2" t="s">
        <v>1821</v>
      </c>
      <c r="E1098" s="2" t="s">
        <v>3458</v>
      </c>
      <c r="F1098" s="7">
        <v>488651.55</v>
      </c>
      <c r="G1098" s="13">
        <v>3</v>
      </c>
      <c r="H1098" s="15">
        <f t="shared" si="49"/>
        <v>1465954.65</v>
      </c>
      <c r="I1098" s="7">
        <f t="shared" si="50"/>
        <v>263871.837</v>
      </c>
      <c r="J1098" s="7">
        <f t="shared" si="51"/>
        <v>1729826.487</v>
      </c>
    </row>
    <row r="1099" spans="1:10" x14ac:dyDescent="0.3">
      <c r="A1099" s="2">
        <v>1083</v>
      </c>
      <c r="B1099" s="2" t="s">
        <v>3999</v>
      </c>
      <c r="C1099" s="2" t="s">
        <v>4496</v>
      </c>
      <c r="D1099" s="2" t="s">
        <v>4496</v>
      </c>
      <c r="E1099" s="2" t="s">
        <v>3458</v>
      </c>
      <c r="F1099" s="7">
        <v>488651.55</v>
      </c>
      <c r="G1099" s="13">
        <v>3</v>
      </c>
      <c r="H1099" s="15">
        <f t="shared" si="49"/>
        <v>1465954.65</v>
      </c>
      <c r="I1099" s="7">
        <f t="shared" si="50"/>
        <v>263871.837</v>
      </c>
      <c r="J1099" s="7">
        <f t="shared" si="51"/>
        <v>1729826.487</v>
      </c>
    </row>
    <row r="1100" spans="1:10" x14ac:dyDescent="0.3">
      <c r="A1100" s="2">
        <v>1084</v>
      </c>
      <c r="B1100" s="2" t="s">
        <v>4000</v>
      </c>
      <c r="C1100" s="2" t="s">
        <v>4497</v>
      </c>
      <c r="D1100" s="2" t="s">
        <v>4497</v>
      </c>
      <c r="E1100" s="2" t="s">
        <v>3458</v>
      </c>
      <c r="F1100" s="7">
        <v>488651.55</v>
      </c>
      <c r="G1100" s="13">
        <v>3</v>
      </c>
      <c r="H1100" s="15">
        <f t="shared" si="49"/>
        <v>1465954.65</v>
      </c>
      <c r="I1100" s="7">
        <f t="shared" si="50"/>
        <v>263871.837</v>
      </c>
      <c r="J1100" s="7">
        <f t="shared" si="51"/>
        <v>1729826.487</v>
      </c>
    </row>
    <row r="1101" spans="1:10" x14ac:dyDescent="0.3">
      <c r="A1101" s="2">
        <v>1085</v>
      </c>
      <c r="B1101" s="2" t="s">
        <v>1471</v>
      </c>
      <c r="C1101" s="2" t="s">
        <v>1472</v>
      </c>
      <c r="D1101" s="2" t="s">
        <v>1472</v>
      </c>
      <c r="E1101" s="2" t="s">
        <v>3458</v>
      </c>
      <c r="F1101" s="7">
        <v>488651.55</v>
      </c>
      <c r="G1101" s="13">
        <v>3</v>
      </c>
      <c r="H1101" s="15">
        <f t="shared" si="49"/>
        <v>1465954.65</v>
      </c>
      <c r="I1101" s="7">
        <f t="shared" si="50"/>
        <v>263871.837</v>
      </c>
      <c r="J1101" s="7">
        <f t="shared" si="51"/>
        <v>1729826.487</v>
      </c>
    </row>
    <row r="1102" spans="1:10" x14ac:dyDescent="0.3">
      <c r="A1102" s="2">
        <v>1086</v>
      </c>
      <c r="B1102" s="2" t="s">
        <v>1309</v>
      </c>
      <c r="C1102" s="2" t="s">
        <v>1310</v>
      </c>
      <c r="D1102" s="2" t="s">
        <v>1310</v>
      </c>
      <c r="E1102" s="2" t="s">
        <v>3458</v>
      </c>
      <c r="F1102" s="7">
        <v>488651.55</v>
      </c>
      <c r="G1102" s="13">
        <v>3</v>
      </c>
      <c r="H1102" s="15">
        <f t="shared" si="49"/>
        <v>1465954.65</v>
      </c>
      <c r="I1102" s="7">
        <f t="shared" si="50"/>
        <v>263871.837</v>
      </c>
      <c r="J1102" s="7">
        <f t="shared" si="51"/>
        <v>1729826.487</v>
      </c>
    </row>
    <row r="1103" spans="1:10" x14ac:dyDescent="0.3">
      <c r="A1103" s="2">
        <v>1087</v>
      </c>
      <c r="B1103" s="2" t="s">
        <v>1595</v>
      </c>
      <c r="C1103" s="2" t="s">
        <v>1596</v>
      </c>
      <c r="D1103" s="2" t="s">
        <v>1596</v>
      </c>
      <c r="E1103" s="2" t="s">
        <v>3458</v>
      </c>
      <c r="F1103" s="7">
        <v>488651.55</v>
      </c>
      <c r="G1103" s="13">
        <v>3</v>
      </c>
      <c r="H1103" s="15">
        <f t="shared" si="49"/>
        <v>1465954.65</v>
      </c>
      <c r="I1103" s="7">
        <f t="shared" si="50"/>
        <v>263871.837</v>
      </c>
      <c r="J1103" s="7">
        <f t="shared" si="51"/>
        <v>1729826.487</v>
      </c>
    </row>
    <row r="1104" spans="1:10" x14ac:dyDescent="0.3">
      <c r="A1104" s="2">
        <v>1088</v>
      </c>
      <c r="B1104" s="2" t="s">
        <v>2088</v>
      </c>
      <c r="C1104" s="2" t="s">
        <v>2089</v>
      </c>
      <c r="D1104" s="2" t="s">
        <v>2089</v>
      </c>
      <c r="E1104" s="2" t="s">
        <v>3458</v>
      </c>
      <c r="F1104" s="7">
        <v>488651.55</v>
      </c>
      <c r="G1104" s="13">
        <v>3</v>
      </c>
      <c r="H1104" s="15">
        <f t="shared" ref="H1104:H1124" si="52">+F1104*G1104</f>
        <v>1465954.65</v>
      </c>
      <c r="I1104" s="7">
        <f t="shared" ref="I1104:I1124" si="53">+H1104*0.18</f>
        <v>263871.837</v>
      </c>
      <c r="J1104" s="7">
        <f t="shared" si="51"/>
        <v>1729826.487</v>
      </c>
    </row>
    <row r="1105" spans="1:10" x14ac:dyDescent="0.3">
      <c r="A1105" s="2">
        <v>1089</v>
      </c>
      <c r="B1105" s="2" t="s">
        <v>2114</v>
      </c>
      <c r="C1105" s="2" t="s">
        <v>2115</v>
      </c>
      <c r="D1105" s="2" t="s">
        <v>2115</v>
      </c>
      <c r="E1105" s="2" t="s">
        <v>3458</v>
      </c>
      <c r="F1105" s="7">
        <v>488651.55</v>
      </c>
      <c r="G1105" s="13">
        <v>3</v>
      </c>
      <c r="H1105" s="15">
        <f t="shared" si="52"/>
        <v>1465954.65</v>
      </c>
      <c r="I1105" s="7">
        <f t="shared" si="53"/>
        <v>263871.837</v>
      </c>
      <c r="J1105" s="7">
        <f t="shared" si="51"/>
        <v>1729826.487</v>
      </c>
    </row>
    <row r="1106" spans="1:10" x14ac:dyDescent="0.3">
      <c r="A1106" s="2">
        <v>1090</v>
      </c>
      <c r="B1106" s="2" t="s">
        <v>4001</v>
      </c>
      <c r="C1106" s="2" t="s">
        <v>4498</v>
      </c>
      <c r="D1106" s="2" t="s">
        <v>4498</v>
      </c>
      <c r="E1106" s="2" t="s">
        <v>3458</v>
      </c>
      <c r="F1106" s="7">
        <v>488651.55</v>
      </c>
      <c r="G1106" s="13">
        <v>3</v>
      </c>
      <c r="H1106" s="15">
        <f t="shared" si="52"/>
        <v>1465954.65</v>
      </c>
      <c r="I1106" s="7">
        <f t="shared" si="53"/>
        <v>263871.837</v>
      </c>
      <c r="J1106" s="7">
        <f t="shared" si="51"/>
        <v>1729826.487</v>
      </c>
    </row>
    <row r="1107" spans="1:10" x14ac:dyDescent="0.3">
      <c r="A1107" s="2">
        <v>1091</v>
      </c>
      <c r="B1107" s="2" t="s">
        <v>4002</v>
      </c>
      <c r="C1107" s="2" t="s">
        <v>4499</v>
      </c>
      <c r="D1107" s="2" t="s">
        <v>4499</v>
      </c>
      <c r="E1107" s="2" t="s">
        <v>3458</v>
      </c>
      <c r="F1107" s="7">
        <v>488651.55</v>
      </c>
      <c r="G1107" s="13">
        <v>3</v>
      </c>
      <c r="H1107" s="15">
        <f t="shared" si="52"/>
        <v>1465954.65</v>
      </c>
      <c r="I1107" s="7">
        <f t="shared" si="53"/>
        <v>263871.837</v>
      </c>
      <c r="J1107" s="7">
        <f t="shared" si="51"/>
        <v>1729826.487</v>
      </c>
    </row>
    <row r="1108" spans="1:10" x14ac:dyDescent="0.3">
      <c r="A1108" s="2">
        <v>1092</v>
      </c>
      <c r="B1108" s="2" t="s">
        <v>2004</v>
      </c>
      <c r="C1108" s="2" t="s">
        <v>2005</v>
      </c>
      <c r="D1108" s="2" t="s">
        <v>2005</v>
      </c>
      <c r="E1108" s="2" t="s">
        <v>3458</v>
      </c>
      <c r="F1108" s="7">
        <v>488651.55</v>
      </c>
      <c r="G1108" s="13">
        <v>3</v>
      </c>
      <c r="H1108" s="15">
        <f t="shared" si="52"/>
        <v>1465954.65</v>
      </c>
      <c r="I1108" s="7">
        <f t="shared" si="53"/>
        <v>263871.837</v>
      </c>
      <c r="J1108" s="7">
        <f t="shared" si="51"/>
        <v>1729826.487</v>
      </c>
    </row>
    <row r="1109" spans="1:10" x14ac:dyDescent="0.3">
      <c r="A1109" s="2">
        <v>1093</v>
      </c>
      <c r="B1109" s="2" t="s">
        <v>2179</v>
      </c>
      <c r="C1109" s="2" t="s">
        <v>2180</v>
      </c>
      <c r="D1109" s="2" t="s">
        <v>2180</v>
      </c>
      <c r="E1109" s="2" t="s">
        <v>3458</v>
      </c>
      <c r="F1109" s="7">
        <v>488651.55</v>
      </c>
      <c r="G1109" s="13">
        <v>3</v>
      </c>
      <c r="H1109" s="15">
        <f t="shared" si="52"/>
        <v>1465954.65</v>
      </c>
      <c r="I1109" s="7">
        <f t="shared" si="53"/>
        <v>263871.837</v>
      </c>
      <c r="J1109" s="7">
        <f t="shared" si="51"/>
        <v>1729826.487</v>
      </c>
    </row>
    <row r="1110" spans="1:10" x14ac:dyDescent="0.3">
      <c r="A1110" s="2">
        <v>1094</v>
      </c>
      <c r="B1110" s="2" t="s">
        <v>1234</v>
      </c>
      <c r="C1110" s="2" t="s">
        <v>1235</v>
      </c>
      <c r="D1110" s="2" t="s">
        <v>1235</v>
      </c>
      <c r="E1110" s="2" t="s">
        <v>3458</v>
      </c>
      <c r="F1110" s="7">
        <v>488651.55</v>
      </c>
      <c r="G1110" s="13">
        <v>3</v>
      </c>
      <c r="H1110" s="15">
        <f t="shared" si="52"/>
        <v>1465954.65</v>
      </c>
      <c r="I1110" s="7">
        <f t="shared" si="53"/>
        <v>263871.837</v>
      </c>
      <c r="J1110" s="7">
        <f t="shared" si="51"/>
        <v>1729826.487</v>
      </c>
    </row>
    <row r="1111" spans="1:10" x14ac:dyDescent="0.3">
      <c r="A1111" s="2">
        <v>1095</v>
      </c>
      <c r="B1111" s="2" t="s">
        <v>1826</v>
      </c>
      <c r="C1111" s="2" t="s">
        <v>1827</v>
      </c>
      <c r="D1111" s="2" t="s">
        <v>1827</v>
      </c>
      <c r="E1111" s="2" t="s">
        <v>3458</v>
      </c>
      <c r="F1111" s="7">
        <v>488651.55</v>
      </c>
      <c r="G1111" s="13">
        <v>3</v>
      </c>
      <c r="H1111" s="15">
        <f t="shared" si="52"/>
        <v>1465954.65</v>
      </c>
      <c r="I1111" s="7">
        <f t="shared" si="53"/>
        <v>263871.837</v>
      </c>
      <c r="J1111" s="7">
        <f t="shared" si="51"/>
        <v>1729826.487</v>
      </c>
    </row>
    <row r="1112" spans="1:10" x14ac:dyDescent="0.3">
      <c r="A1112" s="2">
        <v>1096</v>
      </c>
      <c r="B1112" s="2" t="s">
        <v>1674</v>
      </c>
      <c r="C1112" s="2" t="s">
        <v>1675</v>
      </c>
      <c r="D1112" s="2" t="s">
        <v>1675</v>
      </c>
      <c r="E1112" s="2" t="s">
        <v>3458</v>
      </c>
      <c r="F1112" s="7">
        <v>488651.55</v>
      </c>
      <c r="G1112" s="13">
        <v>3</v>
      </c>
      <c r="H1112" s="15">
        <f t="shared" si="52"/>
        <v>1465954.65</v>
      </c>
      <c r="I1112" s="7">
        <f t="shared" si="53"/>
        <v>263871.837</v>
      </c>
      <c r="J1112" s="7">
        <f t="shared" si="51"/>
        <v>1729826.487</v>
      </c>
    </row>
    <row r="1113" spans="1:10" x14ac:dyDescent="0.3">
      <c r="A1113" s="2">
        <v>1097</v>
      </c>
      <c r="B1113" s="2" t="s">
        <v>1995</v>
      </c>
      <c r="C1113" s="2" t="s">
        <v>1996</v>
      </c>
      <c r="D1113" s="2" t="s">
        <v>1996</v>
      </c>
      <c r="E1113" s="2" t="s">
        <v>3458</v>
      </c>
      <c r="F1113" s="7">
        <v>488651.55</v>
      </c>
      <c r="G1113" s="13">
        <v>3</v>
      </c>
      <c r="H1113" s="15">
        <f t="shared" si="52"/>
        <v>1465954.65</v>
      </c>
      <c r="I1113" s="7">
        <f t="shared" si="53"/>
        <v>263871.837</v>
      </c>
      <c r="J1113" s="7">
        <f t="shared" si="51"/>
        <v>1729826.487</v>
      </c>
    </row>
    <row r="1114" spans="1:10" x14ac:dyDescent="0.3">
      <c r="A1114" s="2">
        <v>1098</v>
      </c>
      <c r="B1114" s="2" t="s">
        <v>2128</v>
      </c>
      <c r="C1114" s="2" t="s">
        <v>2129</v>
      </c>
      <c r="D1114" s="2" t="s">
        <v>2129</v>
      </c>
      <c r="E1114" s="2" t="s">
        <v>3458</v>
      </c>
      <c r="F1114" s="7">
        <v>488651.55</v>
      </c>
      <c r="G1114" s="13">
        <v>3</v>
      </c>
      <c r="H1114" s="15">
        <f t="shared" si="52"/>
        <v>1465954.65</v>
      </c>
      <c r="I1114" s="7">
        <f t="shared" si="53"/>
        <v>263871.837</v>
      </c>
      <c r="J1114" s="7">
        <f t="shared" si="51"/>
        <v>1729826.487</v>
      </c>
    </row>
    <row r="1115" spans="1:10" x14ac:dyDescent="0.3">
      <c r="A1115" s="2">
        <v>1099</v>
      </c>
      <c r="B1115" s="2" t="s">
        <v>2093</v>
      </c>
      <c r="C1115" s="2" t="s">
        <v>2094</v>
      </c>
      <c r="D1115" s="2" t="s">
        <v>2094</v>
      </c>
      <c r="E1115" s="2" t="s">
        <v>3458</v>
      </c>
      <c r="F1115" s="7">
        <v>488651.55</v>
      </c>
      <c r="G1115" s="13">
        <v>3</v>
      </c>
      <c r="H1115" s="15">
        <f t="shared" si="52"/>
        <v>1465954.65</v>
      </c>
      <c r="I1115" s="7">
        <f t="shared" si="53"/>
        <v>263871.837</v>
      </c>
      <c r="J1115" s="7">
        <f t="shared" si="51"/>
        <v>1729826.487</v>
      </c>
    </row>
    <row r="1116" spans="1:10" x14ac:dyDescent="0.3">
      <c r="A1116" s="2">
        <v>1100</v>
      </c>
      <c r="B1116" s="2" t="s">
        <v>4003</v>
      </c>
      <c r="C1116" s="2" t="s">
        <v>4500</v>
      </c>
      <c r="D1116" s="2" t="s">
        <v>4500</v>
      </c>
      <c r="E1116" s="2" t="s">
        <v>3458</v>
      </c>
      <c r="F1116" s="7">
        <v>488651.55</v>
      </c>
      <c r="G1116" s="13">
        <v>3</v>
      </c>
      <c r="H1116" s="15">
        <f t="shared" si="52"/>
        <v>1465954.65</v>
      </c>
      <c r="I1116" s="7">
        <f t="shared" si="53"/>
        <v>263871.837</v>
      </c>
      <c r="J1116" s="7">
        <f t="shared" si="51"/>
        <v>1729826.487</v>
      </c>
    </row>
    <row r="1117" spans="1:10" x14ac:dyDescent="0.3">
      <c r="A1117" s="2">
        <v>1101</v>
      </c>
      <c r="B1117" s="2" t="s">
        <v>4004</v>
      </c>
      <c r="C1117" s="2" t="s">
        <v>4501</v>
      </c>
      <c r="D1117" s="2" t="s">
        <v>4501</v>
      </c>
      <c r="E1117" s="2" t="s">
        <v>3458</v>
      </c>
      <c r="F1117" s="7">
        <v>488651.55</v>
      </c>
      <c r="G1117" s="13">
        <v>3</v>
      </c>
      <c r="H1117" s="15">
        <f t="shared" si="52"/>
        <v>1465954.65</v>
      </c>
      <c r="I1117" s="7">
        <f t="shared" si="53"/>
        <v>263871.837</v>
      </c>
      <c r="J1117" s="7">
        <f t="shared" si="51"/>
        <v>1729826.487</v>
      </c>
    </row>
    <row r="1118" spans="1:10" x14ac:dyDescent="0.3">
      <c r="A1118" s="2">
        <v>1102</v>
      </c>
      <c r="B1118" s="2" t="s">
        <v>4005</v>
      </c>
      <c r="C1118" s="2" t="s">
        <v>4502</v>
      </c>
      <c r="D1118" s="2" t="s">
        <v>4502</v>
      </c>
      <c r="E1118" s="2" t="s">
        <v>3458</v>
      </c>
      <c r="F1118" s="7">
        <v>488651.55</v>
      </c>
      <c r="G1118" s="13">
        <v>3</v>
      </c>
      <c r="H1118" s="15">
        <f t="shared" si="52"/>
        <v>1465954.65</v>
      </c>
      <c r="I1118" s="7">
        <f t="shared" si="53"/>
        <v>263871.837</v>
      </c>
      <c r="J1118" s="7">
        <f t="shared" si="51"/>
        <v>1729826.487</v>
      </c>
    </row>
    <row r="1119" spans="1:10" x14ac:dyDescent="0.3">
      <c r="A1119" s="2">
        <v>1103</v>
      </c>
      <c r="B1119" s="2" t="s">
        <v>4006</v>
      </c>
      <c r="C1119" s="2" t="s">
        <v>4503</v>
      </c>
      <c r="D1119" s="2" t="s">
        <v>4503</v>
      </c>
      <c r="E1119" s="2" t="s">
        <v>3458</v>
      </c>
      <c r="F1119" s="7">
        <v>488651.55</v>
      </c>
      <c r="G1119" s="13">
        <v>3</v>
      </c>
      <c r="H1119" s="15">
        <f t="shared" si="52"/>
        <v>1465954.65</v>
      </c>
      <c r="I1119" s="7">
        <f t="shared" si="53"/>
        <v>263871.837</v>
      </c>
      <c r="J1119" s="7">
        <f t="shared" si="51"/>
        <v>1729826.487</v>
      </c>
    </row>
    <row r="1120" spans="1:10" x14ac:dyDescent="0.3">
      <c r="A1120" s="2">
        <v>1104</v>
      </c>
      <c r="B1120" s="2" t="s">
        <v>573</v>
      </c>
      <c r="C1120" s="2" t="s">
        <v>574</v>
      </c>
      <c r="D1120" s="2" t="s">
        <v>574</v>
      </c>
      <c r="E1120" s="2" t="s">
        <v>3458</v>
      </c>
      <c r="F1120" s="7">
        <v>488651.55</v>
      </c>
      <c r="G1120" s="13">
        <v>3</v>
      </c>
      <c r="H1120" s="15">
        <f t="shared" si="52"/>
        <v>1465954.65</v>
      </c>
      <c r="I1120" s="7">
        <f t="shared" si="53"/>
        <v>263871.837</v>
      </c>
      <c r="J1120" s="7">
        <f t="shared" si="51"/>
        <v>1729826.487</v>
      </c>
    </row>
    <row r="1121" spans="1:10" x14ac:dyDescent="0.3">
      <c r="A1121" s="2">
        <v>1105</v>
      </c>
      <c r="B1121" s="2" t="s">
        <v>686</v>
      </c>
      <c r="C1121" s="2" t="s">
        <v>687</v>
      </c>
      <c r="D1121" s="2" t="s">
        <v>687</v>
      </c>
      <c r="E1121" s="2" t="s">
        <v>3458</v>
      </c>
      <c r="F1121" s="7">
        <v>488651.55</v>
      </c>
      <c r="G1121" s="13">
        <v>3</v>
      </c>
      <c r="H1121" s="15">
        <f t="shared" si="52"/>
        <v>1465954.65</v>
      </c>
      <c r="I1121" s="7">
        <f t="shared" si="53"/>
        <v>263871.837</v>
      </c>
      <c r="J1121" s="7">
        <f t="shared" si="51"/>
        <v>1729826.487</v>
      </c>
    </row>
    <row r="1122" spans="1:10" x14ac:dyDescent="0.3">
      <c r="A1122" s="2">
        <v>1106</v>
      </c>
      <c r="B1122" s="2" t="s">
        <v>577</v>
      </c>
      <c r="C1122" s="2" t="s">
        <v>578</v>
      </c>
      <c r="D1122" s="2" t="s">
        <v>578</v>
      </c>
      <c r="E1122" s="2" t="s">
        <v>3458</v>
      </c>
      <c r="F1122" s="7">
        <v>488651.55</v>
      </c>
      <c r="G1122" s="13">
        <v>3</v>
      </c>
      <c r="H1122" s="15">
        <f t="shared" si="52"/>
        <v>1465954.65</v>
      </c>
      <c r="I1122" s="7">
        <f t="shared" si="53"/>
        <v>263871.837</v>
      </c>
      <c r="J1122" s="7">
        <f t="shared" si="51"/>
        <v>1729826.487</v>
      </c>
    </row>
    <row r="1123" spans="1:10" x14ac:dyDescent="0.3">
      <c r="A1123" s="2">
        <v>1107</v>
      </c>
      <c r="B1123" s="2" t="s">
        <v>5052</v>
      </c>
      <c r="C1123" s="2" t="s">
        <v>5053</v>
      </c>
      <c r="D1123" s="2" t="s">
        <v>5053</v>
      </c>
      <c r="E1123" s="2" t="s">
        <v>3458</v>
      </c>
      <c r="F1123" s="7">
        <v>488651.55</v>
      </c>
      <c r="G1123" s="13">
        <v>3</v>
      </c>
      <c r="H1123" s="15">
        <f t="shared" si="52"/>
        <v>1465954.65</v>
      </c>
      <c r="I1123" s="7">
        <f t="shared" si="53"/>
        <v>263871.837</v>
      </c>
      <c r="J1123" s="7">
        <f t="shared" ref="J1123" si="54">+H1123+I1123</f>
        <v>1729826.487</v>
      </c>
    </row>
    <row r="1124" spans="1:10" x14ac:dyDescent="0.3">
      <c r="A1124" s="2">
        <v>1108</v>
      </c>
      <c r="B1124" s="2" t="s">
        <v>5054</v>
      </c>
      <c r="C1124" s="2" t="s">
        <v>5055</v>
      </c>
      <c r="D1124" s="2" t="s">
        <v>5055</v>
      </c>
      <c r="E1124" s="2" t="s">
        <v>3458</v>
      </c>
      <c r="F1124" s="7">
        <v>488651.55</v>
      </c>
      <c r="G1124" s="13">
        <v>3</v>
      </c>
      <c r="H1124" s="15">
        <f t="shared" si="52"/>
        <v>1465954.65</v>
      </c>
      <c r="I1124" s="7">
        <f t="shared" si="53"/>
        <v>263871.837</v>
      </c>
      <c r="J1124" s="7">
        <f t="shared" ref="J1124" si="55">+H1124+I1124</f>
        <v>1729826.487</v>
      </c>
    </row>
  </sheetData>
  <autoFilter ref="A16:W1124" xr:uid="{00000000-0009-0000-0000-000002000000}"/>
  <conditionalFormatting sqref="B1:B1048576">
    <cfRule type="duplicateValues" dxfId="62" priority="2"/>
  </conditionalFormatting>
  <conditionalFormatting sqref="F1">
    <cfRule type="duplicateValues" dxfId="61" priority="4355"/>
  </conditionalFormatting>
  <conditionalFormatting sqref="B1:B871">
    <cfRule type="duplicateValues" dxfId="60" priority="11656"/>
  </conditionalFormatting>
  <conditionalFormatting sqref="B1:B871">
    <cfRule type="duplicateValues" dxfId="59" priority="11658"/>
    <cfRule type="duplicateValues" dxfId="58" priority="11659"/>
  </conditionalFormatting>
  <conditionalFormatting sqref="C1:C871">
    <cfRule type="duplicateValues" dxfId="57" priority="11662"/>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J38"/>
  <sheetViews>
    <sheetView topLeftCell="C1" zoomScale="81" zoomScaleNormal="80" workbookViewId="0">
      <selection activeCell="K5" sqref="K5"/>
    </sheetView>
  </sheetViews>
  <sheetFormatPr baseColWidth="10" defaultColWidth="9.109375" defaultRowHeight="14.4" x14ac:dyDescent="0.3"/>
  <cols>
    <col min="2" max="2" width="21.44140625" bestFit="1" customWidth="1"/>
    <col min="3" max="3" width="30.33203125" bestFit="1" customWidth="1"/>
    <col min="4" max="4" width="49.33203125" customWidth="1"/>
    <col min="5" max="5" width="13.88671875" bestFit="1" customWidth="1"/>
    <col min="6" max="6" width="16.5546875" bestFit="1" customWidth="1"/>
    <col min="7" max="7" width="14.33203125" customWidth="1"/>
    <col min="8" max="8" width="30.6640625" customWidth="1"/>
    <col min="9" max="9" width="16.88671875" customWidth="1"/>
    <col min="10" max="10" width="28.6640625" customWidth="1"/>
  </cols>
  <sheetData>
    <row r="1" spans="1:10" x14ac:dyDescent="0.3">
      <c r="F1" s="10" t="s">
        <v>4509</v>
      </c>
    </row>
    <row r="2" spans="1:10" x14ac:dyDescent="0.3">
      <c r="F2" s="19">
        <f>COUNTIF(E$17:E$38,$F$1)</f>
        <v>22</v>
      </c>
    </row>
    <row r="3" spans="1:10" x14ac:dyDescent="0.3">
      <c r="E3" t="s">
        <v>4508</v>
      </c>
      <c r="F3" s="27">
        <f>SUMIF($E$17:$E$38,"MLL BPCI",$F$17:$F$38)</f>
        <v>8062747</v>
      </c>
    </row>
    <row r="4" spans="1:10" x14ac:dyDescent="0.3">
      <c r="F4" s="4"/>
    </row>
    <row r="5" spans="1:10" x14ac:dyDescent="0.3">
      <c r="F5" s="6"/>
    </row>
    <row r="6" spans="1:10" x14ac:dyDescent="0.3">
      <c r="F6" s="257">
        <v>366488.5</v>
      </c>
    </row>
    <row r="7" spans="1:10" x14ac:dyDescent="0.3">
      <c r="F7" s="7"/>
    </row>
    <row r="8" spans="1:10" x14ac:dyDescent="0.3">
      <c r="E8" s="8"/>
      <c r="F8" s="7"/>
    </row>
    <row r="9" spans="1:10" x14ac:dyDescent="0.3">
      <c r="E9" s="8"/>
      <c r="F9" s="7"/>
    </row>
    <row r="10" spans="1:10" x14ac:dyDescent="0.3">
      <c r="E10" s="6"/>
      <c r="F10" s="6"/>
    </row>
    <row r="11" spans="1:10" ht="24" customHeight="1" x14ac:dyDescent="0.3">
      <c r="D11" s="22" t="s">
        <v>5263</v>
      </c>
      <c r="E11" s="6"/>
      <c r="F11" s="6"/>
    </row>
    <row r="12" spans="1:10" x14ac:dyDescent="0.3">
      <c r="E12" s="6"/>
      <c r="F12" s="6"/>
    </row>
    <row r="13" spans="1:10" x14ac:dyDescent="0.3">
      <c r="E13" s="6"/>
      <c r="F13" s="6"/>
    </row>
    <row r="14" spans="1:10" x14ac:dyDescent="0.3">
      <c r="F14" s="9"/>
    </row>
    <row r="15" spans="1:10" s="6" customFormat="1" ht="16.5" customHeight="1" x14ac:dyDescent="0.3">
      <c r="F15" s="16">
        <f>SUBTOTAL(9,F17:F38)</f>
        <v>8062747</v>
      </c>
      <c r="H15" s="25">
        <f>SUBTOTAL(9,H17:H38)</f>
        <v>24188241</v>
      </c>
      <c r="I15" s="26">
        <f>SUBTOTAL(9,I17:I38)</f>
        <v>4353883.38</v>
      </c>
      <c r="J15" s="26">
        <f>SUBTOTAL(9,J17:J38)</f>
        <v>28542124.379999988</v>
      </c>
    </row>
    <row r="16" spans="1:10" s="5" customFormat="1" ht="16.5" customHeight="1" x14ac:dyDescent="0.3">
      <c r="A16" s="10" t="s">
        <v>5</v>
      </c>
      <c r="B16" s="10" t="s">
        <v>6</v>
      </c>
      <c r="C16" s="10" t="s">
        <v>7</v>
      </c>
      <c r="D16" s="10" t="s">
        <v>8</v>
      </c>
      <c r="E16" s="10" t="s">
        <v>10</v>
      </c>
      <c r="F16" s="10" t="s">
        <v>4509</v>
      </c>
      <c r="G16" s="12" t="s">
        <v>4504</v>
      </c>
      <c r="H16" s="24" t="s">
        <v>5016</v>
      </c>
      <c r="I16" s="24" t="s">
        <v>4506</v>
      </c>
      <c r="J16" s="14" t="s">
        <v>5272</v>
      </c>
    </row>
    <row r="17" spans="1:10" ht="15" customHeight="1" x14ac:dyDescent="0.3">
      <c r="A17" s="2">
        <v>1</v>
      </c>
      <c r="B17" s="2" t="s">
        <v>3435</v>
      </c>
      <c r="C17" s="2" t="s">
        <v>3436</v>
      </c>
      <c r="D17" s="2" t="s">
        <v>3436</v>
      </c>
      <c r="E17" s="2" t="s">
        <v>4509</v>
      </c>
      <c r="F17" s="7">
        <v>366488.5</v>
      </c>
      <c r="G17" s="2">
        <v>3</v>
      </c>
      <c r="H17" s="7">
        <f>+F17*G17</f>
        <v>1099465.5</v>
      </c>
      <c r="I17" s="7">
        <f>+H17*0.18</f>
        <v>197903.78999999998</v>
      </c>
      <c r="J17" s="7">
        <f>+H17+I17</f>
        <v>1297369.29</v>
      </c>
    </row>
    <row r="18" spans="1:10" ht="15" customHeight="1" x14ac:dyDescent="0.3">
      <c r="A18" s="2">
        <v>2</v>
      </c>
      <c r="B18" s="2" t="s">
        <v>3437</v>
      </c>
      <c r="C18" s="2" t="s">
        <v>3438</v>
      </c>
      <c r="D18" s="2" t="s">
        <v>3438</v>
      </c>
      <c r="E18" s="2" t="s">
        <v>4509</v>
      </c>
      <c r="F18" s="7">
        <v>366488.5</v>
      </c>
      <c r="G18" s="2">
        <v>3</v>
      </c>
      <c r="H18" s="7">
        <f t="shared" ref="H18:H38" si="0">+F18*G18</f>
        <v>1099465.5</v>
      </c>
      <c r="I18" s="7">
        <f t="shared" ref="I18:I38" si="1">+H18*0.18</f>
        <v>197903.78999999998</v>
      </c>
      <c r="J18" s="7">
        <f t="shared" ref="J18:J38" si="2">+H18+I18</f>
        <v>1297369.29</v>
      </c>
    </row>
    <row r="19" spans="1:10" ht="15" customHeight="1" x14ac:dyDescent="0.3">
      <c r="A19" s="2">
        <v>3</v>
      </c>
      <c r="B19" s="2" t="s">
        <v>4510</v>
      </c>
      <c r="C19" s="2" t="s">
        <v>4511</v>
      </c>
      <c r="D19" s="2" t="s">
        <v>4511</v>
      </c>
      <c r="E19" s="2" t="s">
        <v>4509</v>
      </c>
      <c r="F19" s="7">
        <v>366488.5</v>
      </c>
      <c r="G19" s="2">
        <v>3</v>
      </c>
      <c r="H19" s="7">
        <f t="shared" si="0"/>
        <v>1099465.5</v>
      </c>
      <c r="I19" s="7">
        <f t="shared" si="1"/>
        <v>197903.78999999998</v>
      </c>
      <c r="J19" s="7">
        <f t="shared" si="2"/>
        <v>1297369.29</v>
      </c>
    </row>
    <row r="20" spans="1:10" ht="15" customHeight="1" x14ac:dyDescent="0.3">
      <c r="A20" s="2">
        <v>4</v>
      </c>
      <c r="B20" s="2" t="s">
        <v>3451</v>
      </c>
      <c r="C20" s="2" t="s">
        <v>3452</v>
      </c>
      <c r="D20" s="2" t="s">
        <v>3452</v>
      </c>
      <c r="E20" s="2" t="s">
        <v>4509</v>
      </c>
      <c r="F20" s="7">
        <v>366488.5</v>
      </c>
      <c r="G20" s="2">
        <v>3</v>
      </c>
      <c r="H20" s="7">
        <f t="shared" si="0"/>
        <v>1099465.5</v>
      </c>
      <c r="I20" s="7">
        <f t="shared" si="1"/>
        <v>197903.78999999998</v>
      </c>
      <c r="J20" s="7">
        <f t="shared" si="2"/>
        <v>1297369.29</v>
      </c>
    </row>
    <row r="21" spans="1:10" ht="15" customHeight="1" x14ac:dyDescent="0.3">
      <c r="A21" s="2">
        <v>5</v>
      </c>
      <c r="B21" s="2" t="s">
        <v>3439</v>
      </c>
      <c r="C21" s="2" t="s">
        <v>3440</v>
      </c>
      <c r="D21" s="2" t="s">
        <v>3440</v>
      </c>
      <c r="E21" s="2" t="s">
        <v>4509</v>
      </c>
      <c r="F21" s="7">
        <v>366488.5</v>
      </c>
      <c r="G21" s="2">
        <v>3</v>
      </c>
      <c r="H21" s="7">
        <f t="shared" si="0"/>
        <v>1099465.5</v>
      </c>
      <c r="I21" s="7">
        <f t="shared" si="1"/>
        <v>197903.78999999998</v>
      </c>
      <c r="J21" s="7">
        <f t="shared" si="2"/>
        <v>1297369.29</v>
      </c>
    </row>
    <row r="22" spans="1:10" ht="15" customHeight="1" x14ac:dyDescent="0.3">
      <c r="A22" s="2">
        <v>6</v>
      </c>
      <c r="B22" s="2" t="s">
        <v>4512</v>
      </c>
      <c r="C22" s="2" t="s">
        <v>4513</v>
      </c>
      <c r="D22" s="2" t="s">
        <v>4513</v>
      </c>
      <c r="E22" s="2" t="s">
        <v>4509</v>
      </c>
      <c r="F22" s="7">
        <v>366488.5</v>
      </c>
      <c r="G22" s="2">
        <v>3</v>
      </c>
      <c r="H22" s="7">
        <f t="shared" si="0"/>
        <v>1099465.5</v>
      </c>
      <c r="I22" s="7">
        <f t="shared" si="1"/>
        <v>197903.78999999998</v>
      </c>
      <c r="J22" s="7">
        <f t="shared" si="2"/>
        <v>1297369.29</v>
      </c>
    </row>
    <row r="23" spans="1:10" ht="15" customHeight="1" x14ac:dyDescent="0.3">
      <c r="A23" s="2">
        <v>7</v>
      </c>
      <c r="B23" s="2" t="s">
        <v>3453</v>
      </c>
      <c r="C23" s="2" t="s">
        <v>3454</v>
      </c>
      <c r="D23" s="2" t="s">
        <v>3454</v>
      </c>
      <c r="E23" s="2" t="s">
        <v>4509</v>
      </c>
      <c r="F23" s="7">
        <v>366488.5</v>
      </c>
      <c r="G23" s="2">
        <v>3</v>
      </c>
      <c r="H23" s="7">
        <f t="shared" si="0"/>
        <v>1099465.5</v>
      </c>
      <c r="I23" s="7">
        <f t="shared" si="1"/>
        <v>197903.78999999998</v>
      </c>
      <c r="J23" s="7">
        <f t="shared" si="2"/>
        <v>1297369.29</v>
      </c>
    </row>
    <row r="24" spans="1:10" ht="15" customHeight="1" x14ac:dyDescent="0.3">
      <c r="A24" s="2">
        <v>8</v>
      </c>
      <c r="B24" s="2" t="s">
        <v>3474</v>
      </c>
      <c r="C24" s="2" t="s">
        <v>3484</v>
      </c>
      <c r="D24" s="2" t="s">
        <v>3484</v>
      </c>
      <c r="E24" s="2" t="s">
        <v>4509</v>
      </c>
      <c r="F24" s="7">
        <v>366488.5</v>
      </c>
      <c r="G24" s="2">
        <v>3</v>
      </c>
      <c r="H24" s="7">
        <f t="shared" si="0"/>
        <v>1099465.5</v>
      </c>
      <c r="I24" s="7">
        <f t="shared" si="1"/>
        <v>197903.78999999998</v>
      </c>
      <c r="J24" s="7">
        <f t="shared" si="2"/>
        <v>1297369.29</v>
      </c>
    </row>
    <row r="25" spans="1:10" ht="15" customHeight="1" x14ac:dyDescent="0.3">
      <c r="A25" s="2">
        <v>9</v>
      </c>
      <c r="B25" s="2" t="s">
        <v>3475</v>
      </c>
      <c r="C25" s="2" t="s">
        <v>3485</v>
      </c>
      <c r="D25" s="2" t="s">
        <v>3485</v>
      </c>
      <c r="E25" s="2" t="s">
        <v>4509</v>
      </c>
      <c r="F25" s="7">
        <v>366488.5</v>
      </c>
      <c r="G25" s="2">
        <v>3</v>
      </c>
      <c r="H25" s="7">
        <f t="shared" si="0"/>
        <v>1099465.5</v>
      </c>
      <c r="I25" s="7">
        <f t="shared" si="1"/>
        <v>197903.78999999998</v>
      </c>
      <c r="J25" s="7">
        <f t="shared" si="2"/>
        <v>1297369.29</v>
      </c>
    </row>
    <row r="26" spans="1:10" ht="15" customHeight="1" x14ac:dyDescent="0.3">
      <c r="A26" s="2">
        <v>10</v>
      </c>
      <c r="B26" s="2" t="s">
        <v>3433</v>
      </c>
      <c r="C26" s="2" t="s">
        <v>3434</v>
      </c>
      <c r="D26" s="2" t="s">
        <v>3434</v>
      </c>
      <c r="E26" s="2" t="s">
        <v>4509</v>
      </c>
      <c r="F26" s="7">
        <v>366488.5</v>
      </c>
      <c r="G26" s="2">
        <v>3</v>
      </c>
      <c r="H26" s="7">
        <f t="shared" si="0"/>
        <v>1099465.5</v>
      </c>
      <c r="I26" s="7">
        <f t="shared" si="1"/>
        <v>197903.78999999998</v>
      </c>
      <c r="J26" s="7">
        <f t="shared" si="2"/>
        <v>1297369.29</v>
      </c>
    </row>
    <row r="27" spans="1:10" ht="15" customHeight="1" x14ac:dyDescent="0.3">
      <c r="A27" s="2">
        <v>11</v>
      </c>
      <c r="B27" s="2" t="s">
        <v>3429</v>
      </c>
      <c r="C27" s="2" t="s">
        <v>3430</v>
      </c>
      <c r="D27" s="2" t="s">
        <v>3430</v>
      </c>
      <c r="E27" s="2" t="s">
        <v>4509</v>
      </c>
      <c r="F27" s="7">
        <v>366488.5</v>
      </c>
      <c r="G27" s="2">
        <v>3</v>
      </c>
      <c r="H27" s="7">
        <f t="shared" si="0"/>
        <v>1099465.5</v>
      </c>
      <c r="I27" s="7">
        <f t="shared" si="1"/>
        <v>197903.78999999998</v>
      </c>
      <c r="J27" s="7">
        <f t="shared" si="2"/>
        <v>1297369.29</v>
      </c>
    </row>
    <row r="28" spans="1:10" ht="15" customHeight="1" x14ac:dyDescent="0.3">
      <c r="A28" s="2">
        <v>12</v>
      </c>
      <c r="B28" s="2" t="s">
        <v>3421</v>
      </c>
      <c r="C28" s="2" t="s">
        <v>3422</v>
      </c>
      <c r="D28" s="2" t="s">
        <v>3422</v>
      </c>
      <c r="E28" s="2" t="s">
        <v>4509</v>
      </c>
      <c r="F28" s="7">
        <v>366488.5</v>
      </c>
      <c r="G28" s="2">
        <v>3</v>
      </c>
      <c r="H28" s="7">
        <f t="shared" si="0"/>
        <v>1099465.5</v>
      </c>
      <c r="I28" s="7">
        <f t="shared" si="1"/>
        <v>197903.78999999998</v>
      </c>
      <c r="J28" s="7">
        <f t="shared" si="2"/>
        <v>1297369.29</v>
      </c>
    </row>
    <row r="29" spans="1:10" ht="15" customHeight="1" x14ac:dyDescent="0.3">
      <c r="A29" s="2">
        <v>13</v>
      </c>
      <c r="B29" s="2" t="s">
        <v>3423</v>
      </c>
      <c r="C29" s="2" t="s">
        <v>3424</v>
      </c>
      <c r="D29" s="2" t="s">
        <v>3424</v>
      </c>
      <c r="E29" s="2" t="s">
        <v>4509</v>
      </c>
      <c r="F29" s="7">
        <v>366488.5</v>
      </c>
      <c r="G29" s="2">
        <v>3</v>
      </c>
      <c r="H29" s="7">
        <f t="shared" si="0"/>
        <v>1099465.5</v>
      </c>
      <c r="I29" s="7">
        <f t="shared" si="1"/>
        <v>197903.78999999998</v>
      </c>
      <c r="J29" s="7">
        <f t="shared" si="2"/>
        <v>1297369.29</v>
      </c>
    </row>
    <row r="30" spans="1:10" ht="15" customHeight="1" x14ac:dyDescent="0.3">
      <c r="A30" s="2">
        <v>14</v>
      </c>
      <c r="B30" s="2" t="s">
        <v>3431</v>
      </c>
      <c r="C30" s="2" t="s">
        <v>3432</v>
      </c>
      <c r="D30" s="2" t="s">
        <v>3432</v>
      </c>
      <c r="E30" s="2" t="s">
        <v>4509</v>
      </c>
      <c r="F30" s="7">
        <v>366488.5</v>
      </c>
      <c r="G30" s="2">
        <v>3</v>
      </c>
      <c r="H30" s="7">
        <f t="shared" si="0"/>
        <v>1099465.5</v>
      </c>
      <c r="I30" s="7">
        <f t="shared" si="1"/>
        <v>197903.78999999998</v>
      </c>
      <c r="J30" s="7">
        <f t="shared" si="2"/>
        <v>1297369.29</v>
      </c>
    </row>
    <row r="31" spans="1:10" ht="15" customHeight="1" x14ac:dyDescent="0.3">
      <c r="A31" s="2">
        <v>15</v>
      </c>
      <c r="B31" s="2" t="s">
        <v>3441</v>
      </c>
      <c r="C31" s="2" t="s">
        <v>3442</v>
      </c>
      <c r="D31" s="2" t="s">
        <v>3442</v>
      </c>
      <c r="E31" s="2" t="s">
        <v>4509</v>
      </c>
      <c r="F31" s="7">
        <v>366488.5</v>
      </c>
      <c r="G31" s="2">
        <v>3</v>
      </c>
      <c r="H31" s="7">
        <f t="shared" si="0"/>
        <v>1099465.5</v>
      </c>
      <c r="I31" s="7">
        <f t="shared" si="1"/>
        <v>197903.78999999998</v>
      </c>
      <c r="J31" s="7">
        <f t="shared" si="2"/>
        <v>1297369.29</v>
      </c>
    </row>
    <row r="32" spans="1:10" ht="15" customHeight="1" x14ac:dyDescent="0.3">
      <c r="A32" s="2">
        <v>16</v>
      </c>
      <c r="B32" s="2" t="s">
        <v>3427</v>
      </c>
      <c r="C32" s="2" t="s">
        <v>3428</v>
      </c>
      <c r="D32" s="2" t="s">
        <v>3428</v>
      </c>
      <c r="E32" s="2" t="s">
        <v>4509</v>
      </c>
      <c r="F32" s="7">
        <v>366488.5</v>
      </c>
      <c r="G32" s="2">
        <v>3</v>
      </c>
      <c r="H32" s="7">
        <f t="shared" si="0"/>
        <v>1099465.5</v>
      </c>
      <c r="I32" s="7">
        <f t="shared" si="1"/>
        <v>197903.78999999998</v>
      </c>
      <c r="J32" s="7">
        <f t="shared" si="2"/>
        <v>1297369.29</v>
      </c>
    </row>
    <row r="33" spans="1:10" ht="15" customHeight="1" x14ac:dyDescent="0.3">
      <c r="A33" s="2">
        <v>17</v>
      </c>
      <c r="B33" s="2" t="s">
        <v>3443</v>
      </c>
      <c r="C33" s="2" t="s">
        <v>3444</v>
      </c>
      <c r="D33" s="2" t="s">
        <v>3444</v>
      </c>
      <c r="E33" s="2" t="s">
        <v>4509</v>
      </c>
      <c r="F33" s="7">
        <v>366488.5</v>
      </c>
      <c r="G33" s="2">
        <v>3</v>
      </c>
      <c r="H33" s="7">
        <f t="shared" si="0"/>
        <v>1099465.5</v>
      </c>
      <c r="I33" s="7">
        <f t="shared" si="1"/>
        <v>197903.78999999998</v>
      </c>
      <c r="J33" s="7">
        <f t="shared" si="2"/>
        <v>1297369.29</v>
      </c>
    </row>
    <row r="34" spans="1:10" ht="15" customHeight="1" x14ac:dyDescent="0.3">
      <c r="A34" s="2">
        <v>18</v>
      </c>
      <c r="B34" s="2" t="s">
        <v>3447</v>
      </c>
      <c r="C34" s="2" t="s">
        <v>3448</v>
      </c>
      <c r="D34" s="2" t="s">
        <v>3448</v>
      </c>
      <c r="E34" s="2" t="s">
        <v>4509</v>
      </c>
      <c r="F34" s="7">
        <v>366488.5</v>
      </c>
      <c r="G34" s="2">
        <v>3</v>
      </c>
      <c r="H34" s="7">
        <f t="shared" si="0"/>
        <v>1099465.5</v>
      </c>
      <c r="I34" s="7">
        <f t="shared" si="1"/>
        <v>197903.78999999998</v>
      </c>
      <c r="J34" s="7">
        <f t="shared" si="2"/>
        <v>1297369.29</v>
      </c>
    </row>
    <row r="35" spans="1:10" ht="15" customHeight="1" x14ac:dyDescent="0.3">
      <c r="A35" s="2">
        <v>19</v>
      </c>
      <c r="B35" s="2" t="s">
        <v>3425</v>
      </c>
      <c r="C35" s="2" t="s">
        <v>3426</v>
      </c>
      <c r="D35" s="2" t="s">
        <v>3426</v>
      </c>
      <c r="E35" s="2" t="s">
        <v>4509</v>
      </c>
      <c r="F35" s="7">
        <v>366488.5</v>
      </c>
      <c r="G35" s="2">
        <v>3</v>
      </c>
      <c r="H35" s="7">
        <f t="shared" si="0"/>
        <v>1099465.5</v>
      </c>
      <c r="I35" s="7">
        <f t="shared" si="1"/>
        <v>197903.78999999998</v>
      </c>
      <c r="J35" s="7">
        <f t="shared" si="2"/>
        <v>1297369.29</v>
      </c>
    </row>
    <row r="36" spans="1:10" ht="15" customHeight="1" x14ac:dyDescent="0.3">
      <c r="A36" s="2">
        <v>20</v>
      </c>
      <c r="B36" s="2" t="s">
        <v>4514</v>
      </c>
      <c r="C36" s="2" t="s">
        <v>4515</v>
      </c>
      <c r="D36" s="2" t="s">
        <v>4515</v>
      </c>
      <c r="E36" s="2" t="s">
        <v>4509</v>
      </c>
      <c r="F36" s="7">
        <v>366488.5</v>
      </c>
      <c r="G36" s="2">
        <v>3</v>
      </c>
      <c r="H36" s="7">
        <f t="shared" si="0"/>
        <v>1099465.5</v>
      </c>
      <c r="I36" s="7">
        <f t="shared" si="1"/>
        <v>197903.78999999998</v>
      </c>
      <c r="J36" s="7">
        <f t="shared" si="2"/>
        <v>1297369.29</v>
      </c>
    </row>
    <row r="37" spans="1:10" x14ac:dyDescent="0.3">
      <c r="A37" s="2">
        <v>21</v>
      </c>
      <c r="B37" s="2" t="s">
        <v>3449</v>
      </c>
      <c r="C37" s="2" t="s">
        <v>3450</v>
      </c>
      <c r="D37" s="2" t="s">
        <v>3450</v>
      </c>
      <c r="E37" s="2" t="s">
        <v>4509</v>
      </c>
      <c r="F37" s="7">
        <v>366488.5</v>
      </c>
      <c r="G37" s="2">
        <v>3</v>
      </c>
      <c r="H37" s="7">
        <f t="shared" si="0"/>
        <v>1099465.5</v>
      </c>
      <c r="I37" s="7">
        <f t="shared" si="1"/>
        <v>197903.78999999998</v>
      </c>
      <c r="J37" s="7">
        <f t="shared" si="2"/>
        <v>1297369.29</v>
      </c>
    </row>
    <row r="38" spans="1:10" x14ac:dyDescent="0.3">
      <c r="A38" s="2">
        <v>22</v>
      </c>
      <c r="B38" s="2" t="s">
        <v>3445</v>
      </c>
      <c r="C38" s="2" t="s">
        <v>3446</v>
      </c>
      <c r="D38" s="2" t="s">
        <v>3446</v>
      </c>
      <c r="E38" s="2" t="s">
        <v>4509</v>
      </c>
      <c r="F38" s="7">
        <v>366488.5</v>
      </c>
      <c r="G38" s="2">
        <v>3</v>
      </c>
      <c r="H38" s="7">
        <f t="shared" si="0"/>
        <v>1099465.5</v>
      </c>
      <c r="I38" s="7">
        <f t="shared" si="1"/>
        <v>197903.78999999998</v>
      </c>
      <c r="J38" s="7">
        <f t="shared" si="2"/>
        <v>1297369.29</v>
      </c>
    </row>
  </sheetData>
  <autoFilter ref="A16:F36" xr:uid="{00000000-0009-0000-0000-000003000000}"/>
  <conditionalFormatting sqref="B1:B1048576">
    <cfRule type="duplicateValues" dxfId="56" priority="1"/>
  </conditionalFormatting>
  <conditionalFormatting sqref="B1:B36">
    <cfRule type="duplicateValues" dxfId="55" priority="3"/>
  </conditionalFormatting>
  <conditionalFormatting sqref="B1:B36">
    <cfRule type="duplicateValues" dxfId="54" priority="4"/>
    <cfRule type="duplicateValues" dxfId="53" priority="5"/>
  </conditionalFormatting>
  <conditionalFormatting sqref="C1:C36">
    <cfRule type="duplicateValues" dxfId="52" priority="6"/>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J34"/>
  <sheetViews>
    <sheetView zoomScale="81" zoomScaleNormal="80" workbookViewId="0">
      <selection activeCell="H9" sqref="H9"/>
    </sheetView>
  </sheetViews>
  <sheetFormatPr baseColWidth="10" defaultColWidth="9.109375" defaultRowHeight="14.4" x14ac:dyDescent="0.3"/>
  <cols>
    <col min="2" max="2" width="21.44140625" bestFit="1" customWidth="1"/>
    <col min="3" max="3" width="30.33203125" bestFit="1" customWidth="1"/>
    <col min="4" max="4" width="46.21875" customWidth="1"/>
    <col min="5" max="5" width="13.88671875" bestFit="1" customWidth="1"/>
    <col min="6" max="6" width="16.5546875" bestFit="1" customWidth="1"/>
    <col min="7" max="7" width="16.5546875" customWidth="1"/>
    <col min="8" max="8" width="27.5546875" customWidth="1"/>
    <col min="9" max="9" width="22.109375" customWidth="1"/>
    <col min="10" max="10" width="32" customWidth="1"/>
  </cols>
  <sheetData>
    <row r="1" spans="1:10" x14ac:dyDescent="0.3">
      <c r="F1" s="1" t="s">
        <v>4509</v>
      </c>
      <c r="G1" s="28"/>
    </row>
    <row r="2" spans="1:10" x14ac:dyDescent="0.3">
      <c r="F2" s="19">
        <f>COUNTIF(E$17:E$34,$F$1)</f>
        <v>18</v>
      </c>
    </row>
    <row r="3" spans="1:10" x14ac:dyDescent="0.3">
      <c r="E3" s="18" t="s">
        <v>4508</v>
      </c>
      <c r="F3" s="27">
        <f>SUMIF($E$17:$E$34,"MLL BPCI",$F$17:$F$34)</f>
        <v>6596793</v>
      </c>
      <c r="G3" s="29"/>
    </row>
    <row r="4" spans="1:10" x14ac:dyDescent="0.3">
      <c r="F4" s="4"/>
      <c r="G4" s="4"/>
    </row>
    <row r="5" spans="1:10" x14ac:dyDescent="0.3">
      <c r="F5" s="6"/>
      <c r="G5" s="6"/>
    </row>
    <row r="6" spans="1:10" x14ac:dyDescent="0.3">
      <c r="E6" s="18" t="s">
        <v>4507</v>
      </c>
      <c r="F6" s="273">
        <v>366488.5</v>
      </c>
      <c r="G6" s="30"/>
    </row>
    <row r="7" spans="1:10" x14ac:dyDescent="0.3">
      <c r="F7" s="7"/>
      <c r="G7" s="30"/>
    </row>
    <row r="8" spans="1:10" x14ac:dyDescent="0.3">
      <c r="E8" s="8"/>
      <c r="F8" s="7"/>
      <c r="G8" s="30"/>
    </row>
    <row r="9" spans="1:10" x14ac:dyDescent="0.3">
      <c r="E9" s="8"/>
      <c r="F9" s="7"/>
      <c r="G9" s="30"/>
    </row>
    <row r="10" spans="1:10" x14ac:dyDescent="0.3">
      <c r="E10" s="6"/>
      <c r="F10" s="6"/>
      <c r="G10" s="6"/>
    </row>
    <row r="11" spans="1:10" x14ac:dyDescent="0.3">
      <c r="E11" s="6"/>
      <c r="F11" s="6"/>
      <c r="G11" s="6"/>
    </row>
    <row r="12" spans="1:10" x14ac:dyDescent="0.3">
      <c r="D12" s="22" t="s">
        <v>5262</v>
      </c>
      <c r="E12" s="6"/>
      <c r="F12" s="6"/>
      <c r="G12" s="6"/>
    </row>
    <row r="13" spans="1:10" x14ac:dyDescent="0.3">
      <c r="E13" s="6"/>
      <c r="F13" s="6"/>
      <c r="G13" s="6"/>
    </row>
    <row r="14" spans="1:10" x14ac:dyDescent="0.3">
      <c r="F14" s="9"/>
      <c r="G14" s="9"/>
    </row>
    <row r="15" spans="1:10" s="6" customFormat="1" ht="16.5" customHeight="1" x14ac:dyDescent="0.3">
      <c r="F15" s="6">
        <f>SUBTOTAL(9,F17:F34)</f>
        <v>6596793</v>
      </c>
      <c r="H15" s="25">
        <f>SUBTOTAL(9,H17:H34)</f>
        <v>19790379</v>
      </c>
      <c r="I15" s="17">
        <f>SUBTOTAL(9,I17:I34)</f>
        <v>3562268.22</v>
      </c>
      <c r="J15" s="17">
        <f>SUBTOTAL(9,J17:J34)</f>
        <v>23352647.219999991</v>
      </c>
    </row>
    <row r="16" spans="1:10" s="5" customFormat="1" ht="16.5" customHeight="1" x14ac:dyDescent="0.3">
      <c r="A16" s="10" t="s">
        <v>5</v>
      </c>
      <c r="B16" s="10" t="s">
        <v>6</v>
      </c>
      <c r="C16" s="10" t="s">
        <v>7</v>
      </c>
      <c r="D16" s="10" t="s">
        <v>8</v>
      </c>
      <c r="E16" s="10" t="s">
        <v>10</v>
      </c>
      <c r="F16" s="10" t="s">
        <v>4509</v>
      </c>
      <c r="G16" s="12" t="s">
        <v>4504</v>
      </c>
      <c r="H16" s="24" t="s">
        <v>4505</v>
      </c>
      <c r="I16" s="24" t="s">
        <v>4506</v>
      </c>
      <c r="J16" s="14" t="s">
        <v>5272</v>
      </c>
    </row>
    <row r="17" spans="1:10" ht="15" customHeight="1" x14ac:dyDescent="0.3">
      <c r="A17" s="31">
        <v>1</v>
      </c>
      <c r="B17" s="2" t="s">
        <v>2709</v>
      </c>
      <c r="C17" s="2" t="s">
        <v>2710</v>
      </c>
      <c r="D17" s="2" t="s">
        <v>2711</v>
      </c>
      <c r="E17" s="2" t="s">
        <v>4509</v>
      </c>
      <c r="F17" s="7">
        <v>366488.5</v>
      </c>
      <c r="G17" s="7">
        <v>3</v>
      </c>
      <c r="H17" s="7">
        <f>+G17*F17</f>
        <v>1099465.5</v>
      </c>
      <c r="I17" s="7">
        <f>+H17*0.18</f>
        <v>197903.78999999998</v>
      </c>
      <c r="J17" s="7">
        <f>+H17+I17</f>
        <v>1297369.29</v>
      </c>
    </row>
    <row r="18" spans="1:10" ht="15" customHeight="1" x14ac:dyDescent="0.3">
      <c r="A18" s="31">
        <v>2</v>
      </c>
      <c r="B18" s="2" t="s">
        <v>2745</v>
      </c>
      <c r="C18" s="2" t="s">
        <v>2746</v>
      </c>
      <c r="D18" s="2" t="s">
        <v>2747</v>
      </c>
      <c r="E18" s="2" t="s">
        <v>4509</v>
      </c>
      <c r="F18" s="7">
        <v>366488.5</v>
      </c>
      <c r="G18" s="7">
        <v>3</v>
      </c>
      <c r="H18" s="7">
        <f t="shared" ref="H18:H34" si="0">+G18*F18</f>
        <v>1099465.5</v>
      </c>
      <c r="I18" s="7">
        <f t="shared" ref="I18:I34" si="1">+H18*0.18</f>
        <v>197903.78999999998</v>
      </c>
      <c r="J18" s="7">
        <f t="shared" ref="J18:J34" si="2">+H18+I18</f>
        <v>1297369.29</v>
      </c>
    </row>
    <row r="19" spans="1:10" ht="15" customHeight="1" x14ac:dyDescent="0.3">
      <c r="A19" s="31">
        <v>3</v>
      </c>
      <c r="B19" s="2" t="s">
        <v>2635</v>
      </c>
      <c r="C19" s="2" t="s">
        <v>2636</v>
      </c>
      <c r="D19" s="2" t="s">
        <v>2637</v>
      </c>
      <c r="E19" s="2" t="s">
        <v>4509</v>
      </c>
      <c r="F19" s="7">
        <v>366488.5</v>
      </c>
      <c r="G19" s="7">
        <v>3</v>
      </c>
      <c r="H19" s="7">
        <f t="shared" si="0"/>
        <v>1099465.5</v>
      </c>
      <c r="I19" s="7">
        <f t="shared" si="1"/>
        <v>197903.78999999998</v>
      </c>
      <c r="J19" s="7">
        <f t="shared" si="2"/>
        <v>1297369.29</v>
      </c>
    </row>
    <row r="20" spans="1:10" ht="15" customHeight="1" x14ac:dyDescent="0.3">
      <c r="A20" s="31">
        <v>4</v>
      </c>
      <c r="B20" s="2" t="s">
        <v>2893</v>
      </c>
      <c r="C20" s="2" t="s">
        <v>2894</v>
      </c>
      <c r="D20" s="2" t="s">
        <v>2895</v>
      </c>
      <c r="E20" s="2" t="s">
        <v>4509</v>
      </c>
      <c r="F20" s="7">
        <v>366488.5</v>
      </c>
      <c r="G20" s="7">
        <v>3</v>
      </c>
      <c r="H20" s="7">
        <f t="shared" si="0"/>
        <v>1099465.5</v>
      </c>
      <c r="I20" s="7">
        <f t="shared" si="1"/>
        <v>197903.78999999998</v>
      </c>
      <c r="J20" s="7">
        <f t="shared" si="2"/>
        <v>1297369.29</v>
      </c>
    </row>
    <row r="21" spans="1:10" ht="15" customHeight="1" x14ac:dyDescent="0.3">
      <c r="A21" s="31">
        <v>5</v>
      </c>
      <c r="B21" s="2" t="s">
        <v>2742</v>
      </c>
      <c r="C21" s="2" t="s">
        <v>2743</v>
      </c>
      <c r="D21" s="2" t="s">
        <v>2744</v>
      </c>
      <c r="E21" s="2" t="s">
        <v>4509</v>
      </c>
      <c r="F21" s="7">
        <v>366488.5</v>
      </c>
      <c r="G21" s="7">
        <v>3</v>
      </c>
      <c r="H21" s="7">
        <f t="shared" si="0"/>
        <v>1099465.5</v>
      </c>
      <c r="I21" s="7">
        <f t="shared" si="1"/>
        <v>197903.78999999998</v>
      </c>
      <c r="J21" s="7">
        <f t="shared" si="2"/>
        <v>1297369.29</v>
      </c>
    </row>
    <row r="22" spans="1:10" ht="15" customHeight="1" x14ac:dyDescent="0.3">
      <c r="A22" s="31">
        <v>6</v>
      </c>
      <c r="B22" s="2" t="s">
        <v>1058</v>
      </c>
      <c r="C22" s="2" t="s">
        <v>1059</v>
      </c>
      <c r="D22" s="2" t="s">
        <v>1060</v>
      </c>
      <c r="E22" s="2" t="s">
        <v>4509</v>
      </c>
      <c r="F22" s="7">
        <v>366488.5</v>
      </c>
      <c r="G22" s="7">
        <v>3</v>
      </c>
      <c r="H22" s="7">
        <f t="shared" si="0"/>
        <v>1099465.5</v>
      </c>
      <c r="I22" s="7">
        <f t="shared" si="1"/>
        <v>197903.78999999998</v>
      </c>
      <c r="J22" s="7">
        <f t="shared" si="2"/>
        <v>1297369.29</v>
      </c>
    </row>
    <row r="23" spans="1:10" ht="15" customHeight="1" x14ac:dyDescent="0.3">
      <c r="A23" s="31">
        <v>7</v>
      </c>
      <c r="B23" s="2" t="s">
        <v>2721</v>
      </c>
      <c r="C23" s="2" t="s">
        <v>2722</v>
      </c>
      <c r="D23" s="2" t="s">
        <v>2723</v>
      </c>
      <c r="E23" s="2" t="s">
        <v>4509</v>
      </c>
      <c r="F23" s="7">
        <v>366488.5</v>
      </c>
      <c r="G23" s="7">
        <v>3</v>
      </c>
      <c r="H23" s="7">
        <f t="shared" si="0"/>
        <v>1099465.5</v>
      </c>
      <c r="I23" s="7">
        <f t="shared" si="1"/>
        <v>197903.78999999998</v>
      </c>
      <c r="J23" s="7">
        <f t="shared" si="2"/>
        <v>1297369.29</v>
      </c>
    </row>
    <row r="24" spans="1:10" ht="15" customHeight="1" x14ac:dyDescent="0.3">
      <c r="A24" s="31">
        <v>8</v>
      </c>
      <c r="B24" s="2" t="s">
        <v>409</v>
      </c>
      <c r="C24" s="2" t="s">
        <v>410</v>
      </c>
      <c r="D24" s="2" t="s">
        <v>411</v>
      </c>
      <c r="E24" s="2" t="s">
        <v>4509</v>
      </c>
      <c r="F24" s="7">
        <v>366488.5</v>
      </c>
      <c r="G24" s="7">
        <v>3</v>
      </c>
      <c r="H24" s="7">
        <f t="shared" si="0"/>
        <v>1099465.5</v>
      </c>
      <c r="I24" s="7">
        <f t="shared" si="1"/>
        <v>197903.78999999998</v>
      </c>
      <c r="J24" s="7">
        <f t="shared" si="2"/>
        <v>1297369.29</v>
      </c>
    </row>
    <row r="25" spans="1:10" ht="15" customHeight="1" x14ac:dyDescent="0.3">
      <c r="A25" s="31">
        <v>9</v>
      </c>
      <c r="B25" s="2" t="s">
        <v>2803</v>
      </c>
      <c r="C25" s="2" t="s">
        <v>2804</v>
      </c>
      <c r="D25" s="2" t="s">
        <v>2805</v>
      </c>
      <c r="E25" s="2" t="s">
        <v>4509</v>
      </c>
      <c r="F25" s="7">
        <v>366488.5</v>
      </c>
      <c r="G25" s="7">
        <v>3</v>
      </c>
      <c r="H25" s="7">
        <f t="shared" si="0"/>
        <v>1099465.5</v>
      </c>
      <c r="I25" s="7">
        <f t="shared" si="1"/>
        <v>197903.78999999998</v>
      </c>
      <c r="J25" s="7">
        <f t="shared" si="2"/>
        <v>1297369.29</v>
      </c>
    </row>
    <row r="26" spans="1:10" ht="15" customHeight="1" x14ac:dyDescent="0.3">
      <c r="A26" s="31">
        <v>10</v>
      </c>
      <c r="B26" s="2" t="s">
        <v>2658</v>
      </c>
      <c r="C26" s="2" t="s">
        <v>2659</v>
      </c>
      <c r="D26" s="2" t="s">
        <v>2660</v>
      </c>
      <c r="E26" s="2" t="s">
        <v>4509</v>
      </c>
      <c r="F26" s="7">
        <v>366488.5</v>
      </c>
      <c r="G26" s="7">
        <v>3</v>
      </c>
      <c r="H26" s="7">
        <f t="shared" si="0"/>
        <v>1099465.5</v>
      </c>
      <c r="I26" s="7">
        <f t="shared" si="1"/>
        <v>197903.78999999998</v>
      </c>
      <c r="J26" s="7">
        <f t="shared" si="2"/>
        <v>1297369.29</v>
      </c>
    </row>
    <row r="27" spans="1:10" ht="15" customHeight="1" x14ac:dyDescent="0.3">
      <c r="A27" s="31">
        <v>11</v>
      </c>
      <c r="B27" s="2" t="s">
        <v>2467</v>
      </c>
      <c r="C27" s="2" t="s">
        <v>2468</v>
      </c>
      <c r="D27" s="2" t="s">
        <v>2469</v>
      </c>
      <c r="E27" s="2" t="s">
        <v>4509</v>
      </c>
      <c r="F27" s="7">
        <v>366488.5</v>
      </c>
      <c r="G27" s="7">
        <v>3</v>
      </c>
      <c r="H27" s="7">
        <f t="shared" si="0"/>
        <v>1099465.5</v>
      </c>
      <c r="I27" s="7">
        <f t="shared" si="1"/>
        <v>197903.78999999998</v>
      </c>
      <c r="J27" s="7">
        <f t="shared" si="2"/>
        <v>1297369.29</v>
      </c>
    </row>
    <row r="28" spans="1:10" ht="15" customHeight="1" x14ac:dyDescent="0.3">
      <c r="A28" s="31">
        <v>12</v>
      </c>
      <c r="B28" s="2" t="s">
        <v>3260</v>
      </c>
      <c r="C28" s="2" t="s">
        <v>3261</v>
      </c>
      <c r="D28" s="2" t="s">
        <v>3262</v>
      </c>
      <c r="E28" s="2" t="s">
        <v>4509</v>
      </c>
      <c r="F28" s="7">
        <v>366488.5</v>
      </c>
      <c r="G28" s="7">
        <v>3</v>
      </c>
      <c r="H28" s="7">
        <f t="shared" si="0"/>
        <v>1099465.5</v>
      </c>
      <c r="I28" s="7">
        <f t="shared" si="1"/>
        <v>197903.78999999998</v>
      </c>
      <c r="J28" s="7">
        <f t="shared" si="2"/>
        <v>1297369.29</v>
      </c>
    </row>
    <row r="29" spans="1:10" ht="15" customHeight="1" x14ac:dyDescent="0.3">
      <c r="A29" s="31">
        <v>13</v>
      </c>
      <c r="B29" s="2" t="s">
        <v>2688</v>
      </c>
      <c r="C29" s="2" t="s">
        <v>2689</v>
      </c>
      <c r="D29" s="2" t="s">
        <v>2690</v>
      </c>
      <c r="E29" s="2" t="s">
        <v>4509</v>
      </c>
      <c r="F29" s="7">
        <v>366488.5</v>
      </c>
      <c r="G29" s="7">
        <v>3</v>
      </c>
      <c r="H29" s="7">
        <f t="shared" si="0"/>
        <v>1099465.5</v>
      </c>
      <c r="I29" s="7">
        <f t="shared" si="1"/>
        <v>197903.78999999998</v>
      </c>
      <c r="J29" s="7">
        <f t="shared" si="2"/>
        <v>1297369.29</v>
      </c>
    </row>
    <row r="30" spans="1:10" ht="15" customHeight="1" x14ac:dyDescent="0.3">
      <c r="A30" s="31">
        <v>14</v>
      </c>
      <c r="B30" s="2" t="s">
        <v>2565</v>
      </c>
      <c r="C30" s="2" t="s">
        <v>2566</v>
      </c>
      <c r="D30" s="2" t="s">
        <v>2567</v>
      </c>
      <c r="E30" s="2" t="s">
        <v>4509</v>
      </c>
      <c r="F30" s="7">
        <v>366488.5</v>
      </c>
      <c r="G30" s="7">
        <v>3</v>
      </c>
      <c r="H30" s="7">
        <f t="shared" si="0"/>
        <v>1099465.5</v>
      </c>
      <c r="I30" s="7">
        <f t="shared" si="1"/>
        <v>197903.78999999998</v>
      </c>
      <c r="J30" s="7">
        <f t="shared" si="2"/>
        <v>1297369.29</v>
      </c>
    </row>
    <row r="31" spans="1:10" ht="15" customHeight="1" x14ac:dyDescent="0.3">
      <c r="A31" s="31">
        <v>15</v>
      </c>
      <c r="B31" s="2" t="s">
        <v>2440</v>
      </c>
      <c r="C31" s="2" t="s">
        <v>2441</v>
      </c>
      <c r="D31" s="2" t="s">
        <v>2442</v>
      </c>
      <c r="E31" s="2" t="s">
        <v>4509</v>
      </c>
      <c r="F31" s="7">
        <v>366488.5</v>
      </c>
      <c r="G31" s="7">
        <v>3</v>
      </c>
      <c r="H31" s="7">
        <f t="shared" si="0"/>
        <v>1099465.5</v>
      </c>
      <c r="I31" s="7">
        <f t="shared" si="1"/>
        <v>197903.78999999998</v>
      </c>
      <c r="J31" s="7">
        <f t="shared" si="2"/>
        <v>1297369.29</v>
      </c>
    </row>
    <row r="32" spans="1:10" ht="15" customHeight="1" x14ac:dyDescent="0.3">
      <c r="A32" s="31">
        <v>16</v>
      </c>
      <c r="B32" s="2" t="s">
        <v>2646</v>
      </c>
      <c r="C32" s="2" t="s">
        <v>2647</v>
      </c>
      <c r="D32" s="2" t="s">
        <v>2648</v>
      </c>
      <c r="E32" s="2" t="s">
        <v>4509</v>
      </c>
      <c r="F32" s="7">
        <v>366488.5</v>
      </c>
      <c r="G32" s="7">
        <v>3</v>
      </c>
      <c r="H32" s="7">
        <f t="shared" si="0"/>
        <v>1099465.5</v>
      </c>
      <c r="I32" s="7">
        <f t="shared" si="1"/>
        <v>197903.78999999998</v>
      </c>
      <c r="J32" s="7">
        <f t="shared" si="2"/>
        <v>1297369.29</v>
      </c>
    </row>
    <row r="33" spans="1:10" ht="15" customHeight="1" x14ac:dyDescent="0.3">
      <c r="A33" s="31">
        <v>17</v>
      </c>
      <c r="B33" s="2" t="s">
        <v>536</v>
      </c>
      <c r="C33" s="2" t="s">
        <v>537</v>
      </c>
      <c r="D33" s="2" t="s">
        <v>538</v>
      </c>
      <c r="E33" s="2" t="s">
        <v>4509</v>
      </c>
      <c r="F33" s="7">
        <v>366488.5</v>
      </c>
      <c r="G33" s="7">
        <v>3</v>
      </c>
      <c r="H33" s="7">
        <f t="shared" si="0"/>
        <v>1099465.5</v>
      </c>
      <c r="I33" s="7">
        <f t="shared" si="1"/>
        <v>197903.78999999998</v>
      </c>
      <c r="J33" s="7">
        <f t="shared" si="2"/>
        <v>1297369.29</v>
      </c>
    </row>
    <row r="34" spans="1:10" ht="15" customHeight="1" x14ac:dyDescent="0.3">
      <c r="A34" s="31">
        <v>18</v>
      </c>
      <c r="B34" s="2" t="s">
        <v>3138</v>
      </c>
      <c r="C34" s="2" t="s">
        <v>3139</v>
      </c>
      <c r="D34" s="2" t="s">
        <v>3140</v>
      </c>
      <c r="E34" s="2" t="s">
        <v>4509</v>
      </c>
      <c r="F34" s="7">
        <v>366488.5</v>
      </c>
      <c r="G34" s="7">
        <v>3</v>
      </c>
      <c r="H34" s="7">
        <f t="shared" si="0"/>
        <v>1099465.5</v>
      </c>
      <c r="I34" s="7">
        <f t="shared" si="1"/>
        <v>197903.78999999998</v>
      </c>
      <c r="J34" s="7">
        <f t="shared" si="2"/>
        <v>1297369.29</v>
      </c>
    </row>
  </sheetData>
  <autoFilter ref="A16:F34" xr:uid="{00000000-0009-0000-0000-000004000000}"/>
  <conditionalFormatting sqref="B1:B1048576">
    <cfRule type="duplicateValues" dxfId="51" priority="2"/>
  </conditionalFormatting>
  <conditionalFormatting sqref="F1:G1">
    <cfRule type="duplicateValues" dxfId="50" priority="4739"/>
  </conditionalFormatting>
  <conditionalFormatting sqref="A17">
    <cfRule type="duplicateValues" dxfId="49" priority="1"/>
  </conditionalFormatting>
  <conditionalFormatting sqref="B1:B34">
    <cfRule type="duplicateValues" dxfId="48" priority="11235"/>
  </conditionalFormatting>
  <conditionalFormatting sqref="B1:B34">
    <cfRule type="duplicateValues" dxfId="47" priority="11236"/>
    <cfRule type="duplicateValues" dxfId="46" priority="11237"/>
  </conditionalFormatting>
  <conditionalFormatting sqref="C1:C34">
    <cfRule type="duplicateValues" dxfId="45" priority="11238"/>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1:M415"/>
  <sheetViews>
    <sheetView topLeftCell="B1" zoomScale="81" zoomScaleNormal="80" workbookViewId="0">
      <selection activeCell="G9" sqref="G9"/>
    </sheetView>
  </sheetViews>
  <sheetFormatPr baseColWidth="10" defaultColWidth="9.109375" defaultRowHeight="14.4" x14ac:dyDescent="0.3"/>
  <cols>
    <col min="2" max="2" width="21.44140625" bestFit="1" customWidth="1"/>
    <col min="3" max="3" width="30.33203125" bestFit="1" customWidth="1"/>
    <col min="4" max="4" width="49.5546875" customWidth="1"/>
    <col min="5" max="5" width="24.44140625" customWidth="1"/>
    <col min="6" max="6" width="22.33203125" customWidth="1"/>
    <col min="7" max="7" width="25.5546875" bestFit="1" customWidth="1"/>
    <col min="8" max="8" width="20.109375" customWidth="1"/>
    <col min="9" max="9" width="24.33203125" customWidth="1"/>
    <col min="10" max="10" width="15.6640625" customWidth="1"/>
    <col min="11" max="11" width="23.109375" customWidth="1"/>
    <col min="13" max="13" width="28.6640625" customWidth="1"/>
  </cols>
  <sheetData>
    <row r="1" spans="1:11" x14ac:dyDescent="0.3">
      <c r="G1" s="32" t="s">
        <v>4516</v>
      </c>
    </row>
    <row r="2" spans="1:11" x14ac:dyDescent="0.3">
      <c r="F2" s="2"/>
      <c r="G2" s="2">
        <f>COUNTIF(F$16:F$414,$G$1)</f>
        <v>399</v>
      </c>
    </row>
    <row r="3" spans="1:11" x14ac:dyDescent="0.3">
      <c r="F3" s="2" t="s">
        <v>4967</v>
      </c>
      <c r="G3" s="3">
        <f>SUMIF($F$16:$F$414,"COLOCATION",$G$16:$G$414)</f>
        <v>554333497.2500006</v>
      </c>
    </row>
    <row r="4" spans="1:11" x14ac:dyDescent="0.3">
      <c r="G4" s="4"/>
    </row>
    <row r="5" spans="1:11" x14ac:dyDescent="0.3">
      <c r="E5" s="10" t="s">
        <v>4</v>
      </c>
      <c r="F5" s="32" t="s">
        <v>1</v>
      </c>
    </row>
    <row r="6" spans="1:11" x14ac:dyDescent="0.3">
      <c r="E6" s="33" t="s">
        <v>4958</v>
      </c>
      <c r="F6" s="43">
        <v>895360</v>
      </c>
    </row>
    <row r="7" spans="1:11" ht="16.5" customHeight="1" x14ac:dyDescent="0.3">
      <c r="E7" s="34" t="s">
        <v>4952</v>
      </c>
      <c r="F7" s="274">
        <v>1215614.7</v>
      </c>
    </row>
    <row r="8" spans="1:11" ht="18.75" customHeight="1" x14ac:dyDescent="0.3">
      <c r="E8" s="34" t="s">
        <v>4953</v>
      </c>
      <c r="F8" s="274">
        <v>1435883.79</v>
      </c>
    </row>
    <row r="9" spans="1:11" ht="17.25" customHeight="1" x14ac:dyDescent="0.3">
      <c r="E9" s="34" t="s">
        <v>4954</v>
      </c>
      <c r="F9" s="274">
        <v>1744861.92</v>
      </c>
      <c r="I9" s="6"/>
    </row>
    <row r="10" spans="1:11" ht="18.75" customHeight="1" x14ac:dyDescent="0.3">
      <c r="E10" s="34" t="s">
        <v>4955</v>
      </c>
      <c r="F10" s="43">
        <v>2446709.4300000002</v>
      </c>
      <c r="H10" s="9"/>
      <c r="J10" s="9"/>
    </row>
    <row r="11" spans="1:11" ht="15.75" customHeight="1" x14ac:dyDescent="0.3">
      <c r="E11" s="34" t="s">
        <v>4957</v>
      </c>
      <c r="F11" s="43">
        <v>2993554.6</v>
      </c>
      <c r="I11" s="6"/>
    </row>
    <row r="12" spans="1:11" x14ac:dyDescent="0.3">
      <c r="E12" s="6"/>
      <c r="F12" s="6"/>
      <c r="G12" s="6"/>
    </row>
    <row r="13" spans="1:11" x14ac:dyDescent="0.3">
      <c r="D13" s="20" t="s">
        <v>5261</v>
      </c>
      <c r="G13" s="9"/>
    </row>
    <row r="14" spans="1:11" s="6" customFormat="1" ht="16.5" customHeight="1" x14ac:dyDescent="0.3">
      <c r="G14" s="6">
        <f>SUBTOTAL(9,G16:G414)</f>
        <v>554333497.2500006</v>
      </c>
      <c r="I14" s="17">
        <f>SUBTOTAL(9,I16:I414)</f>
        <v>1663000491.749995</v>
      </c>
      <c r="J14" s="17">
        <f>SUBTOTAL(9,J16:J414)</f>
        <v>299340088.5150001</v>
      </c>
      <c r="K14" s="17">
        <f>SUBTOTAL(9,K16:K414)</f>
        <v>1962340580.2650027</v>
      </c>
    </row>
    <row r="15" spans="1:11" s="5" customFormat="1" ht="16.5" customHeight="1" x14ac:dyDescent="0.3">
      <c r="A15" s="10" t="s">
        <v>5</v>
      </c>
      <c r="B15" s="10" t="s">
        <v>6</v>
      </c>
      <c r="C15" s="10" t="s">
        <v>7</v>
      </c>
      <c r="D15" s="10" t="s">
        <v>8</v>
      </c>
      <c r="E15" s="10" t="s">
        <v>9</v>
      </c>
      <c r="F15" s="10" t="s">
        <v>10</v>
      </c>
      <c r="G15" s="32" t="s">
        <v>4516</v>
      </c>
      <c r="H15" s="10" t="s">
        <v>4504</v>
      </c>
      <c r="I15" s="24" t="s">
        <v>4505</v>
      </c>
      <c r="J15" s="24" t="s">
        <v>4506</v>
      </c>
      <c r="K15" s="14" t="s">
        <v>5272</v>
      </c>
    </row>
    <row r="16" spans="1:11" x14ac:dyDescent="0.3">
      <c r="A16" s="35">
        <v>1</v>
      </c>
      <c r="B16" s="2" t="s">
        <v>3013</v>
      </c>
      <c r="C16" s="2" t="s">
        <v>3014</v>
      </c>
      <c r="D16" s="2" t="s">
        <v>3015</v>
      </c>
      <c r="E16" s="2">
        <v>25</v>
      </c>
      <c r="F16" s="32" t="s">
        <v>1</v>
      </c>
      <c r="G16" s="93">
        <v>1215614.7</v>
      </c>
      <c r="H16" s="2">
        <v>3</v>
      </c>
      <c r="I16" s="7">
        <f>+G16*H16</f>
        <v>3646844.0999999996</v>
      </c>
      <c r="J16" s="7">
        <f>+I16*0.18</f>
        <v>656431.93799999997</v>
      </c>
      <c r="K16" s="7">
        <f>+I16+J16</f>
        <v>4303276.0379999997</v>
      </c>
    </row>
    <row r="17" spans="1:11" ht="15" customHeight="1" x14ac:dyDescent="0.3">
      <c r="A17" s="35">
        <v>2</v>
      </c>
      <c r="B17" s="2" t="s">
        <v>2536</v>
      </c>
      <c r="C17" s="2" t="s">
        <v>2537</v>
      </c>
      <c r="D17" s="2" t="s">
        <v>2538</v>
      </c>
      <c r="E17" s="2">
        <v>32</v>
      </c>
      <c r="F17" s="32" t="s">
        <v>1</v>
      </c>
      <c r="G17" s="93">
        <v>1215614.7</v>
      </c>
      <c r="H17" s="2">
        <v>3</v>
      </c>
      <c r="I17" s="7">
        <f t="shared" ref="I17:I80" si="0">+G17*H17</f>
        <v>3646844.0999999996</v>
      </c>
      <c r="J17" s="7">
        <f t="shared" ref="J17:J80" si="1">+I17*0.18</f>
        <v>656431.93799999997</v>
      </c>
      <c r="K17" s="7">
        <f t="shared" ref="K17:K80" si="2">+I17+J17</f>
        <v>4303276.0379999997</v>
      </c>
    </row>
    <row r="18" spans="1:11" ht="15" customHeight="1" x14ac:dyDescent="0.3">
      <c r="A18" s="35">
        <v>3</v>
      </c>
      <c r="B18" s="2" t="s">
        <v>3263</v>
      </c>
      <c r="C18" s="2" t="s">
        <v>3264</v>
      </c>
      <c r="D18" s="2" t="s">
        <v>3265</v>
      </c>
      <c r="E18" s="2">
        <v>46</v>
      </c>
      <c r="F18" s="32" t="s">
        <v>1</v>
      </c>
      <c r="G18" s="93">
        <v>1435883.79</v>
      </c>
      <c r="H18" s="2">
        <v>3</v>
      </c>
      <c r="I18" s="7">
        <f t="shared" si="0"/>
        <v>4307651.37</v>
      </c>
      <c r="J18" s="7">
        <f t="shared" si="1"/>
        <v>775377.24659999995</v>
      </c>
      <c r="K18" s="7">
        <f t="shared" si="2"/>
        <v>5083028.6166000003</v>
      </c>
    </row>
    <row r="19" spans="1:11" x14ac:dyDescent="0.3">
      <c r="A19" s="35">
        <v>4</v>
      </c>
      <c r="B19" s="2" t="s">
        <v>3016</v>
      </c>
      <c r="C19" s="2" t="s">
        <v>3017</v>
      </c>
      <c r="D19" s="2" t="s">
        <v>3018</v>
      </c>
      <c r="E19" s="2">
        <v>21</v>
      </c>
      <c r="F19" s="32" t="s">
        <v>1</v>
      </c>
      <c r="G19" s="93">
        <v>1215614.7</v>
      </c>
      <c r="H19" s="2">
        <v>3</v>
      </c>
      <c r="I19" s="7">
        <f t="shared" si="0"/>
        <v>3646844.0999999996</v>
      </c>
      <c r="J19" s="7">
        <f t="shared" si="1"/>
        <v>656431.93799999997</v>
      </c>
      <c r="K19" s="7">
        <f t="shared" si="2"/>
        <v>4303276.0379999997</v>
      </c>
    </row>
    <row r="20" spans="1:11" ht="15" customHeight="1" x14ac:dyDescent="0.3">
      <c r="A20" s="35">
        <v>5</v>
      </c>
      <c r="B20" s="2" t="s">
        <v>3407</v>
      </c>
      <c r="C20" s="2" t="s">
        <v>3408</v>
      </c>
      <c r="D20" s="2" t="s">
        <v>3409</v>
      </c>
      <c r="E20" s="2">
        <v>56</v>
      </c>
      <c r="F20" s="32" t="s">
        <v>1</v>
      </c>
      <c r="G20" s="93">
        <v>1744861.92</v>
      </c>
      <c r="H20" s="2">
        <v>3</v>
      </c>
      <c r="I20" s="7">
        <f t="shared" si="0"/>
        <v>5234585.76</v>
      </c>
      <c r="J20" s="7">
        <f t="shared" si="1"/>
        <v>942225.43679999991</v>
      </c>
      <c r="K20" s="7">
        <f t="shared" si="2"/>
        <v>6176811.1968</v>
      </c>
    </row>
    <row r="21" spans="1:11" x14ac:dyDescent="0.3">
      <c r="A21" s="35">
        <v>6</v>
      </c>
      <c r="B21" s="2" t="s">
        <v>3371</v>
      </c>
      <c r="C21" s="2" t="s">
        <v>3372</v>
      </c>
      <c r="D21" s="2" t="s">
        <v>3373</v>
      </c>
      <c r="E21" s="2">
        <v>49</v>
      </c>
      <c r="F21" s="32" t="s">
        <v>1</v>
      </c>
      <c r="G21" s="93">
        <v>1435883.79</v>
      </c>
      <c r="H21" s="2">
        <v>3</v>
      </c>
      <c r="I21" s="7">
        <f t="shared" si="0"/>
        <v>4307651.37</v>
      </c>
      <c r="J21" s="7">
        <f t="shared" si="1"/>
        <v>775377.24659999995</v>
      </c>
      <c r="K21" s="7">
        <f t="shared" si="2"/>
        <v>5083028.6166000003</v>
      </c>
    </row>
    <row r="22" spans="1:11" ht="15" customHeight="1" x14ac:dyDescent="0.3">
      <c r="A22" s="35">
        <v>7</v>
      </c>
      <c r="B22" s="2" t="s">
        <v>3257</v>
      </c>
      <c r="C22" s="2" t="s">
        <v>3258</v>
      </c>
      <c r="D22" s="2" t="s">
        <v>3259</v>
      </c>
      <c r="E22" s="2">
        <v>45</v>
      </c>
      <c r="F22" s="32" t="s">
        <v>1</v>
      </c>
      <c r="G22" s="93">
        <v>1435883.79</v>
      </c>
      <c r="H22" s="2">
        <v>3</v>
      </c>
      <c r="I22" s="7">
        <f t="shared" si="0"/>
        <v>4307651.37</v>
      </c>
      <c r="J22" s="7">
        <f t="shared" si="1"/>
        <v>775377.24659999995</v>
      </c>
      <c r="K22" s="7">
        <f t="shared" si="2"/>
        <v>5083028.6166000003</v>
      </c>
    </row>
    <row r="23" spans="1:11" x14ac:dyDescent="0.3">
      <c r="A23" s="35">
        <v>8</v>
      </c>
      <c r="B23" s="2" t="s">
        <v>935</v>
      </c>
      <c r="C23" s="2" t="s">
        <v>936</v>
      </c>
      <c r="D23" s="2" t="s">
        <v>937</v>
      </c>
      <c r="E23" s="2">
        <v>62</v>
      </c>
      <c r="F23" s="32" t="s">
        <v>1</v>
      </c>
      <c r="G23" s="93">
        <v>1744861.92</v>
      </c>
      <c r="H23" s="2">
        <v>3</v>
      </c>
      <c r="I23" s="7">
        <f t="shared" si="0"/>
        <v>5234585.76</v>
      </c>
      <c r="J23" s="7">
        <f t="shared" si="1"/>
        <v>942225.43679999991</v>
      </c>
      <c r="K23" s="7">
        <f t="shared" si="2"/>
        <v>6176811.1968</v>
      </c>
    </row>
    <row r="24" spans="1:11" x14ac:dyDescent="0.3">
      <c r="A24" s="35">
        <v>9</v>
      </c>
      <c r="B24" s="2" t="s">
        <v>3159</v>
      </c>
      <c r="C24" s="2" t="s">
        <v>3160</v>
      </c>
      <c r="D24" s="2" t="s">
        <v>3161</v>
      </c>
      <c r="E24" s="2">
        <v>65</v>
      </c>
      <c r="F24" s="32" t="s">
        <v>1</v>
      </c>
      <c r="G24" s="93">
        <v>1744861.92</v>
      </c>
      <c r="H24" s="2">
        <v>3</v>
      </c>
      <c r="I24" s="7">
        <f t="shared" si="0"/>
        <v>5234585.76</v>
      </c>
      <c r="J24" s="7">
        <f t="shared" si="1"/>
        <v>942225.43679999991</v>
      </c>
      <c r="K24" s="7">
        <f t="shared" si="2"/>
        <v>6176811.1968</v>
      </c>
    </row>
    <row r="25" spans="1:11" ht="15" customHeight="1" x14ac:dyDescent="0.3">
      <c r="A25" s="35">
        <v>10</v>
      </c>
      <c r="B25" s="2" t="s">
        <v>3227</v>
      </c>
      <c r="C25" s="2" t="s">
        <v>3228</v>
      </c>
      <c r="D25" s="2" t="s">
        <v>3229</v>
      </c>
      <c r="E25" s="2">
        <v>48</v>
      </c>
      <c r="F25" s="32" t="s">
        <v>1</v>
      </c>
      <c r="G25" s="93">
        <v>1435883.79</v>
      </c>
      <c r="H25" s="2">
        <v>3</v>
      </c>
      <c r="I25" s="7">
        <f t="shared" si="0"/>
        <v>4307651.37</v>
      </c>
      <c r="J25" s="7">
        <f t="shared" si="1"/>
        <v>775377.24659999995</v>
      </c>
      <c r="K25" s="7">
        <f t="shared" si="2"/>
        <v>5083028.6166000003</v>
      </c>
    </row>
    <row r="26" spans="1:11" ht="15" customHeight="1" x14ac:dyDescent="0.3">
      <c r="A26" s="35">
        <v>11</v>
      </c>
      <c r="B26" s="2" t="s">
        <v>2792</v>
      </c>
      <c r="C26" s="2" t="s">
        <v>2793</v>
      </c>
      <c r="D26" s="2" t="s">
        <v>2794</v>
      </c>
      <c r="E26" s="2">
        <v>71</v>
      </c>
      <c r="F26" s="32" t="s">
        <v>1</v>
      </c>
      <c r="G26" s="93">
        <v>1744861.92</v>
      </c>
      <c r="H26" s="2">
        <v>3</v>
      </c>
      <c r="I26" s="7">
        <f t="shared" si="0"/>
        <v>5234585.76</v>
      </c>
      <c r="J26" s="7">
        <f t="shared" si="1"/>
        <v>942225.43679999991</v>
      </c>
      <c r="K26" s="7">
        <f t="shared" si="2"/>
        <v>6176811.1968</v>
      </c>
    </row>
    <row r="27" spans="1:11" ht="15" customHeight="1" x14ac:dyDescent="0.3">
      <c r="A27" s="35">
        <v>12</v>
      </c>
      <c r="B27" s="2" t="s">
        <v>3338</v>
      </c>
      <c r="C27" s="2" t="s">
        <v>3339</v>
      </c>
      <c r="D27" s="2" t="s">
        <v>3340</v>
      </c>
      <c r="E27" s="2">
        <v>60</v>
      </c>
      <c r="F27" s="32" t="s">
        <v>1</v>
      </c>
      <c r="G27" s="93">
        <v>1744861.92</v>
      </c>
      <c r="H27" s="2">
        <v>3</v>
      </c>
      <c r="I27" s="7">
        <f t="shared" si="0"/>
        <v>5234585.76</v>
      </c>
      <c r="J27" s="7">
        <f t="shared" si="1"/>
        <v>942225.43679999991</v>
      </c>
      <c r="K27" s="7">
        <f t="shared" si="2"/>
        <v>6176811.1968</v>
      </c>
    </row>
    <row r="28" spans="1:11" ht="15" customHeight="1" x14ac:dyDescent="0.3">
      <c r="A28" s="35">
        <v>13</v>
      </c>
      <c r="B28" s="2" t="s">
        <v>2557</v>
      </c>
      <c r="C28" s="2" t="s">
        <v>2558</v>
      </c>
      <c r="D28" s="2" t="s">
        <v>2559</v>
      </c>
      <c r="E28" s="2">
        <v>13.5</v>
      </c>
      <c r="F28" s="32" t="s">
        <v>1</v>
      </c>
      <c r="G28" s="93">
        <v>895360</v>
      </c>
      <c r="H28" s="2">
        <v>3</v>
      </c>
      <c r="I28" s="7">
        <f t="shared" si="0"/>
        <v>2686080</v>
      </c>
      <c r="J28" s="7">
        <f t="shared" si="1"/>
        <v>483494.39999999997</v>
      </c>
      <c r="K28" s="7">
        <f t="shared" si="2"/>
        <v>3169574.4</v>
      </c>
    </row>
    <row r="29" spans="1:11" x14ac:dyDescent="0.3">
      <c r="A29" s="35">
        <v>14</v>
      </c>
      <c r="B29" s="2" t="s">
        <v>2443</v>
      </c>
      <c r="C29" s="2" t="s">
        <v>2444</v>
      </c>
      <c r="D29" s="2" t="s">
        <v>2445</v>
      </c>
      <c r="E29" s="2">
        <v>29</v>
      </c>
      <c r="F29" s="32" t="s">
        <v>1</v>
      </c>
      <c r="G29" s="93">
        <v>1215614.7</v>
      </c>
      <c r="H29" s="2">
        <v>3</v>
      </c>
      <c r="I29" s="7">
        <f t="shared" si="0"/>
        <v>3646844.0999999996</v>
      </c>
      <c r="J29" s="7">
        <f t="shared" si="1"/>
        <v>656431.93799999997</v>
      </c>
      <c r="K29" s="7">
        <f t="shared" si="2"/>
        <v>4303276.0379999997</v>
      </c>
    </row>
    <row r="30" spans="1:11" x14ac:dyDescent="0.3">
      <c r="A30" s="35">
        <v>15</v>
      </c>
      <c r="B30" s="2" t="s">
        <v>2267</v>
      </c>
      <c r="C30" s="2" t="s">
        <v>2268</v>
      </c>
      <c r="D30" s="2" t="s">
        <v>2269</v>
      </c>
      <c r="E30" s="2">
        <v>12</v>
      </c>
      <c r="F30" s="32" t="s">
        <v>1</v>
      </c>
      <c r="G30" s="93">
        <v>895360</v>
      </c>
      <c r="H30" s="2">
        <v>3</v>
      </c>
      <c r="I30" s="7">
        <f t="shared" si="0"/>
        <v>2686080</v>
      </c>
      <c r="J30" s="7">
        <f t="shared" si="1"/>
        <v>483494.39999999997</v>
      </c>
      <c r="K30" s="7">
        <f t="shared" si="2"/>
        <v>3169574.4</v>
      </c>
    </row>
    <row r="31" spans="1:11" x14ac:dyDescent="0.3">
      <c r="A31" s="35">
        <v>16</v>
      </c>
      <c r="B31" s="2" t="s">
        <v>2470</v>
      </c>
      <c r="C31" s="2" t="s">
        <v>2471</v>
      </c>
      <c r="D31" s="2" t="s">
        <v>2472</v>
      </c>
      <c r="E31" s="2">
        <v>24</v>
      </c>
      <c r="F31" s="32" t="s">
        <v>1</v>
      </c>
      <c r="G31" s="93">
        <v>1215614.7</v>
      </c>
      <c r="H31" s="2">
        <v>3</v>
      </c>
      <c r="I31" s="7">
        <f t="shared" si="0"/>
        <v>3646844.0999999996</v>
      </c>
      <c r="J31" s="7">
        <f t="shared" si="1"/>
        <v>656431.93799999997</v>
      </c>
      <c r="K31" s="7">
        <f t="shared" si="2"/>
        <v>4303276.0379999997</v>
      </c>
    </row>
    <row r="32" spans="1:11" ht="15" customHeight="1" x14ac:dyDescent="0.3">
      <c r="A32" s="35">
        <v>17</v>
      </c>
      <c r="B32" s="2" t="s">
        <v>2446</v>
      </c>
      <c r="C32" s="2" t="s">
        <v>2447</v>
      </c>
      <c r="D32" s="2" t="s">
        <v>2448</v>
      </c>
      <c r="E32" s="2">
        <v>34</v>
      </c>
      <c r="F32" s="32" t="s">
        <v>1</v>
      </c>
      <c r="G32" s="93">
        <v>1435883.79</v>
      </c>
      <c r="H32" s="2">
        <v>3</v>
      </c>
      <c r="I32" s="7">
        <f t="shared" si="0"/>
        <v>4307651.37</v>
      </c>
      <c r="J32" s="7">
        <f t="shared" si="1"/>
        <v>775377.24659999995</v>
      </c>
      <c r="K32" s="7">
        <f t="shared" si="2"/>
        <v>5083028.6166000003</v>
      </c>
    </row>
    <row r="33" spans="1:11" ht="15" customHeight="1" x14ac:dyDescent="0.3">
      <c r="A33" s="35">
        <v>18</v>
      </c>
      <c r="B33" s="2" t="s">
        <v>3410</v>
      </c>
      <c r="C33" s="2" t="s">
        <v>3411</v>
      </c>
      <c r="D33" s="2" t="s">
        <v>3412</v>
      </c>
      <c r="E33" s="2">
        <v>20</v>
      </c>
      <c r="F33" s="32" t="s">
        <v>1</v>
      </c>
      <c r="G33" s="93">
        <v>1215614.7</v>
      </c>
      <c r="H33" s="2">
        <v>3</v>
      </c>
      <c r="I33" s="7">
        <f t="shared" si="0"/>
        <v>3646844.0999999996</v>
      </c>
      <c r="J33" s="7">
        <f t="shared" si="1"/>
        <v>656431.93799999997</v>
      </c>
      <c r="K33" s="7">
        <f t="shared" si="2"/>
        <v>4303276.0379999997</v>
      </c>
    </row>
    <row r="34" spans="1:11" ht="15" customHeight="1" x14ac:dyDescent="0.3">
      <c r="A34" s="35">
        <v>19</v>
      </c>
      <c r="B34" s="2" t="s">
        <v>2434</v>
      </c>
      <c r="C34" s="2" t="s">
        <v>2435</v>
      </c>
      <c r="D34" s="2" t="s">
        <v>2436</v>
      </c>
      <c r="E34" s="2">
        <v>24</v>
      </c>
      <c r="F34" s="32" t="s">
        <v>1</v>
      </c>
      <c r="G34" s="93">
        <v>1215614.7</v>
      </c>
      <c r="H34" s="2">
        <v>3</v>
      </c>
      <c r="I34" s="7">
        <f t="shared" si="0"/>
        <v>3646844.0999999996</v>
      </c>
      <c r="J34" s="7">
        <f t="shared" si="1"/>
        <v>656431.93799999997</v>
      </c>
      <c r="K34" s="7">
        <f t="shared" si="2"/>
        <v>4303276.0379999997</v>
      </c>
    </row>
    <row r="35" spans="1:11" ht="15" customHeight="1" x14ac:dyDescent="0.3">
      <c r="A35" s="35">
        <v>20</v>
      </c>
      <c r="B35" s="2" t="s">
        <v>2839</v>
      </c>
      <c r="C35" s="2" t="s">
        <v>2840</v>
      </c>
      <c r="D35" s="2" t="s">
        <v>2841</v>
      </c>
      <c r="E35" s="2">
        <v>66</v>
      </c>
      <c r="F35" s="32" t="s">
        <v>1</v>
      </c>
      <c r="G35" s="93">
        <v>1744861.92</v>
      </c>
      <c r="H35" s="2">
        <v>3</v>
      </c>
      <c r="I35" s="7">
        <f t="shared" si="0"/>
        <v>5234585.76</v>
      </c>
      <c r="J35" s="7">
        <f t="shared" si="1"/>
        <v>942225.43679999991</v>
      </c>
      <c r="K35" s="7">
        <f t="shared" si="2"/>
        <v>6176811.1968</v>
      </c>
    </row>
    <row r="36" spans="1:11" ht="15" customHeight="1" x14ac:dyDescent="0.3">
      <c r="A36" s="35">
        <v>21</v>
      </c>
      <c r="B36" s="2" t="s">
        <v>2431</v>
      </c>
      <c r="C36" s="2" t="s">
        <v>2432</v>
      </c>
      <c r="D36" s="2" t="s">
        <v>2433</v>
      </c>
      <c r="E36" s="2">
        <v>22</v>
      </c>
      <c r="F36" s="32" t="s">
        <v>1</v>
      </c>
      <c r="G36" s="93">
        <v>1215614.7</v>
      </c>
      <c r="H36" s="2">
        <v>3</v>
      </c>
      <c r="I36" s="7">
        <f t="shared" si="0"/>
        <v>3646844.0999999996</v>
      </c>
      <c r="J36" s="7">
        <f t="shared" si="1"/>
        <v>656431.93799999997</v>
      </c>
      <c r="K36" s="7">
        <f t="shared" si="2"/>
        <v>4303276.0379999997</v>
      </c>
    </row>
    <row r="37" spans="1:11" x14ac:dyDescent="0.3">
      <c r="A37" s="35">
        <v>22</v>
      </c>
      <c r="B37" s="2" t="s">
        <v>2908</v>
      </c>
      <c r="C37" s="2" t="s">
        <v>2909</v>
      </c>
      <c r="D37" s="2" t="s">
        <v>2910</v>
      </c>
      <c r="E37" s="2">
        <v>45</v>
      </c>
      <c r="F37" s="32" t="s">
        <v>1</v>
      </c>
      <c r="G37" s="93">
        <v>1435883.79</v>
      </c>
      <c r="H37" s="2">
        <v>3</v>
      </c>
      <c r="I37" s="7">
        <f t="shared" si="0"/>
        <v>4307651.37</v>
      </c>
      <c r="J37" s="7">
        <f t="shared" si="1"/>
        <v>775377.24659999995</v>
      </c>
      <c r="K37" s="7">
        <f t="shared" si="2"/>
        <v>5083028.6166000003</v>
      </c>
    </row>
    <row r="38" spans="1:11" x14ac:dyDescent="0.3">
      <c r="A38" s="35">
        <v>23</v>
      </c>
      <c r="B38" s="2" t="s">
        <v>1022</v>
      </c>
      <c r="C38" s="2" t="s">
        <v>1023</v>
      </c>
      <c r="D38" s="2" t="s">
        <v>1024</v>
      </c>
      <c r="E38" s="2">
        <v>52</v>
      </c>
      <c r="F38" s="32" t="s">
        <v>1</v>
      </c>
      <c r="G38" s="93">
        <v>1744861.92</v>
      </c>
      <c r="H38" s="2">
        <v>3</v>
      </c>
      <c r="I38" s="7">
        <f t="shared" si="0"/>
        <v>5234585.76</v>
      </c>
      <c r="J38" s="7">
        <f t="shared" si="1"/>
        <v>942225.43679999991</v>
      </c>
      <c r="K38" s="7">
        <f t="shared" si="2"/>
        <v>6176811.1968</v>
      </c>
    </row>
    <row r="39" spans="1:11" x14ac:dyDescent="0.3">
      <c r="A39" s="35">
        <v>24</v>
      </c>
      <c r="B39" s="2" t="s">
        <v>2935</v>
      </c>
      <c r="C39" s="2" t="s">
        <v>2936</v>
      </c>
      <c r="D39" s="2" t="s">
        <v>2937</v>
      </c>
      <c r="E39" s="2">
        <v>75</v>
      </c>
      <c r="F39" s="32" t="s">
        <v>1</v>
      </c>
      <c r="G39" s="93">
        <v>1744861.92</v>
      </c>
      <c r="H39" s="2">
        <v>3</v>
      </c>
      <c r="I39" s="7">
        <f t="shared" si="0"/>
        <v>5234585.76</v>
      </c>
      <c r="J39" s="7">
        <f t="shared" si="1"/>
        <v>942225.43679999991</v>
      </c>
      <c r="K39" s="7">
        <f t="shared" si="2"/>
        <v>6176811.1968</v>
      </c>
    </row>
    <row r="40" spans="1:11" ht="15" customHeight="1" x14ac:dyDescent="0.3">
      <c r="A40" s="35">
        <v>25</v>
      </c>
      <c r="B40" s="2" t="s">
        <v>3055</v>
      </c>
      <c r="C40" s="2" t="s">
        <v>3056</v>
      </c>
      <c r="D40" s="2" t="s">
        <v>3057</v>
      </c>
      <c r="E40" s="2">
        <v>30</v>
      </c>
      <c r="F40" s="32" t="s">
        <v>1</v>
      </c>
      <c r="G40" s="93">
        <v>1215614.7</v>
      </c>
      <c r="H40" s="2">
        <v>3</v>
      </c>
      <c r="I40" s="7">
        <f t="shared" si="0"/>
        <v>3646844.0999999996</v>
      </c>
      <c r="J40" s="7">
        <f t="shared" si="1"/>
        <v>656431.93799999997</v>
      </c>
      <c r="K40" s="7">
        <f t="shared" si="2"/>
        <v>4303276.0379999997</v>
      </c>
    </row>
    <row r="41" spans="1:11" ht="15" customHeight="1" x14ac:dyDescent="0.3">
      <c r="A41" s="35">
        <v>26</v>
      </c>
      <c r="B41" s="2" t="s">
        <v>2661</v>
      </c>
      <c r="C41" s="2" t="s">
        <v>2662</v>
      </c>
      <c r="D41" s="2" t="s">
        <v>2663</v>
      </c>
      <c r="E41" s="2">
        <v>60</v>
      </c>
      <c r="F41" s="32" t="s">
        <v>1</v>
      </c>
      <c r="G41" s="93">
        <v>1744861.92</v>
      </c>
      <c r="H41" s="2">
        <v>3</v>
      </c>
      <c r="I41" s="7">
        <f t="shared" si="0"/>
        <v>5234585.76</v>
      </c>
      <c r="J41" s="7">
        <f t="shared" si="1"/>
        <v>942225.43679999991</v>
      </c>
      <c r="K41" s="7">
        <f t="shared" si="2"/>
        <v>6176811.1968</v>
      </c>
    </row>
    <row r="42" spans="1:11" x14ac:dyDescent="0.3">
      <c r="A42" s="35">
        <v>27</v>
      </c>
      <c r="B42" s="2" t="s">
        <v>2676</v>
      </c>
      <c r="C42" s="2" t="s">
        <v>2677</v>
      </c>
      <c r="D42" s="2" t="s">
        <v>2678</v>
      </c>
      <c r="E42" s="2">
        <v>57</v>
      </c>
      <c r="F42" s="32" t="s">
        <v>1</v>
      </c>
      <c r="G42" s="93">
        <v>1744861.92</v>
      </c>
      <c r="H42" s="2">
        <v>3</v>
      </c>
      <c r="I42" s="7">
        <f t="shared" si="0"/>
        <v>5234585.76</v>
      </c>
      <c r="J42" s="7">
        <f t="shared" si="1"/>
        <v>942225.43679999991</v>
      </c>
      <c r="K42" s="7">
        <f t="shared" si="2"/>
        <v>6176811.1968</v>
      </c>
    </row>
    <row r="43" spans="1:11" x14ac:dyDescent="0.3">
      <c r="A43" s="35">
        <v>28</v>
      </c>
      <c r="B43" s="2" t="s">
        <v>3200</v>
      </c>
      <c r="C43" s="2" t="s">
        <v>3201</v>
      </c>
      <c r="D43" s="2" t="s">
        <v>3202</v>
      </c>
      <c r="E43" s="2">
        <v>56</v>
      </c>
      <c r="F43" s="32" t="s">
        <v>1</v>
      </c>
      <c r="G43" s="93">
        <v>1744861.92</v>
      </c>
      <c r="H43" s="2">
        <v>3</v>
      </c>
      <c r="I43" s="7">
        <f t="shared" si="0"/>
        <v>5234585.76</v>
      </c>
      <c r="J43" s="7">
        <f t="shared" si="1"/>
        <v>942225.43679999991</v>
      </c>
      <c r="K43" s="7">
        <f t="shared" si="2"/>
        <v>6176811.1968</v>
      </c>
    </row>
    <row r="44" spans="1:11" x14ac:dyDescent="0.3">
      <c r="A44" s="35">
        <v>29</v>
      </c>
      <c r="B44" s="2" t="s">
        <v>2718</v>
      </c>
      <c r="C44" s="2" t="s">
        <v>2719</v>
      </c>
      <c r="D44" s="2" t="s">
        <v>2720</v>
      </c>
      <c r="E44" s="2">
        <v>67</v>
      </c>
      <c r="F44" s="32" t="s">
        <v>1</v>
      </c>
      <c r="G44" s="93">
        <v>1744861.92</v>
      </c>
      <c r="H44" s="2">
        <v>3</v>
      </c>
      <c r="I44" s="7">
        <f t="shared" si="0"/>
        <v>5234585.76</v>
      </c>
      <c r="J44" s="7">
        <f t="shared" si="1"/>
        <v>942225.43679999991</v>
      </c>
      <c r="K44" s="7">
        <f t="shared" si="2"/>
        <v>6176811.1968</v>
      </c>
    </row>
    <row r="45" spans="1:11" ht="15" customHeight="1" x14ac:dyDescent="0.3">
      <c r="A45" s="35">
        <v>30</v>
      </c>
      <c r="B45" s="2" t="s">
        <v>1028</v>
      </c>
      <c r="C45" s="2" t="s">
        <v>1029</v>
      </c>
      <c r="D45" s="2" t="s">
        <v>1030</v>
      </c>
      <c r="E45" s="2">
        <v>90</v>
      </c>
      <c r="F45" s="32" t="s">
        <v>1</v>
      </c>
      <c r="G45" s="93">
        <v>2446709.4300000002</v>
      </c>
      <c r="H45" s="2">
        <v>3</v>
      </c>
      <c r="I45" s="7">
        <f t="shared" si="0"/>
        <v>7340128.290000001</v>
      </c>
      <c r="J45" s="7">
        <f t="shared" si="1"/>
        <v>1321223.0922000001</v>
      </c>
      <c r="K45" s="7">
        <f t="shared" si="2"/>
        <v>8661351.3822000008</v>
      </c>
    </row>
    <row r="46" spans="1:11" x14ac:dyDescent="0.3">
      <c r="A46" s="35">
        <v>31</v>
      </c>
      <c r="B46" s="2" t="s">
        <v>3052</v>
      </c>
      <c r="C46" s="2" t="s">
        <v>3053</v>
      </c>
      <c r="D46" s="2" t="s">
        <v>3054</v>
      </c>
      <c r="E46" s="2">
        <v>32</v>
      </c>
      <c r="F46" s="32" t="s">
        <v>1</v>
      </c>
      <c r="G46" s="93">
        <v>1215614.7</v>
      </c>
      <c r="H46" s="2">
        <v>3</v>
      </c>
      <c r="I46" s="7">
        <f t="shared" si="0"/>
        <v>3646844.0999999996</v>
      </c>
      <c r="J46" s="7">
        <f t="shared" si="1"/>
        <v>656431.93799999997</v>
      </c>
      <c r="K46" s="7">
        <f t="shared" si="2"/>
        <v>4303276.0379999997</v>
      </c>
    </row>
    <row r="47" spans="1:11" ht="15" customHeight="1" x14ac:dyDescent="0.3">
      <c r="A47" s="35">
        <v>32</v>
      </c>
      <c r="B47" s="2" t="s">
        <v>2455</v>
      </c>
      <c r="C47" s="2" t="s">
        <v>2456</v>
      </c>
      <c r="D47" s="2" t="s">
        <v>2457</v>
      </c>
      <c r="E47" s="2">
        <v>21</v>
      </c>
      <c r="F47" s="32" t="s">
        <v>1</v>
      </c>
      <c r="G47" s="93">
        <v>1215614.7</v>
      </c>
      <c r="H47" s="2">
        <v>3</v>
      </c>
      <c r="I47" s="7">
        <f t="shared" si="0"/>
        <v>3646844.0999999996</v>
      </c>
      <c r="J47" s="7">
        <f t="shared" si="1"/>
        <v>656431.93799999997</v>
      </c>
      <c r="K47" s="7">
        <f t="shared" si="2"/>
        <v>4303276.0379999997</v>
      </c>
    </row>
    <row r="48" spans="1:11" x14ac:dyDescent="0.3">
      <c r="A48" s="35">
        <v>33</v>
      </c>
      <c r="B48" s="2" t="s">
        <v>2452</v>
      </c>
      <c r="C48" s="2" t="s">
        <v>2453</v>
      </c>
      <c r="D48" s="2" t="s">
        <v>2454</v>
      </c>
      <c r="E48" s="2">
        <v>21</v>
      </c>
      <c r="F48" s="32" t="s">
        <v>1</v>
      </c>
      <c r="G48" s="93">
        <v>1215614.7</v>
      </c>
      <c r="H48" s="2">
        <v>3</v>
      </c>
      <c r="I48" s="7">
        <f t="shared" si="0"/>
        <v>3646844.0999999996</v>
      </c>
      <c r="J48" s="7">
        <f t="shared" si="1"/>
        <v>656431.93799999997</v>
      </c>
      <c r="K48" s="7">
        <f t="shared" si="2"/>
        <v>4303276.0379999997</v>
      </c>
    </row>
    <row r="49" spans="1:11" x14ac:dyDescent="0.3">
      <c r="A49" s="35">
        <v>34</v>
      </c>
      <c r="B49" s="2" t="s">
        <v>3168</v>
      </c>
      <c r="C49" s="2" t="s">
        <v>3169</v>
      </c>
      <c r="D49" s="2" t="s">
        <v>2138</v>
      </c>
      <c r="E49" s="2">
        <v>55</v>
      </c>
      <c r="F49" s="32" t="s">
        <v>1</v>
      </c>
      <c r="G49" s="93">
        <v>1744861.92</v>
      </c>
      <c r="H49" s="2">
        <v>3</v>
      </c>
      <c r="I49" s="7">
        <f t="shared" si="0"/>
        <v>5234585.76</v>
      </c>
      <c r="J49" s="7">
        <f t="shared" si="1"/>
        <v>942225.43679999991</v>
      </c>
      <c r="K49" s="7">
        <f t="shared" si="2"/>
        <v>6176811.1968</v>
      </c>
    </row>
    <row r="50" spans="1:11" ht="15" customHeight="1" x14ac:dyDescent="0.3">
      <c r="A50" s="35">
        <v>35</v>
      </c>
      <c r="B50" s="2" t="s">
        <v>2449</v>
      </c>
      <c r="C50" s="2" t="s">
        <v>2450</v>
      </c>
      <c r="D50" s="2" t="s">
        <v>2451</v>
      </c>
      <c r="E50" s="2">
        <v>40</v>
      </c>
      <c r="F50" s="32" t="s">
        <v>1</v>
      </c>
      <c r="G50" s="93">
        <v>1435883.79</v>
      </c>
      <c r="H50" s="2">
        <v>3</v>
      </c>
      <c r="I50" s="7">
        <f t="shared" si="0"/>
        <v>4307651.37</v>
      </c>
      <c r="J50" s="7">
        <f t="shared" si="1"/>
        <v>775377.24659999995</v>
      </c>
      <c r="K50" s="7">
        <f t="shared" si="2"/>
        <v>5083028.6166000003</v>
      </c>
    </row>
    <row r="51" spans="1:11" x14ac:dyDescent="0.3">
      <c r="A51" s="35">
        <v>36</v>
      </c>
      <c r="B51" s="2" t="s">
        <v>1025</v>
      </c>
      <c r="C51" s="2" t="s">
        <v>1026</v>
      </c>
      <c r="D51" s="2" t="s">
        <v>1027</v>
      </c>
      <c r="E51" s="2">
        <v>73</v>
      </c>
      <c r="F51" s="32" t="s">
        <v>1</v>
      </c>
      <c r="G51" s="93">
        <v>1744861.92</v>
      </c>
      <c r="H51" s="2">
        <v>3</v>
      </c>
      <c r="I51" s="7">
        <f t="shared" si="0"/>
        <v>5234585.76</v>
      </c>
      <c r="J51" s="7">
        <f t="shared" si="1"/>
        <v>942225.43679999991</v>
      </c>
      <c r="K51" s="7">
        <f t="shared" si="2"/>
        <v>6176811.1968</v>
      </c>
    </row>
    <row r="52" spans="1:11" x14ac:dyDescent="0.3">
      <c r="A52" s="35">
        <v>37</v>
      </c>
      <c r="B52" s="2" t="s">
        <v>3203</v>
      </c>
      <c r="C52" s="2" t="s">
        <v>3204</v>
      </c>
      <c r="D52" s="2" t="s">
        <v>3205</v>
      </c>
      <c r="E52" s="2">
        <v>47</v>
      </c>
      <c r="F52" s="32" t="s">
        <v>1</v>
      </c>
      <c r="G52" s="93">
        <v>1435883.79</v>
      </c>
      <c r="H52" s="2">
        <v>3</v>
      </c>
      <c r="I52" s="7">
        <f t="shared" si="0"/>
        <v>4307651.37</v>
      </c>
      <c r="J52" s="7">
        <f t="shared" si="1"/>
        <v>775377.24659999995</v>
      </c>
      <c r="K52" s="7">
        <f t="shared" si="2"/>
        <v>5083028.6166000003</v>
      </c>
    </row>
    <row r="53" spans="1:11" x14ac:dyDescent="0.3">
      <c r="A53" s="35">
        <v>38</v>
      </c>
      <c r="B53" s="2" t="s">
        <v>2691</v>
      </c>
      <c r="C53" s="2" t="s">
        <v>2692</v>
      </c>
      <c r="D53" s="2" t="s">
        <v>2693</v>
      </c>
      <c r="E53" s="2">
        <v>42</v>
      </c>
      <c r="F53" s="32" t="s">
        <v>1</v>
      </c>
      <c r="G53" s="93">
        <v>1435883.79</v>
      </c>
      <c r="H53" s="2">
        <v>3</v>
      </c>
      <c r="I53" s="7">
        <f t="shared" si="0"/>
        <v>4307651.37</v>
      </c>
      <c r="J53" s="7">
        <f t="shared" si="1"/>
        <v>775377.24659999995</v>
      </c>
      <c r="K53" s="7">
        <f t="shared" si="2"/>
        <v>5083028.6166000003</v>
      </c>
    </row>
    <row r="54" spans="1:11" x14ac:dyDescent="0.3">
      <c r="A54" s="35">
        <v>39</v>
      </c>
      <c r="B54" s="2" t="s">
        <v>1052</v>
      </c>
      <c r="C54" s="2" t="s">
        <v>1053</v>
      </c>
      <c r="D54" s="2" t="s">
        <v>1054</v>
      </c>
      <c r="E54" s="2">
        <v>52</v>
      </c>
      <c r="F54" s="32" t="s">
        <v>1</v>
      </c>
      <c r="G54" s="93">
        <v>1744861.92</v>
      </c>
      <c r="H54" s="2">
        <v>3</v>
      </c>
      <c r="I54" s="7">
        <f t="shared" si="0"/>
        <v>5234585.76</v>
      </c>
      <c r="J54" s="7">
        <f t="shared" si="1"/>
        <v>942225.43679999991</v>
      </c>
      <c r="K54" s="7">
        <f t="shared" si="2"/>
        <v>6176811.1968</v>
      </c>
    </row>
    <row r="55" spans="1:11" x14ac:dyDescent="0.3">
      <c r="A55" s="35">
        <v>40</v>
      </c>
      <c r="B55" s="2" t="s">
        <v>3206</v>
      </c>
      <c r="C55" s="2" t="s">
        <v>3207</v>
      </c>
      <c r="D55" s="2" t="s">
        <v>3208</v>
      </c>
      <c r="E55" s="2">
        <v>46</v>
      </c>
      <c r="F55" s="32" t="s">
        <v>1</v>
      </c>
      <c r="G55" s="93">
        <v>1435883.79</v>
      </c>
      <c r="H55" s="2">
        <v>3</v>
      </c>
      <c r="I55" s="7">
        <f t="shared" si="0"/>
        <v>4307651.37</v>
      </c>
      <c r="J55" s="7">
        <f t="shared" si="1"/>
        <v>775377.24659999995</v>
      </c>
      <c r="K55" s="7">
        <f t="shared" si="2"/>
        <v>5083028.6166000003</v>
      </c>
    </row>
    <row r="56" spans="1:11" ht="15" customHeight="1" x14ac:dyDescent="0.3">
      <c r="A56" s="35">
        <v>41</v>
      </c>
      <c r="B56" s="2" t="s">
        <v>799</v>
      </c>
      <c r="C56" s="2" t="s">
        <v>800</v>
      </c>
      <c r="D56" s="2" t="s">
        <v>801</v>
      </c>
      <c r="E56" s="2">
        <v>34.5</v>
      </c>
      <c r="F56" s="32" t="s">
        <v>1</v>
      </c>
      <c r="G56" s="93">
        <v>1435883.79</v>
      </c>
      <c r="H56" s="2">
        <v>3</v>
      </c>
      <c r="I56" s="7">
        <f t="shared" si="0"/>
        <v>4307651.37</v>
      </c>
      <c r="J56" s="7">
        <f t="shared" si="1"/>
        <v>775377.24659999995</v>
      </c>
      <c r="K56" s="7">
        <f t="shared" si="2"/>
        <v>5083028.6166000003</v>
      </c>
    </row>
    <row r="57" spans="1:11" x14ac:dyDescent="0.3">
      <c r="A57" s="35">
        <v>42</v>
      </c>
      <c r="B57" s="2" t="s">
        <v>902</v>
      </c>
      <c r="C57" s="2" t="s">
        <v>903</v>
      </c>
      <c r="D57" s="2" t="s">
        <v>904</v>
      </c>
      <c r="E57" s="2">
        <v>72</v>
      </c>
      <c r="F57" s="32" t="s">
        <v>1</v>
      </c>
      <c r="G57" s="93">
        <v>1744861.92</v>
      </c>
      <c r="H57" s="2">
        <v>3</v>
      </c>
      <c r="I57" s="7">
        <f t="shared" si="0"/>
        <v>5234585.76</v>
      </c>
      <c r="J57" s="7">
        <f t="shared" si="1"/>
        <v>942225.43679999991</v>
      </c>
      <c r="K57" s="7">
        <f t="shared" si="2"/>
        <v>6176811.1968</v>
      </c>
    </row>
    <row r="58" spans="1:11" ht="15" customHeight="1" x14ac:dyDescent="0.3">
      <c r="A58" s="35">
        <v>43</v>
      </c>
      <c r="B58" s="2" t="s">
        <v>893</v>
      </c>
      <c r="C58" s="2" t="s">
        <v>894</v>
      </c>
      <c r="D58" s="2" t="s">
        <v>895</v>
      </c>
      <c r="E58" s="2">
        <v>63</v>
      </c>
      <c r="F58" s="32" t="s">
        <v>1</v>
      </c>
      <c r="G58" s="93">
        <v>1744861.92</v>
      </c>
      <c r="H58" s="2">
        <v>3</v>
      </c>
      <c r="I58" s="7">
        <f t="shared" si="0"/>
        <v>5234585.76</v>
      </c>
      <c r="J58" s="7">
        <f t="shared" si="1"/>
        <v>942225.43679999991</v>
      </c>
      <c r="K58" s="7">
        <f t="shared" si="2"/>
        <v>6176811.1968</v>
      </c>
    </row>
    <row r="59" spans="1:11" ht="15" customHeight="1" x14ac:dyDescent="0.3">
      <c r="A59" s="35">
        <v>44</v>
      </c>
      <c r="B59" s="2" t="s">
        <v>2800</v>
      </c>
      <c r="C59" s="2" t="s">
        <v>2801</v>
      </c>
      <c r="D59" s="2" t="s">
        <v>2802</v>
      </c>
      <c r="E59" s="2">
        <v>67</v>
      </c>
      <c r="F59" s="32" t="s">
        <v>1</v>
      </c>
      <c r="G59" s="93">
        <v>1744861.92</v>
      </c>
      <c r="H59" s="2">
        <v>3</v>
      </c>
      <c r="I59" s="7">
        <f t="shared" si="0"/>
        <v>5234585.76</v>
      </c>
      <c r="J59" s="7">
        <f t="shared" si="1"/>
        <v>942225.43679999991</v>
      </c>
      <c r="K59" s="7">
        <f t="shared" si="2"/>
        <v>6176811.1968</v>
      </c>
    </row>
    <row r="60" spans="1:11" ht="15" customHeight="1" x14ac:dyDescent="0.3">
      <c r="A60" s="35">
        <v>45</v>
      </c>
      <c r="B60" s="2" t="s">
        <v>3404</v>
      </c>
      <c r="C60" s="2" t="s">
        <v>3405</v>
      </c>
      <c r="D60" s="2" t="s">
        <v>3406</v>
      </c>
      <c r="E60" s="2">
        <v>24</v>
      </c>
      <c r="F60" s="32" t="s">
        <v>1</v>
      </c>
      <c r="G60" s="93">
        <v>1215614.7</v>
      </c>
      <c r="H60" s="2">
        <v>3</v>
      </c>
      <c r="I60" s="7">
        <f t="shared" si="0"/>
        <v>3646844.0999999996</v>
      </c>
      <c r="J60" s="7">
        <f t="shared" si="1"/>
        <v>656431.93799999997</v>
      </c>
      <c r="K60" s="7">
        <f t="shared" si="2"/>
        <v>4303276.0379999997</v>
      </c>
    </row>
    <row r="61" spans="1:11" x14ac:dyDescent="0.3">
      <c r="A61" s="35">
        <v>46</v>
      </c>
      <c r="B61" s="2" t="s">
        <v>2789</v>
      </c>
      <c r="C61" s="2" t="s">
        <v>2790</v>
      </c>
      <c r="D61" s="2" t="s">
        <v>2791</v>
      </c>
      <c r="E61" s="2">
        <v>61.5</v>
      </c>
      <c r="F61" s="32" t="s">
        <v>1</v>
      </c>
      <c r="G61" s="93">
        <v>1744861.92</v>
      </c>
      <c r="H61" s="2">
        <v>3</v>
      </c>
      <c r="I61" s="7">
        <f t="shared" si="0"/>
        <v>5234585.76</v>
      </c>
      <c r="J61" s="7">
        <f t="shared" si="1"/>
        <v>942225.43679999991</v>
      </c>
      <c r="K61" s="7">
        <f t="shared" si="2"/>
        <v>6176811.1968</v>
      </c>
    </row>
    <row r="62" spans="1:11" ht="15" customHeight="1" x14ac:dyDescent="0.3">
      <c r="A62" s="35">
        <v>47</v>
      </c>
      <c r="B62" s="2" t="s">
        <v>2944</v>
      </c>
      <c r="C62" s="2" t="s">
        <v>2945</v>
      </c>
      <c r="D62" s="2" t="s">
        <v>2946</v>
      </c>
      <c r="E62" s="2">
        <v>60</v>
      </c>
      <c r="F62" s="32" t="s">
        <v>1</v>
      </c>
      <c r="G62" s="93">
        <v>1744861.92</v>
      </c>
      <c r="H62" s="2">
        <v>3</v>
      </c>
      <c r="I62" s="7">
        <f t="shared" si="0"/>
        <v>5234585.76</v>
      </c>
      <c r="J62" s="7">
        <f t="shared" si="1"/>
        <v>942225.43679999991</v>
      </c>
      <c r="K62" s="7">
        <f t="shared" si="2"/>
        <v>6176811.1968</v>
      </c>
    </row>
    <row r="63" spans="1:11" x14ac:dyDescent="0.3">
      <c r="A63" s="35">
        <v>48</v>
      </c>
      <c r="B63" s="2" t="s">
        <v>2798</v>
      </c>
      <c r="C63" s="2" t="s">
        <v>2799</v>
      </c>
      <c r="D63" s="2" t="s">
        <v>2097</v>
      </c>
      <c r="E63" s="2">
        <v>68</v>
      </c>
      <c r="F63" s="32" t="s">
        <v>1</v>
      </c>
      <c r="G63" s="93">
        <v>1744861.92</v>
      </c>
      <c r="H63" s="2">
        <v>3</v>
      </c>
      <c r="I63" s="7">
        <f t="shared" si="0"/>
        <v>5234585.76</v>
      </c>
      <c r="J63" s="7">
        <f t="shared" si="1"/>
        <v>942225.43679999991</v>
      </c>
      <c r="K63" s="7">
        <f t="shared" si="2"/>
        <v>6176811.1968</v>
      </c>
    </row>
    <row r="64" spans="1:11" x14ac:dyDescent="0.3">
      <c r="A64" s="35">
        <v>49</v>
      </c>
      <c r="B64" s="2" t="s">
        <v>2694</v>
      </c>
      <c r="C64" s="2" t="s">
        <v>2695</v>
      </c>
      <c r="D64" s="2" t="s">
        <v>2696</v>
      </c>
      <c r="E64" s="2">
        <v>55</v>
      </c>
      <c r="F64" s="32" t="s">
        <v>1</v>
      </c>
      <c r="G64" s="93">
        <v>1744861.92</v>
      </c>
      <c r="H64" s="2">
        <v>3</v>
      </c>
      <c r="I64" s="7">
        <f t="shared" si="0"/>
        <v>5234585.76</v>
      </c>
      <c r="J64" s="7">
        <f t="shared" si="1"/>
        <v>942225.43679999991</v>
      </c>
      <c r="K64" s="7">
        <f t="shared" si="2"/>
        <v>6176811.1968</v>
      </c>
    </row>
    <row r="65" spans="1:11" x14ac:dyDescent="0.3">
      <c r="A65" s="35">
        <v>50</v>
      </c>
      <c r="B65" s="2" t="s">
        <v>2563</v>
      </c>
      <c r="C65" s="2" t="s">
        <v>2564</v>
      </c>
      <c r="D65" s="2" t="s">
        <v>1957</v>
      </c>
      <c r="E65" s="2">
        <v>49</v>
      </c>
      <c r="F65" s="32" t="s">
        <v>1</v>
      </c>
      <c r="G65" s="93">
        <v>1435883.79</v>
      </c>
      <c r="H65" s="2">
        <v>3</v>
      </c>
      <c r="I65" s="7">
        <f t="shared" si="0"/>
        <v>4307651.37</v>
      </c>
      <c r="J65" s="7">
        <f t="shared" si="1"/>
        <v>775377.24659999995</v>
      </c>
      <c r="K65" s="7">
        <f t="shared" si="2"/>
        <v>5083028.6166000003</v>
      </c>
    </row>
    <row r="66" spans="1:11" x14ac:dyDescent="0.3">
      <c r="A66" s="35">
        <v>51</v>
      </c>
      <c r="B66" s="2" t="s">
        <v>2941</v>
      </c>
      <c r="C66" s="2" t="s">
        <v>2942</v>
      </c>
      <c r="D66" s="2" t="s">
        <v>2943</v>
      </c>
      <c r="E66" s="2">
        <v>65</v>
      </c>
      <c r="F66" s="32" t="s">
        <v>1</v>
      </c>
      <c r="G66" s="93">
        <v>1744861.92</v>
      </c>
      <c r="H66" s="2">
        <v>3</v>
      </c>
      <c r="I66" s="7">
        <f t="shared" si="0"/>
        <v>5234585.76</v>
      </c>
      <c r="J66" s="7">
        <f t="shared" si="1"/>
        <v>942225.43679999991</v>
      </c>
      <c r="K66" s="7">
        <f t="shared" si="2"/>
        <v>6176811.1968</v>
      </c>
    </row>
    <row r="67" spans="1:11" x14ac:dyDescent="0.3">
      <c r="A67" s="35">
        <v>52</v>
      </c>
      <c r="B67" s="2" t="s">
        <v>2781</v>
      </c>
      <c r="C67" s="2" t="s">
        <v>2782</v>
      </c>
      <c r="D67" s="2" t="s">
        <v>2783</v>
      </c>
      <c r="E67" s="2">
        <v>72</v>
      </c>
      <c r="F67" s="32" t="s">
        <v>1</v>
      </c>
      <c r="G67" s="93">
        <v>1744861.92</v>
      </c>
      <c r="H67" s="2">
        <v>3</v>
      </c>
      <c r="I67" s="7">
        <f t="shared" si="0"/>
        <v>5234585.76</v>
      </c>
      <c r="J67" s="7">
        <f t="shared" si="1"/>
        <v>942225.43679999991</v>
      </c>
      <c r="K67" s="7">
        <f t="shared" si="2"/>
        <v>6176811.1968</v>
      </c>
    </row>
    <row r="68" spans="1:11" ht="15" customHeight="1" x14ac:dyDescent="0.3">
      <c r="A68" s="35">
        <v>53</v>
      </c>
      <c r="B68" s="2" t="s">
        <v>2866</v>
      </c>
      <c r="C68" s="2" t="s">
        <v>2867</v>
      </c>
      <c r="D68" s="2" t="s">
        <v>2868</v>
      </c>
      <c r="E68" s="2">
        <v>56</v>
      </c>
      <c r="F68" s="32" t="s">
        <v>1</v>
      </c>
      <c r="G68" s="93">
        <v>1744861.92</v>
      </c>
      <c r="H68" s="2">
        <v>3</v>
      </c>
      <c r="I68" s="7">
        <f t="shared" si="0"/>
        <v>5234585.76</v>
      </c>
      <c r="J68" s="7">
        <f t="shared" si="1"/>
        <v>942225.43679999991</v>
      </c>
      <c r="K68" s="7">
        <f t="shared" si="2"/>
        <v>6176811.1968</v>
      </c>
    </row>
    <row r="69" spans="1:11" ht="15" customHeight="1" x14ac:dyDescent="0.3">
      <c r="A69" s="35">
        <v>54</v>
      </c>
      <c r="B69" s="2" t="s">
        <v>2974</v>
      </c>
      <c r="C69" s="2" t="s">
        <v>2975</v>
      </c>
      <c r="D69" s="2" t="s">
        <v>2976</v>
      </c>
      <c r="E69" s="2">
        <v>65</v>
      </c>
      <c r="F69" s="32" t="s">
        <v>1</v>
      </c>
      <c r="G69" s="93">
        <v>1744861.92</v>
      </c>
      <c r="H69" s="2">
        <v>3</v>
      </c>
      <c r="I69" s="7">
        <f t="shared" si="0"/>
        <v>5234585.76</v>
      </c>
      <c r="J69" s="7">
        <f t="shared" si="1"/>
        <v>942225.43679999991</v>
      </c>
      <c r="K69" s="7">
        <f t="shared" si="2"/>
        <v>6176811.1968</v>
      </c>
    </row>
    <row r="70" spans="1:11" x14ac:dyDescent="0.3">
      <c r="A70" s="35">
        <v>55</v>
      </c>
      <c r="B70" s="2" t="s">
        <v>3028</v>
      </c>
      <c r="C70" s="2" t="s">
        <v>3029</v>
      </c>
      <c r="D70" s="2" t="s">
        <v>3030</v>
      </c>
      <c r="E70" s="2">
        <v>33</v>
      </c>
      <c r="F70" s="32" t="s">
        <v>1</v>
      </c>
      <c r="G70" s="93">
        <v>1435883.79</v>
      </c>
      <c r="H70" s="2">
        <v>3</v>
      </c>
      <c r="I70" s="7">
        <f t="shared" si="0"/>
        <v>4307651.37</v>
      </c>
      <c r="J70" s="7">
        <f t="shared" si="1"/>
        <v>775377.24659999995</v>
      </c>
      <c r="K70" s="7">
        <f t="shared" si="2"/>
        <v>5083028.6166000003</v>
      </c>
    </row>
    <row r="71" spans="1:11" x14ac:dyDescent="0.3">
      <c r="A71" s="35">
        <v>56</v>
      </c>
      <c r="B71" s="2" t="s">
        <v>3455</v>
      </c>
      <c r="C71" s="2" t="s">
        <v>3456</v>
      </c>
      <c r="D71" s="2" t="s">
        <v>3457</v>
      </c>
      <c r="E71" s="2">
        <v>66</v>
      </c>
      <c r="F71" s="32" t="s">
        <v>1</v>
      </c>
      <c r="G71" s="93">
        <v>1744861.92</v>
      </c>
      <c r="H71" s="2">
        <v>3</v>
      </c>
      <c r="I71" s="7">
        <f t="shared" si="0"/>
        <v>5234585.76</v>
      </c>
      <c r="J71" s="7">
        <f t="shared" si="1"/>
        <v>942225.43679999991</v>
      </c>
      <c r="K71" s="7">
        <f t="shared" si="2"/>
        <v>6176811.1968</v>
      </c>
    </row>
    <row r="72" spans="1:11" x14ac:dyDescent="0.3">
      <c r="A72" s="35">
        <v>57</v>
      </c>
      <c r="B72" s="2" t="s">
        <v>890</v>
      </c>
      <c r="C72" s="2" t="s">
        <v>891</v>
      </c>
      <c r="D72" s="2" t="s">
        <v>892</v>
      </c>
      <c r="E72" s="2">
        <v>83</v>
      </c>
      <c r="F72" s="32" t="s">
        <v>1</v>
      </c>
      <c r="G72" s="93">
        <v>2446709.4300000002</v>
      </c>
      <c r="H72" s="2">
        <v>3</v>
      </c>
      <c r="I72" s="7">
        <f t="shared" si="0"/>
        <v>7340128.290000001</v>
      </c>
      <c r="J72" s="7">
        <f t="shared" si="1"/>
        <v>1321223.0922000001</v>
      </c>
      <c r="K72" s="7">
        <f t="shared" si="2"/>
        <v>8661351.3822000008</v>
      </c>
    </row>
    <row r="73" spans="1:11" x14ac:dyDescent="0.3">
      <c r="A73" s="35">
        <v>58</v>
      </c>
      <c r="B73" s="2" t="s">
        <v>655</v>
      </c>
      <c r="C73" s="2" t="s">
        <v>656</v>
      </c>
      <c r="D73" s="2" t="s">
        <v>657</v>
      </c>
      <c r="E73" s="2">
        <v>67</v>
      </c>
      <c r="F73" s="32" t="s">
        <v>1</v>
      </c>
      <c r="G73" s="93">
        <v>1744861.92</v>
      </c>
      <c r="H73" s="2">
        <v>3</v>
      </c>
      <c r="I73" s="7">
        <f t="shared" si="0"/>
        <v>5234585.76</v>
      </c>
      <c r="J73" s="7">
        <f t="shared" si="1"/>
        <v>942225.43679999991</v>
      </c>
      <c r="K73" s="7">
        <f t="shared" si="2"/>
        <v>6176811.1968</v>
      </c>
    </row>
    <row r="74" spans="1:11" x14ac:dyDescent="0.3">
      <c r="A74" s="35">
        <v>59</v>
      </c>
      <c r="B74" s="2" t="s">
        <v>600</v>
      </c>
      <c r="C74" s="2" t="s">
        <v>601</v>
      </c>
      <c r="D74" s="2" t="s">
        <v>602</v>
      </c>
      <c r="E74" s="2">
        <v>43</v>
      </c>
      <c r="F74" s="32" t="s">
        <v>1</v>
      </c>
      <c r="G74" s="93">
        <v>1435883.79</v>
      </c>
      <c r="H74" s="2">
        <v>3</v>
      </c>
      <c r="I74" s="7">
        <f t="shared" si="0"/>
        <v>4307651.37</v>
      </c>
      <c r="J74" s="7">
        <f t="shared" si="1"/>
        <v>775377.24659999995</v>
      </c>
      <c r="K74" s="7">
        <f t="shared" si="2"/>
        <v>5083028.6166000003</v>
      </c>
    </row>
    <row r="75" spans="1:11" ht="15" customHeight="1" x14ac:dyDescent="0.3">
      <c r="A75" s="35">
        <v>60</v>
      </c>
      <c r="B75" s="2" t="s">
        <v>530</v>
      </c>
      <c r="C75" s="2" t="s">
        <v>531</v>
      </c>
      <c r="D75" s="2" t="s">
        <v>532</v>
      </c>
      <c r="E75" s="2">
        <v>29</v>
      </c>
      <c r="F75" s="32" t="s">
        <v>1</v>
      </c>
      <c r="G75" s="93">
        <v>1215614.7</v>
      </c>
      <c r="H75" s="2">
        <v>3</v>
      </c>
      <c r="I75" s="7">
        <f t="shared" si="0"/>
        <v>3646844.0999999996</v>
      </c>
      <c r="J75" s="7">
        <f t="shared" si="1"/>
        <v>656431.93799999997</v>
      </c>
      <c r="K75" s="7">
        <f t="shared" si="2"/>
        <v>4303276.0379999997</v>
      </c>
    </row>
    <row r="76" spans="1:11" ht="15" customHeight="1" x14ac:dyDescent="0.3">
      <c r="A76" s="35">
        <v>61</v>
      </c>
      <c r="B76" s="2" t="s">
        <v>3046</v>
      </c>
      <c r="C76" s="2" t="s">
        <v>3047</v>
      </c>
      <c r="D76" s="2" t="s">
        <v>3048</v>
      </c>
      <c r="E76" s="2">
        <v>28</v>
      </c>
      <c r="F76" s="32" t="s">
        <v>1</v>
      </c>
      <c r="G76" s="93">
        <v>1215614.7</v>
      </c>
      <c r="H76" s="2">
        <v>3</v>
      </c>
      <c r="I76" s="7">
        <f t="shared" si="0"/>
        <v>3646844.0999999996</v>
      </c>
      <c r="J76" s="7">
        <f t="shared" si="1"/>
        <v>656431.93799999997</v>
      </c>
      <c r="K76" s="7">
        <f t="shared" si="2"/>
        <v>4303276.0379999997</v>
      </c>
    </row>
    <row r="77" spans="1:11" x14ac:dyDescent="0.3">
      <c r="A77" s="35">
        <v>62</v>
      </c>
      <c r="B77" s="2" t="s">
        <v>2953</v>
      </c>
      <c r="C77" s="2" t="s">
        <v>2954</v>
      </c>
      <c r="D77" s="2" t="s">
        <v>2955</v>
      </c>
      <c r="E77" s="2">
        <v>40</v>
      </c>
      <c r="F77" s="32" t="s">
        <v>1</v>
      </c>
      <c r="G77" s="93">
        <v>1435883.79</v>
      </c>
      <c r="H77" s="2">
        <v>3</v>
      </c>
      <c r="I77" s="7">
        <f t="shared" si="0"/>
        <v>4307651.37</v>
      </c>
      <c r="J77" s="7">
        <f t="shared" si="1"/>
        <v>775377.24659999995</v>
      </c>
      <c r="K77" s="7">
        <f t="shared" si="2"/>
        <v>5083028.6166000003</v>
      </c>
    </row>
    <row r="78" spans="1:11" ht="15" customHeight="1" x14ac:dyDescent="0.3">
      <c r="A78" s="35">
        <v>63</v>
      </c>
      <c r="B78" s="2" t="s">
        <v>3108</v>
      </c>
      <c r="C78" s="2" t="s">
        <v>3109</v>
      </c>
      <c r="D78" s="2" t="s">
        <v>3110</v>
      </c>
      <c r="E78" s="2">
        <v>47</v>
      </c>
      <c r="F78" s="32" t="s">
        <v>1</v>
      </c>
      <c r="G78" s="93">
        <v>1435883.79</v>
      </c>
      <c r="H78" s="2">
        <v>3</v>
      </c>
      <c r="I78" s="7">
        <f t="shared" si="0"/>
        <v>4307651.37</v>
      </c>
      <c r="J78" s="7">
        <f t="shared" si="1"/>
        <v>775377.24659999995</v>
      </c>
      <c r="K78" s="7">
        <f t="shared" si="2"/>
        <v>5083028.6166000003</v>
      </c>
    </row>
    <row r="79" spans="1:11" x14ac:dyDescent="0.3">
      <c r="A79" s="35">
        <v>64</v>
      </c>
      <c r="B79" s="2" t="s">
        <v>3126</v>
      </c>
      <c r="C79" s="2" t="s">
        <v>3127</v>
      </c>
      <c r="D79" s="2" t="s">
        <v>3128</v>
      </c>
      <c r="E79" s="2">
        <v>62</v>
      </c>
      <c r="F79" s="32" t="s">
        <v>1</v>
      </c>
      <c r="G79" s="93">
        <v>1744861.92</v>
      </c>
      <c r="H79" s="2">
        <v>3</v>
      </c>
      <c r="I79" s="7">
        <f t="shared" si="0"/>
        <v>5234585.76</v>
      </c>
      <c r="J79" s="7">
        <f t="shared" si="1"/>
        <v>942225.43679999991</v>
      </c>
      <c r="K79" s="7">
        <f t="shared" si="2"/>
        <v>6176811.1968</v>
      </c>
    </row>
    <row r="80" spans="1:11" ht="15" customHeight="1" x14ac:dyDescent="0.3">
      <c r="A80" s="35">
        <v>65</v>
      </c>
      <c r="B80" s="2" t="s">
        <v>3162</v>
      </c>
      <c r="C80" s="2" t="s">
        <v>3163</v>
      </c>
      <c r="D80" s="2" t="s">
        <v>3164</v>
      </c>
      <c r="E80" s="2">
        <v>44</v>
      </c>
      <c r="F80" s="32" t="s">
        <v>1</v>
      </c>
      <c r="G80" s="93">
        <v>1435883.79</v>
      </c>
      <c r="H80" s="2">
        <v>3</v>
      </c>
      <c r="I80" s="7">
        <f t="shared" si="0"/>
        <v>4307651.37</v>
      </c>
      <c r="J80" s="7">
        <f t="shared" si="1"/>
        <v>775377.24659999995</v>
      </c>
      <c r="K80" s="7">
        <f t="shared" si="2"/>
        <v>5083028.6166000003</v>
      </c>
    </row>
    <row r="81" spans="1:11" x14ac:dyDescent="0.3">
      <c r="A81" s="35">
        <v>66</v>
      </c>
      <c r="B81" s="2" t="s">
        <v>2872</v>
      </c>
      <c r="C81" s="2" t="s">
        <v>2873</v>
      </c>
      <c r="D81" s="2" t="s">
        <v>2874</v>
      </c>
      <c r="E81" s="2">
        <v>63</v>
      </c>
      <c r="F81" s="32" t="s">
        <v>1</v>
      </c>
      <c r="G81" s="93">
        <v>1744861.92</v>
      </c>
      <c r="H81" s="2">
        <v>3</v>
      </c>
      <c r="I81" s="7">
        <f t="shared" ref="I81:I144" si="3">+G81*H81</f>
        <v>5234585.76</v>
      </c>
      <c r="J81" s="7">
        <f t="shared" ref="J81:J144" si="4">+I81*0.18</f>
        <v>942225.43679999991</v>
      </c>
      <c r="K81" s="7">
        <f t="shared" ref="K81:K144" si="5">+I81+J81</f>
        <v>6176811.1968</v>
      </c>
    </row>
    <row r="82" spans="1:11" x14ac:dyDescent="0.3">
      <c r="A82" s="35">
        <v>67</v>
      </c>
      <c r="B82" s="2" t="s">
        <v>2863</v>
      </c>
      <c r="C82" s="2" t="s">
        <v>2864</v>
      </c>
      <c r="D82" s="2" t="s">
        <v>2865</v>
      </c>
      <c r="E82" s="2">
        <v>63</v>
      </c>
      <c r="F82" s="32" t="s">
        <v>1</v>
      </c>
      <c r="G82" s="93">
        <v>1744861.92</v>
      </c>
      <c r="H82" s="2">
        <v>3</v>
      </c>
      <c r="I82" s="7">
        <f t="shared" si="3"/>
        <v>5234585.76</v>
      </c>
      <c r="J82" s="7">
        <f t="shared" si="4"/>
        <v>942225.43679999991</v>
      </c>
      <c r="K82" s="7">
        <f t="shared" si="5"/>
        <v>6176811.1968</v>
      </c>
    </row>
    <row r="83" spans="1:11" ht="15" customHeight="1" x14ac:dyDescent="0.3">
      <c r="A83" s="35">
        <v>68</v>
      </c>
      <c r="B83" s="2" t="s">
        <v>3191</v>
      </c>
      <c r="C83" s="2" t="s">
        <v>3192</v>
      </c>
      <c r="D83" s="2" t="s">
        <v>3193</v>
      </c>
      <c r="E83" s="2">
        <v>45</v>
      </c>
      <c r="F83" s="32" t="s">
        <v>1</v>
      </c>
      <c r="G83" s="93">
        <v>1435883.79</v>
      </c>
      <c r="H83" s="2">
        <v>3</v>
      </c>
      <c r="I83" s="7">
        <f t="shared" si="3"/>
        <v>4307651.37</v>
      </c>
      <c r="J83" s="7">
        <f t="shared" si="4"/>
        <v>775377.24659999995</v>
      </c>
      <c r="K83" s="7">
        <f t="shared" si="5"/>
        <v>5083028.6166000003</v>
      </c>
    </row>
    <row r="84" spans="1:11" ht="15" customHeight="1" x14ac:dyDescent="0.3">
      <c r="A84" s="35">
        <v>69</v>
      </c>
      <c r="B84" s="2" t="s">
        <v>2869</v>
      </c>
      <c r="C84" s="2" t="s">
        <v>2870</v>
      </c>
      <c r="D84" s="2" t="s">
        <v>2871</v>
      </c>
      <c r="E84" s="2">
        <v>72</v>
      </c>
      <c r="F84" s="32" t="s">
        <v>1</v>
      </c>
      <c r="G84" s="93">
        <v>1744861.92</v>
      </c>
      <c r="H84" s="2">
        <v>3</v>
      </c>
      <c r="I84" s="7">
        <f t="shared" si="3"/>
        <v>5234585.76</v>
      </c>
      <c r="J84" s="7">
        <f t="shared" si="4"/>
        <v>942225.43679999991</v>
      </c>
      <c r="K84" s="7">
        <f t="shared" si="5"/>
        <v>6176811.1968</v>
      </c>
    </row>
    <row r="85" spans="1:11" ht="15" customHeight="1" x14ac:dyDescent="0.3">
      <c r="A85" s="35">
        <v>70</v>
      </c>
      <c r="B85" s="2" t="s">
        <v>559</v>
      </c>
      <c r="C85" s="2" t="s">
        <v>560</v>
      </c>
      <c r="D85" s="2" t="s">
        <v>561</v>
      </c>
      <c r="E85" s="2">
        <v>40</v>
      </c>
      <c r="F85" s="32" t="s">
        <v>1</v>
      </c>
      <c r="G85" s="93">
        <v>1435883.79</v>
      </c>
      <c r="H85" s="2">
        <v>3</v>
      </c>
      <c r="I85" s="7">
        <f t="shared" si="3"/>
        <v>4307651.37</v>
      </c>
      <c r="J85" s="7">
        <f t="shared" si="4"/>
        <v>775377.24659999995</v>
      </c>
      <c r="K85" s="7">
        <f t="shared" si="5"/>
        <v>5083028.6166000003</v>
      </c>
    </row>
    <row r="86" spans="1:11" ht="15" customHeight="1" x14ac:dyDescent="0.3">
      <c r="A86" s="35">
        <v>71</v>
      </c>
      <c r="B86" s="2" t="s">
        <v>2416</v>
      </c>
      <c r="C86" s="2" t="s">
        <v>2417</v>
      </c>
      <c r="D86" s="2" t="s">
        <v>2418</v>
      </c>
      <c r="E86" s="2">
        <v>6</v>
      </c>
      <c r="F86" s="32" t="s">
        <v>1</v>
      </c>
      <c r="G86" s="93">
        <v>895360</v>
      </c>
      <c r="H86" s="2">
        <v>3</v>
      </c>
      <c r="I86" s="7">
        <f t="shared" si="3"/>
        <v>2686080</v>
      </c>
      <c r="J86" s="7">
        <f t="shared" si="4"/>
        <v>483494.39999999997</v>
      </c>
      <c r="K86" s="7">
        <f t="shared" si="5"/>
        <v>3169574.4</v>
      </c>
    </row>
    <row r="87" spans="1:11" x14ac:dyDescent="0.3">
      <c r="A87" s="35">
        <v>72</v>
      </c>
      <c r="B87" s="2" t="s">
        <v>2992</v>
      </c>
      <c r="C87" s="2" t="s">
        <v>2993</v>
      </c>
      <c r="D87" s="2" t="s">
        <v>2994</v>
      </c>
      <c r="E87" s="2">
        <v>25</v>
      </c>
      <c r="F87" s="32" t="s">
        <v>1</v>
      </c>
      <c r="G87" s="93">
        <v>1215614.7</v>
      </c>
      <c r="H87" s="2">
        <v>3</v>
      </c>
      <c r="I87" s="7">
        <f t="shared" si="3"/>
        <v>3646844.0999999996</v>
      </c>
      <c r="J87" s="7">
        <f t="shared" si="4"/>
        <v>656431.93799999997</v>
      </c>
      <c r="K87" s="7">
        <f t="shared" si="5"/>
        <v>4303276.0379999997</v>
      </c>
    </row>
    <row r="88" spans="1:11" ht="15" customHeight="1" x14ac:dyDescent="0.3">
      <c r="A88" s="35">
        <v>73</v>
      </c>
      <c r="B88" s="2" t="s">
        <v>2551</v>
      </c>
      <c r="C88" s="2" t="s">
        <v>2552</v>
      </c>
      <c r="D88" s="2" t="s">
        <v>2553</v>
      </c>
      <c r="E88" s="2">
        <v>30</v>
      </c>
      <c r="F88" s="32" t="s">
        <v>1</v>
      </c>
      <c r="G88" s="93">
        <v>1215614.7</v>
      </c>
      <c r="H88" s="2">
        <v>3</v>
      </c>
      <c r="I88" s="7">
        <f t="shared" si="3"/>
        <v>3646844.0999999996</v>
      </c>
      <c r="J88" s="7">
        <f t="shared" si="4"/>
        <v>656431.93799999997</v>
      </c>
      <c r="K88" s="7">
        <f t="shared" si="5"/>
        <v>4303276.0379999997</v>
      </c>
    </row>
    <row r="89" spans="1:11" ht="15" customHeight="1" x14ac:dyDescent="0.3">
      <c r="A89" s="35">
        <v>74</v>
      </c>
      <c r="B89" s="2" t="s">
        <v>3365</v>
      </c>
      <c r="C89" s="2" t="s">
        <v>3366</v>
      </c>
      <c r="D89" s="2" t="s">
        <v>3367</v>
      </c>
      <c r="E89" s="2">
        <v>23</v>
      </c>
      <c r="F89" s="32" t="s">
        <v>1</v>
      </c>
      <c r="G89" s="93">
        <v>1215614.7</v>
      </c>
      <c r="H89" s="2">
        <v>3</v>
      </c>
      <c r="I89" s="7">
        <f t="shared" si="3"/>
        <v>3646844.0999999996</v>
      </c>
      <c r="J89" s="7">
        <f t="shared" si="4"/>
        <v>656431.93799999997</v>
      </c>
      <c r="K89" s="7">
        <f t="shared" si="5"/>
        <v>4303276.0379999997</v>
      </c>
    </row>
    <row r="90" spans="1:11" x14ac:dyDescent="0.3">
      <c r="A90" s="35">
        <v>75</v>
      </c>
      <c r="B90" s="2" t="s">
        <v>2965</v>
      </c>
      <c r="C90" s="2" t="s">
        <v>2966</v>
      </c>
      <c r="D90" s="2" t="s">
        <v>2967</v>
      </c>
      <c r="E90" s="2">
        <v>25</v>
      </c>
      <c r="F90" s="32" t="s">
        <v>1</v>
      </c>
      <c r="G90" s="93">
        <v>1215614.7</v>
      </c>
      <c r="H90" s="2">
        <v>3</v>
      </c>
      <c r="I90" s="7">
        <f t="shared" si="3"/>
        <v>3646844.0999999996</v>
      </c>
      <c r="J90" s="7">
        <f t="shared" si="4"/>
        <v>656431.93799999997</v>
      </c>
      <c r="K90" s="7">
        <f t="shared" si="5"/>
        <v>4303276.0379999997</v>
      </c>
    </row>
    <row r="91" spans="1:11" ht="15" customHeight="1" x14ac:dyDescent="0.3">
      <c r="A91" s="35">
        <v>76</v>
      </c>
      <c r="B91" s="2" t="s">
        <v>2419</v>
      </c>
      <c r="C91" s="2" t="s">
        <v>2420</v>
      </c>
      <c r="D91" s="2" t="s">
        <v>2421</v>
      </c>
      <c r="E91" s="2">
        <v>33</v>
      </c>
      <c r="F91" s="32" t="s">
        <v>1</v>
      </c>
      <c r="G91" s="93">
        <v>1435883.79</v>
      </c>
      <c r="H91" s="2">
        <v>3</v>
      </c>
      <c r="I91" s="7">
        <f t="shared" si="3"/>
        <v>4307651.37</v>
      </c>
      <c r="J91" s="7">
        <f t="shared" si="4"/>
        <v>775377.24659999995</v>
      </c>
      <c r="K91" s="7">
        <f t="shared" si="5"/>
        <v>5083028.6166000003</v>
      </c>
    </row>
    <row r="92" spans="1:11" ht="15" customHeight="1" x14ac:dyDescent="0.3">
      <c r="A92" s="35">
        <v>77</v>
      </c>
      <c r="B92" s="2" t="s">
        <v>3031</v>
      </c>
      <c r="C92" s="2" t="s">
        <v>3032</v>
      </c>
      <c r="D92" s="2" t="s">
        <v>3033</v>
      </c>
      <c r="E92" s="2">
        <v>28</v>
      </c>
      <c r="F92" s="32" t="s">
        <v>1</v>
      </c>
      <c r="G92" s="93">
        <v>1215614.7</v>
      </c>
      <c r="H92" s="2">
        <v>3</v>
      </c>
      <c r="I92" s="7">
        <f t="shared" si="3"/>
        <v>3646844.0999999996</v>
      </c>
      <c r="J92" s="7">
        <f t="shared" si="4"/>
        <v>656431.93799999997</v>
      </c>
      <c r="K92" s="7">
        <f t="shared" si="5"/>
        <v>4303276.0379999997</v>
      </c>
    </row>
    <row r="93" spans="1:11" ht="15" customHeight="1" x14ac:dyDescent="0.3">
      <c r="A93" s="35">
        <v>78</v>
      </c>
      <c r="B93" s="2" t="s">
        <v>2413</v>
      </c>
      <c r="C93" s="2" t="s">
        <v>2414</v>
      </c>
      <c r="D93" s="2" t="s">
        <v>2415</v>
      </c>
      <c r="E93" s="2">
        <v>41</v>
      </c>
      <c r="F93" s="32" t="s">
        <v>1</v>
      </c>
      <c r="G93" s="93">
        <v>1435883.79</v>
      </c>
      <c r="H93" s="2">
        <v>3</v>
      </c>
      <c r="I93" s="7">
        <f t="shared" si="3"/>
        <v>4307651.37</v>
      </c>
      <c r="J93" s="7">
        <f t="shared" si="4"/>
        <v>775377.24659999995</v>
      </c>
      <c r="K93" s="7">
        <f t="shared" si="5"/>
        <v>5083028.6166000003</v>
      </c>
    </row>
    <row r="94" spans="1:11" ht="15" customHeight="1" x14ac:dyDescent="0.3">
      <c r="A94" s="35">
        <v>79</v>
      </c>
      <c r="B94" s="2" t="s">
        <v>1031</v>
      </c>
      <c r="C94" s="2" t="s">
        <v>1032</v>
      </c>
      <c r="D94" s="2" t="s">
        <v>1033</v>
      </c>
      <c r="E94" s="2">
        <v>52</v>
      </c>
      <c r="F94" s="32" t="s">
        <v>1</v>
      </c>
      <c r="G94" s="93">
        <v>1744861.92</v>
      </c>
      <c r="H94" s="2">
        <v>3</v>
      </c>
      <c r="I94" s="7">
        <f t="shared" si="3"/>
        <v>5234585.76</v>
      </c>
      <c r="J94" s="7">
        <f t="shared" si="4"/>
        <v>942225.43679999991</v>
      </c>
      <c r="K94" s="7">
        <f t="shared" si="5"/>
        <v>6176811.1968</v>
      </c>
    </row>
    <row r="95" spans="1:11" ht="15" customHeight="1" x14ac:dyDescent="0.3">
      <c r="A95" s="35">
        <v>80</v>
      </c>
      <c r="B95" s="2" t="s">
        <v>2673</v>
      </c>
      <c r="C95" s="2" t="s">
        <v>2674</v>
      </c>
      <c r="D95" s="2" t="s">
        <v>2675</v>
      </c>
      <c r="E95" s="2">
        <v>64</v>
      </c>
      <c r="F95" s="32" t="s">
        <v>1</v>
      </c>
      <c r="G95" s="93">
        <v>1744861.92</v>
      </c>
      <c r="H95" s="2">
        <v>3</v>
      </c>
      <c r="I95" s="7">
        <f t="shared" si="3"/>
        <v>5234585.76</v>
      </c>
      <c r="J95" s="7">
        <f t="shared" si="4"/>
        <v>942225.43679999991</v>
      </c>
      <c r="K95" s="7">
        <f t="shared" si="5"/>
        <v>6176811.1968</v>
      </c>
    </row>
    <row r="96" spans="1:11" ht="15" customHeight="1" x14ac:dyDescent="0.3">
      <c r="A96" s="35">
        <v>81</v>
      </c>
      <c r="B96" s="2" t="s">
        <v>992</v>
      </c>
      <c r="C96" s="2" t="s">
        <v>993</v>
      </c>
      <c r="D96" s="2" t="s">
        <v>994</v>
      </c>
      <c r="E96" s="2">
        <v>50</v>
      </c>
      <c r="F96" s="32" t="s">
        <v>1</v>
      </c>
      <c r="G96" s="93">
        <v>1744861.92</v>
      </c>
      <c r="H96" s="2">
        <v>3</v>
      </c>
      <c r="I96" s="7">
        <f t="shared" si="3"/>
        <v>5234585.76</v>
      </c>
      <c r="J96" s="7">
        <f t="shared" si="4"/>
        <v>942225.43679999991</v>
      </c>
      <c r="K96" s="7">
        <f t="shared" si="5"/>
        <v>6176811.1968</v>
      </c>
    </row>
    <row r="97" spans="1:11" x14ac:dyDescent="0.3">
      <c r="A97" s="35">
        <v>82</v>
      </c>
      <c r="B97" s="2" t="s">
        <v>3299</v>
      </c>
      <c r="C97" s="2" t="s">
        <v>3300</v>
      </c>
      <c r="D97" s="2" t="s">
        <v>3301</v>
      </c>
      <c r="E97" s="2">
        <v>65</v>
      </c>
      <c r="F97" s="32" t="s">
        <v>1</v>
      </c>
      <c r="G97" s="93">
        <v>1744861.92</v>
      </c>
      <c r="H97" s="2">
        <v>3</v>
      </c>
      <c r="I97" s="7">
        <f t="shared" si="3"/>
        <v>5234585.76</v>
      </c>
      <c r="J97" s="7">
        <f t="shared" si="4"/>
        <v>942225.43679999991</v>
      </c>
      <c r="K97" s="7">
        <f t="shared" si="5"/>
        <v>6176811.1968</v>
      </c>
    </row>
    <row r="98" spans="1:11" ht="15" customHeight="1" x14ac:dyDescent="0.3">
      <c r="A98" s="35">
        <v>83</v>
      </c>
      <c r="B98" s="2" t="s">
        <v>1019</v>
      </c>
      <c r="C98" s="2" t="s">
        <v>1020</v>
      </c>
      <c r="D98" s="2" t="s">
        <v>1021</v>
      </c>
      <c r="E98" s="2">
        <v>75</v>
      </c>
      <c r="F98" s="32" t="s">
        <v>1</v>
      </c>
      <c r="G98" s="93">
        <v>1744861.92</v>
      </c>
      <c r="H98" s="2">
        <v>3</v>
      </c>
      <c r="I98" s="7">
        <f t="shared" si="3"/>
        <v>5234585.76</v>
      </c>
      <c r="J98" s="7">
        <f t="shared" si="4"/>
        <v>942225.43679999991</v>
      </c>
      <c r="K98" s="7">
        <f t="shared" si="5"/>
        <v>6176811.1968</v>
      </c>
    </row>
    <row r="99" spans="1:11" x14ac:dyDescent="0.3">
      <c r="A99" s="35">
        <v>84</v>
      </c>
      <c r="B99" s="2" t="s">
        <v>2682</v>
      </c>
      <c r="C99" s="2" t="s">
        <v>2683</v>
      </c>
      <c r="D99" s="2" t="s">
        <v>2684</v>
      </c>
      <c r="E99" s="2">
        <v>58</v>
      </c>
      <c r="F99" s="32" t="s">
        <v>1</v>
      </c>
      <c r="G99" s="93">
        <v>1744861.92</v>
      </c>
      <c r="H99" s="2">
        <v>3</v>
      </c>
      <c r="I99" s="7">
        <f t="shared" si="3"/>
        <v>5234585.76</v>
      </c>
      <c r="J99" s="7">
        <f t="shared" si="4"/>
        <v>942225.43679999991</v>
      </c>
      <c r="K99" s="7">
        <f t="shared" si="5"/>
        <v>6176811.1968</v>
      </c>
    </row>
    <row r="100" spans="1:11" ht="15" customHeight="1" x14ac:dyDescent="0.3">
      <c r="A100" s="35">
        <v>85</v>
      </c>
      <c r="B100" s="2" t="s">
        <v>2845</v>
      </c>
      <c r="C100" s="2" t="s">
        <v>2846</v>
      </c>
      <c r="D100" s="2" t="s">
        <v>2847</v>
      </c>
      <c r="E100" s="2">
        <v>60</v>
      </c>
      <c r="F100" s="32" t="s">
        <v>1</v>
      </c>
      <c r="G100" s="93">
        <v>1744861.92</v>
      </c>
      <c r="H100" s="2">
        <v>3</v>
      </c>
      <c r="I100" s="7">
        <f t="shared" si="3"/>
        <v>5234585.76</v>
      </c>
      <c r="J100" s="7">
        <f t="shared" si="4"/>
        <v>942225.43679999991</v>
      </c>
      <c r="K100" s="7">
        <f t="shared" si="5"/>
        <v>6176811.1968</v>
      </c>
    </row>
    <row r="101" spans="1:11" ht="15" customHeight="1" x14ac:dyDescent="0.3">
      <c r="A101" s="35">
        <v>86</v>
      </c>
      <c r="B101" s="2" t="s">
        <v>3147</v>
      </c>
      <c r="C101" s="2" t="s">
        <v>3148</v>
      </c>
      <c r="D101" s="2" t="s">
        <v>3149</v>
      </c>
      <c r="E101" s="2">
        <v>51</v>
      </c>
      <c r="F101" s="32" t="s">
        <v>1</v>
      </c>
      <c r="G101" s="93">
        <v>1744861.92</v>
      </c>
      <c r="H101" s="2">
        <v>3</v>
      </c>
      <c r="I101" s="7">
        <f t="shared" si="3"/>
        <v>5234585.76</v>
      </c>
      <c r="J101" s="7">
        <f t="shared" si="4"/>
        <v>942225.43679999991</v>
      </c>
      <c r="K101" s="7">
        <f t="shared" si="5"/>
        <v>6176811.1968</v>
      </c>
    </row>
    <row r="102" spans="1:11" ht="15" customHeight="1" x14ac:dyDescent="0.3">
      <c r="A102" s="35">
        <v>87</v>
      </c>
      <c r="B102" s="2" t="s">
        <v>673</v>
      </c>
      <c r="C102" s="2" t="s">
        <v>674</v>
      </c>
      <c r="D102" s="2" t="s">
        <v>675</v>
      </c>
      <c r="E102" s="2">
        <v>45</v>
      </c>
      <c r="F102" s="32" t="s">
        <v>1</v>
      </c>
      <c r="G102" s="93">
        <v>1435883.79</v>
      </c>
      <c r="H102" s="2">
        <v>3</v>
      </c>
      <c r="I102" s="7">
        <f t="shared" si="3"/>
        <v>4307651.37</v>
      </c>
      <c r="J102" s="7">
        <f t="shared" si="4"/>
        <v>775377.24659999995</v>
      </c>
      <c r="K102" s="7">
        <f t="shared" si="5"/>
        <v>5083028.6166000003</v>
      </c>
    </row>
    <row r="103" spans="1:11" ht="15" customHeight="1" x14ac:dyDescent="0.3">
      <c r="A103" s="35">
        <v>88</v>
      </c>
      <c r="B103" s="2" t="s">
        <v>825</v>
      </c>
      <c r="C103" s="2" t="s">
        <v>826</v>
      </c>
      <c r="D103" s="2" t="s">
        <v>827</v>
      </c>
      <c r="E103" s="2">
        <v>64</v>
      </c>
      <c r="F103" s="32" t="s">
        <v>1</v>
      </c>
      <c r="G103" s="93">
        <v>1744861.92</v>
      </c>
      <c r="H103" s="2">
        <v>3</v>
      </c>
      <c r="I103" s="7">
        <f t="shared" si="3"/>
        <v>5234585.76</v>
      </c>
      <c r="J103" s="7">
        <f t="shared" si="4"/>
        <v>942225.43679999991</v>
      </c>
      <c r="K103" s="7">
        <f t="shared" si="5"/>
        <v>6176811.1968</v>
      </c>
    </row>
    <row r="104" spans="1:11" ht="15" customHeight="1" x14ac:dyDescent="0.3">
      <c r="A104" s="35">
        <v>89</v>
      </c>
      <c r="B104" s="2" t="s">
        <v>2410</v>
      </c>
      <c r="C104" s="2" t="s">
        <v>2411</v>
      </c>
      <c r="D104" s="2" t="s">
        <v>2412</v>
      </c>
      <c r="E104" s="2">
        <v>23</v>
      </c>
      <c r="F104" s="32" t="s">
        <v>1</v>
      </c>
      <c r="G104" s="93">
        <v>1215614.7</v>
      </c>
      <c r="H104" s="2">
        <v>3</v>
      </c>
      <c r="I104" s="7">
        <f t="shared" si="3"/>
        <v>3646844.0999999996</v>
      </c>
      <c r="J104" s="7">
        <f t="shared" si="4"/>
        <v>656431.93799999997</v>
      </c>
      <c r="K104" s="7">
        <f t="shared" si="5"/>
        <v>4303276.0379999997</v>
      </c>
    </row>
    <row r="105" spans="1:11" x14ac:dyDescent="0.3">
      <c r="A105" s="35">
        <v>90</v>
      </c>
      <c r="B105" s="2" t="s">
        <v>3025</v>
      </c>
      <c r="C105" s="2" t="s">
        <v>3026</v>
      </c>
      <c r="D105" s="2" t="s">
        <v>3027</v>
      </c>
      <c r="E105" s="2">
        <v>32</v>
      </c>
      <c r="F105" s="32" t="s">
        <v>1</v>
      </c>
      <c r="G105" s="93">
        <v>1215614.7</v>
      </c>
      <c r="H105" s="2">
        <v>3</v>
      </c>
      <c r="I105" s="7">
        <f t="shared" si="3"/>
        <v>3646844.0999999996</v>
      </c>
      <c r="J105" s="7">
        <f t="shared" si="4"/>
        <v>656431.93799999997</v>
      </c>
      <c r="K105" s="7">
        <f t="shared" si="5"/>
        <v>4303276.0379999997</v>
      </c>
    </row>
    <row r="106" spans="1:11" x14ac:dyDescent="0.3">
      <c r="A106" s="35">
        <v>91</v>
      </c>
      <c r="B106" s="2" t="s">
        <v>2542</v>
      </c>
      <c r="C106" s="2" t="s">
        <v>2543</v>
      </c>
      <c r="D106" s="2" t="s">
        <v>2544</v>
      </c>
      <c r="E106" s="2">
        <v>33</v>
      </c>
      <c r="F106" s="32" t="s">
        <v>1</v>
      </c>
      <c r="G106" s="93">
        <v>1435883.79</v>
      </c>
      <c r="H106" s="2">
        <v>3</v>
      </c>
      <c r="I106" s="7">
        <f t="shared" si="3"/>
        <v>4307651.37</v>
      </c>
      <c r="J106" s="7">
        <f t="shared" si="4"/>
        <v>775377.24659999995</v>
      </c>
      <c r="K106" s="7">
        <f t="shared" si="5"/>
        <v>5083028.6166000003</v>
      </c>
    </row>
    <row r="107" spans="1:11" x14ac:dyDescent="0.3">
      <c r="A107" s="35">
        <v>92</v>
      </c>
      <c r="B107" s="2" t="s">
        <v>2270</v>
      </c>
      <c r="C107" s="2" t="s">
        <v>2271</v>
      </c>
      <c r="D107" s="2" t="s">
        <v>1805</v>
      </c>
      <c r="E107" s="2">
        <v>20</v>
      </c>
      <c r="F107" s="32" t="s">
        <v>1</v>
      </c>
      <c r="G107" s="93">
        <v>1215614.7</v>
      </c>
      <c r="H107" s="2">
        <v>3</v>
      </c>
      <c r="I107" s="7">
        <f t="shared" si="3"/>
        <v>3646844.0999999996</v>
      </c>
      <c r="J107" s="7">
        <f t="shared" si="4"/>
        <v>656431.93799999997</v>
      </c>
      <c r="K107" s="7">
        <f t="shared" si="5"/>
        <v>4303276.0379999997</v>
      </c>
    </row>
    <row r="108" spans="1:11" x14ac:dyDescent="0.3">
      <c r="A108" s="35">
        <v>93</v>
      </c>
      <c r="B108" s="2" t="s">
        <v>3266</v>
      </c>
      <c r="C108" s="2" t="s">
        <v>3267</v>
      </c>
      <c r="D108" s="2" t="s">
        <v>3268</v>
      </c>
      <c r="E108" s="2">
        <v>40</v>
      </c>
      <c r="F108" s="32" t="s">
        <v>1</v>
      </c>
      <c r="G108" s="93">
        <v>1435883.79</v>
      </c>
      <c r="H108" s="2">
        <v>3</v>
      </c>
      <c r="I108" s="7">
        <f t="shared" si="3"/>
        <v>4307651.37</v>
      </c>
      <c r="J108" s="7">
        <f t="shared" si="4"/>
        <v>775377.24659999995</v>
      </c>
      <c r="K108" s="7">
        <f t="shared" si="5"/>
        <v>5083028.6166000003</v>
      </c>
    </row>
    <row r="109" spans="1:11" ht="15" customHeight="1" x14ac:dyDescent="0.3">
      <c r="A109" s="35">
        <v>94</v>
      </c>
      <c r="B109" s="2" t="s">
        <v>1007</v>
      </c>
      <c r="C109" s="2" t="s">
        <v>1008</v>
      </c>
      <c r="D109" s="2" t="s">
        <v>1009</v>
      </c>
      <c r="E109" s="2">
        <v>55</v>
      </c>
      <c r="F109" s="32" t="s">
        <v>1</v>
      </c>
      <c r="G109" s="93">
        <v>1744861.92</v>
      </c>
      <c r="H109" s="2">
        <v>3</v>
      </c>
      <c r="I109" s="7">
        <f t="shared" si="3"/>
        <v>5234585.76</v>
      </c>
      <c r="J109" s="7">
        <f t="shared" si="4"/>
        <v>942225.43679999991</v>
      </c>
      <c r="K109" s="7">
        <f t="shared" si="5"/>
        <v>6176811.1968</v>
      </c>
    </row>
    <row r="110" spans="1:11" ht="15" customHeight="1" x14ac:dyDescent="0.3">
      <c r="A110" s="35">
        <v>95</v>
      </c>
      <c r="B110" s="2" t="s">
        <v>2643</v>
      </c>
      <c r="C110" s="2" t="s">
        <v>2644</v>
      </c>
      <c r="D110" s="2" t="s">
        <v>2645</v>
      </c>
      <c r="E110" s="2">
        <v>57</v>
      </c>
      <c r="F110" s="32" t="s">
        <v>1</v>
      </c>
      <c r="G110" s="93">
        <v>1744861.92</v>
      </c>
      <c r="H110" s="2">
        <v>3</v>
      </c>
      <c r="I110" s="7">
        <f t="shared" si="3"/>
        <v>5234585.76</v>
      </c>
      <c r="J110" s="7">
        <f t="shared" si="4"/>
        <v>942225.43679999991</v>
      </c>
      <c r="K110" s="7">
        <f t="shared" si="5"/>
        <v>6176811.1968</v>
      </c>
    </row>
    <row r="111" spans="1:11" ht="15" customHeight="1" x14ac:dyDescent="0.3">
      <c r="A111" s="35">
        <v>96</v>
      </c>
      <c r="B111" s="2" t="s">
        <v>2902</v>
      </c>
      <c r="C111" s="2" t="s">
        <v>2903</v>
      </c>
      <c r="D111" s="2" t="s">
        <v>2904</v>
      </c>
      <c r="E111" s="2">
        <v>50</v>
      </c>
      <c r="F111" s="32" t="s">
        <v>1</v>
      </c>
      <c r="G111" s="93">
        <v>1744861.92</v>
      </c>
      <c r="H111" s="2">
        <v>3</v>
      </c>
      <c r="I111" s="7">
        <f t="shared" si="3"/>
        <v>5234585.76</v>
      </c>
      <c r="J111" s="7">
        <f t="shared" si="4"/>
        <v>942225.43679999991</v>
      </c>
      <c r="K111" s="7">
        <f t="shared" si="5"/>
        <v>6176811.1968</v>
      </c>
    </row>
    <row r="112" spans="1:11" ht="15" customHeight="1" x14ac:dyDescent="0.3">
      <c r="A112" s="35">
        <v>97</v>
      </c>
      <c r="B112" s="2" t="s">
        <v>2914</v>
      </c>
      <c r="C112" s="2" t="s">
        <v>2915</v>
      </c>
      <c r="D112" s="2" t="s">
        <v>2916</v>
      </c>
      <c r="E112" s="2">
        <v>45</v>
      </c>
      <c r="F112" s="32" t="s">
        <v>1</v>
      </c>
      <c r="G112" s="93">
        <v>1435883.79</v>
      </c>
      <c r="H112" s="2">
        <v>3</v>
      </c>
      <c r="I112" s="7">
        <f t="shared" si="3"/>
        <v>4307651.37</v>
      </c>
      <c r="J112" s="7">
        <f t="shared" si="4"/>
        <v>775377.24659999995</v>
      </c>
      <c r="K112" s="7">
        <f t="shared" si="5"/>
        <v>5083028.6166000003</v>
      </c>
    </row>
    <row r="113" spans="1:11" ht="15" customHeight="1" x14ac:dyDescent="0.3">
      <c r="A113" s="35">
        <v>98</v>
      </c>
      <c r="B113" s="2" t="s">
        <v>3347</v>
      </c>
      <c r="C113" s="2" t="s">
        <v>3348</v>
      </c>
      <c r="D113" s="2" t="s">
        <v>3349</v>
      </c>
      <c r="E113" s="2">
        <v>33</v>
      </c>
      <c r="F113" s="32" t="s">
        <v>1</v>
      </c>
      <c r="G113" s="93">
        <v>1435883.79</v>
      </c>
      <c r="H113" s="2">
        <v>3</v>
      </c>
      <c r="I113" s="7">
        <f t="shared" si="3"/>
        <v>4307651.37</v>
      </c>
      <c r="J113" s="7">
        <f t="shared" si="4"/>
        <v>775377.24659999995</v>
      </c>
      <c r="K113" s="7">
        <f t="shared" si="5"/>
        <v>5083028.6166000003</v>
      </c>
    </row>
    <row r="114" spans="1:11" ht="15" customHeight="1" x14ac:dyDescent="0.3">
      <c r="A114" s="35">
        <v>99</v>
      </c>
      <c r="B114" s="2" t="s">
        <v>1034</v>
      </c>
      <c r="C114" s="2" t="s">
        <v>1035</v>
      </c>
      <c r="D114" s="2" t="s">
        <v>1036</v>
      </c>
      <c r="E114" s="2">
        <v>60</v>
      </c>
      <c r="F114" s="32" t="s">
        <v>1</v>
      </c>
      <c r="G114" s="93">
        <v>1744861.92</v>
      </c>
      <c r="H114" s="2">
        <v>3</v>
      </c>
      <c r="I114" s="7">
        <f t="shared" si="3"/>
        <v>5234585.76</v>
      </c>
      <c r="J114" s="7">
        <f t="shared" si="4"/>
        <v>942225.43679999991</v>
      </c>
      <c r="K114" s="7">
        <f t="shared" si="5"/>
        <v>6176811.1968</v>
      </c>
    </row>
    <row r="115" spans="1:11" ht="15" customHeight="1" x14ac:dyDescent="0.3">
      <c r="A115" s="35">
        <v>100</v>
      </c>
      <c r="B115" s="2" t="s">
        <v>3245</v>
      </c>
      <c r="C115" s="2" t="s">
        <v>3246</v>
      </c>
      <c r="D115" s="2" t="s">
        <v>3247</v>
      </c>
      <c r="E115" s="2">
        <v>43</v>
      </c>
      <c r="F115" s="32" t="s">
        <v>1</v>
      </c>
      <c r="G115" s="93">
        <v>1435883.79</v>
      </c>
      <c r="H115" s="2">
        <v>3</v>
      </c>
      <c r="I115" s="7">
        <f t="shared" si="3"/>
        <v>4307651.37</v>
      </c>
      <c r="J115" s="7">
        <f t="shared" si="4"/>
        <v>775377.24659999995</v>
      </c>
      <c r="K115" s="7">
        <f t="shared" si="5"/>
        <v>5083028.6166000003</v>
      </c>
    </row>
    <row r="116" spans="1:11" x14ac:dyDescent="0.3">
      <c r="A116" s="35">
        <v>101</v>
      </c>
      <c r="B116" s="2" t="s">
        <v>2733</v>
      </c>
      <c r="C116" s="2" t="s">
        <v>2734</v>
      </c>
      <c r="D116" s="2" t="s">
        <v>2735</v>
      </c>
      <c r="E116" s="2">
        <v>62</v>
      </c>
      <c r="F116" s="32" t="s">
        <v>1</v>
      </c>
      <c r="G116" s="93">
        <v>1744861.92</v>
      </c>
      <c r="H116" s="2">
        <v>3</v>
      </c>
      <c r="I116" s="7">
        <f t="shared" si="3"/>
        <v>5234585.76</v>
      </c>
      <c r="J116" s="7">
        <f t="shared" si="4"/>
        <v>942225.43679999991</v>
      </c>
      <c r="K116" s="7">
        <f t="shared" si="5"/>
        <v>6176811.1968</v>
      </c>
    </row>
    <row r="117" spans="1:11" x14ac:dyDescent="0.3">
      <c r="A117" s="35">
        <v>102</v>
      </c>
      <c r="B117" s="2" t="s">
        <v>2848</v>
      </c>
      <c r="C117" s="2" t="s">
        <v>2849</v>
      </c>
      <c r="D117" s="2" t="s">
        <v>2850</v>
      </c>
      <c r="E117" s="2">
        <v>56</v>
      </c>
      <c r="F117" s="32" t="s">
        <v>1</v>
      </c>
      <c r="G117" s="93">
        <v>1744861.92</v>
      </c>
      <c r="H117" s="2">
        <v>3</v>
      </c>
      <c r="I117" s="7">
        <f t="shared" si="3"/>
        <v>5234585.76</v>
      </c>
      <c r="J117" s="7">
        <f t="shared" si="4"/>
        <v>942225.43679999991</v>
      </c>
      <c r="K117" s="7">
        <f t="shared" si="5"/>
        <v>6176811.1968</v>
      </c>
    </row>
    <row r="118" spans="1:11" ht="15" customHeight="1" x14ac:dyDescent="0.3">
      <c r="A118" s="35">
        <v>103</v>
      </c>
      <c r="B118" s="2" t="s">
        <v>3383</v>
      </c>
      <c r="C118" s="2" t="s">
        <v>3384</v>
      </c>
      <c r="D118" s="2" t="s">
        <v>3385</v>
      </c>
      <c r="E118" s="2">
        <v>55</v>
      </c>
      <c r="F118" s="32" t="s">
        <v>1</v>
      </c>
      <c r="G118" s="93">
        <v>1744861.92</v>
      </c>
      <c r="H118" s="2">
        <v>3</v>
      </c>
      <c r="I118" s="7">
        <f t="shared" si="3"/>
        <v>5234585.76</v>
      </c>
      <c r="J118" s="7">
        <f t="shared" si="4"/>
        <v>942225.43679999991</v>
      </c>
      <c r="K118" s="7">
        <f t="shared" si="5"/>
        <v>6176811.1968</v>
      </c>
    </row>
    <row r="119" spans="1:11" ht="15" customHeight="1" x14ac:dyDescent="0.3">
      <c r="A119" s="35">
        <v>104</v>
      </c>
      <c r="B119" s="2" t="s">
        <v>1067</v>
      </c>
      <c r="C119" s="2" t="s">
        <v>1068</v>
      </c>
      <c r="D119" s="2" t="s">
        <v>1069</v>
      </c>
      <c r="E119" s="2">
        <v>52</v>
      </c>
      <c r="F119" s="32" t="s">
        <v>1</v>
      </c>
      <c r="G119" s="93">
        <v>1744861.92</v>
      </c>
      <c r="H119" s="2">
        <v>3</v>
      </c>
      <c r="I119" s="7">
        <f t="shared" si="3"/>
        <v>5234585.76</v>
      </c>
      <c r="J119" s="7">
        <f t="shared" si="4"/>
        <v>942225.43679999991</v>
      </c>
      <c r="K119" s="7">
        <f t="shared" si="5"/>
        <v>6176811.1968</v>
      </c>
    </row>
    <row r="120" spans="1:11" ht="15" customHeight="1" x14ac:dyDescent="0.3">
      <c r="A120" s="35">
        <v>105</v>
      </c>
      <c r="B120" s="2" t="s">
        <v>896</v>
      </c>
      <c r="C120" s="2" t="s">
        <v>897</v>
      </c>
      <c r="D120" s="2" t="s">
        <v>898</v>
      </c>
      <c r="E120" s="2">
        <v>35</v>
      </c>
      <c r="F120" s="32" t="s">
        <v>1</v>
      </c>
      <c r="G120" s="93">
        <v>1435883.79</v>
      </c>
      <c r="H120" s="2">
        <v>3</v>
      </c>
      <c r="I120" s="7">
        <f t="shared" si="3"/>
        <v>4307651.37</v>
      </c>
      <c r="J120" s="7">
        <f t="shared" si="4"/>
        <v>775377.24659999995</v>
      </c>
      <c r="K120" s="7">
        <f t="shared" si="5"/>
        <v>5083028.6166000003</v>
      </c>
    </row>
    <row r="121" spans="1:11" x14ac:dyDescent="0.3">
      <c r="A121" s="35">
        <v>106</v>
      </c>
      <c r="B121" s="2" t="s">
        <v>638</v>
      </c>
      <c r="C121" s="2" t="s">
        <v>639</v>
      </c>
      <c r="D121" s="2" t="s">
        <v>640</v>
      </c>
      <c r="E121" s="2">
        <v>40</v>
      </c>
      <c r="F121" s="32" t="s">
        <v>1</v>
      </c>
      <c r="G121" s="93">
        <v>1435883.79</v>
      </c>
      <c r="H121" s="2">
        <v>3</v>
      </c>
      <c r="I121" s="7">
        <f t="shared" si="3"/>
        <v>4307651.37</v>
      </c>
      <c r="J121" s="7">
        <f t="shared" si="4"/>
        <v>775377.24659999995</v>
      </c>
      <c r="K121" s="7">
        <f t="shared" si="5"/>
        <v>5083028.6166000003</v>
      </c>
    </row>
    <row r="122" spans="1:11" x14ac:dyDescent="0.3">
      <c r="A122" s="35">
        <v>107</v>
      </c>
      <c r="B122" s="2" t="s">
        <v>641</v>
      </c>
      <c r="C122" s="2" t="s">
        <v>642</v>
      </c>
      <c r="D122" s="2" t="s">
        <v>643</v>
      </c>
      <c r="E122" s="2">
        <v>45</v>
      </c>
      <c r="F122" s="32" t="s">
        <v>1</v>
      </c>
      <c r="G122" s="93">
        <v>1435883.79</v>
      </c>
      <c r="H122" s="2">
        <v>3</v>
      </c>
      <c r="I122" s="7">
        <f t="shared" si="3"/>
        <v>4307651.37</v>
      </c>
      <c r="J122" s="7">
        <f t="shared" si="4"/>
        <v>775377.24659999995</v>
      </c>
      <c r="K122" s="7">
        <f t="shared" si="5"/>
        <v>5083028.6166000003</v>
      </c>
    </row>
    <row r="123" spans="1:11" ht="15" customHeight="1" x14ac:dyDescent="0.3">
      <c r="A123" s="35">
        <v>108</v>
      </c>
      <c r="B123" s="2" t="s">
        <v>2422</v>
      </c>
      <c r="C123" s="2" t="s">
        <v>2423</v>
      </c>
      <c r="D123" s="2" t="s">
        <v>2424</v>
      </c>
      <c r="E123" s="2">
        <v>26</v>
      </c>
      <c r="F123" s="32" t="s">
        <v>1</v>
      </c>
      <c r="G123" s="93">
        <v>1215614.7</v>
      </c>
      <c r="H123" s="2">
        <v>3</v>
      </c>
      <c r="I123" s="7">
        <f t="shared" si="3"/>
        <v>3646844.0999999996</v>
      </c>
      <c r="J123" s="7">
        <f t="shared" si="4"/>
        <v>656431.93799999997</v>
      </c>
      <c r="K123" s="7">
        <f t="shared" si="5"/>
        <v>4303276.0379999997</v>
      </c>
    </row>
    <row r="124" spans="1:11" ht="15" customHeight="1" x14ac:dyDescent="0.3">
      <c r="A124" s="35">
        <v>109</v>
      </c>
      <c r="B124" s="2" t="s">
        <v>2275</v>
      </c>
      <c r="C124" s="2" t="s">
        <v>2276</v>
      </c>
      <c r="D124" s="2" t="s">
        <v>2277</v>
      </c>
      <c r="E124" s="2">
        <v>23</v>
      </c>
      <c r="F124" s="32" t="s">
        <v>1</v>
      </c>
      <c r="G124" s="93">
        <v>1215614.7</v>
      </c>
      <c r="H124" s="2">
        <v>3</v>
      </c>
      <c r="I124" s="7">
        <f t="shared" si="3"/>
        <v>3646844.0999999996</v>
      </c>
      <c r="J124" s="7">
        <f t="shared" si="4"/>
        <v>656431.93799999997</v>
      </c>
      <c r="K124" s="7">
        <f t="shared" si="5"/>
        <v>4303276.0379999997</v>
      </c>
    </row>
    <row r="125" spans="1:11" ht="15" customHeight="1" x14ac:dyDescent="0.3">
      <c r="A125" s="35">
        <v>110</v>
      </c>
      <c r="B125" s="2" t="s">
        <v>2461</v>
      </c>
      <c r="C125" s="2" t="s">
        <v>2462</v>
      </c>
      <c r="D125" s="2" t="s">
        <v>2463</v>
      </c>
      <c r="E125" s="2">
        <v>25</v>
      </c>
      <c r="F125" s="32" t="s">
        <v>1</v>
      </c>
      <c r="G125" s="93">
        <v>1215614.7</v>
      </c>
      <c r="H125" s="2">
        <v>3</v>
      </c>
      <c r="I125" s="7">
        <f t="shared" si="3"/>
        <v>3646844.0999999996</v>
      </c>
      <c r="J125" s="7">
        <f t="shared" si="4"/>
        <v>656431.93799999997</v>
      </c>
      <c r="K125" s="7">
        <f t="shared" si="5"/>
        <v>4303276.0379999997</v>
      </c>
    </row>
    <row r="126" spans="1:11" x14ac:dyDescent="0.3">
      <c r="A126" s="35">
        <v>111</v>
      </c>
      <c r="B126" s="2" t="s">
        <v>2407</v>
      </c>
      <c r="C126" s="2" t="s">
        <v>2408</v>
      </c>
      <c r="D126" s="2" t="s">
        <v>2409</v>
      </c>
      <c r="E126" s="2">
        <v>33</v>
      </c>
      <c r="F126" s="32" t="s">
        <v>1</v>
      </c>
      <c r="G126" s="93">
        <v>1435883.79</v>
      </c>
      <c r="H126" s="2">
        <v>3</v>
      </c>
      <c r="I126" s="7">
        <f t="shared" si="3"/>
        <v>4307651.37</v>
      </c>
      <c r="J126" s="7">
        <f t="shared" si="4"/>
        <v>775377.24659999995</v>
      </c>
      <c r="K126" s="7">
        <f t="shared" si="5"/>
        <v>5083028.6166000003</v>
      </c>
    </row>
    <row r="127" spans="1:11" x14ac:dyDescent="0.3">
      <c r="A127" s="35">
        <v>112</v>
      </c>
      <c r="B127" s="2" t="s">
        <v>2428</v>
      </c>
      <c r="C127" s="2" t="s">
        <v>2429</v>
      </c>
      <c r="D127" s="2" t="s">
        <v>2430</v>
      </c>
      <c r="E127" s="2">
        <v>32</v>
      </c>
      <c r="F127" s="32" t="s">
        <v>1</v>
      </c>
      <c r="G127" s="93">
        <v>1215614.7</v>
      </c>
      <c r="H127" s="2">
        <v>3</v>
      </c>
      <c r="I127" s="7">
        <f t="shared" si="3"/>
        <v>3646844.0999999996</v>
      </c>
      <c r="J127" s="7">
        <f t="shared" si="4"/>
        <v>656431.93799999997</v>
      </c>
      <c r="K127" s="7">
        <f t="shared" si="5"/>
        <v>4303276.0379999997</v>
      </c>
    </row>
    <row r="128" spans="1:11" ht="15" customHeight="1" x14ac:dyDescent="0.3">
      <c r="A128" s="35">
        <v>113</v>
      </c>
      <c r="B128" s="2" t="s">
        <v>2437</v>
      </c>
      <c r="C128" s="2" t="s">
        <v>2438</v>
      </c>
      <c r="D128" s="2" t="s">
        <v>2439</v>
      </c>
      <c r="E128" s="2">
        <v>23</v>
      </c>
      <c r="F128" s="32" t="s">
        <v>1</v>
      </c>
      <c r="G128" s="93">
        <v>1215614.7</v>
      </c>
      <c r="H128" s="2">
        <v>3</v>
      </c>
      <c r="I128" s="7">
        <f t="shared" si="3"/>
        <v>3646844.0999999996</v>
      </c>
      <c r="J128" s="7">
        <f t="shared" si="4"/>
        <v>656431.93799999997</v>
      </c>
      <c r="K128" s="7">
        <f t="shared" si="5"/>
        <v>4303276.0379999997</v>
      </c>
    </row>
    <row r="129" spans="1:11" ht="15" customHeight="1" x14ac:dyDescent="0.3">
      <c r="A129" s="35">
        <v>114</v>
      </c>
      <c r="B129" s="2" t="s">
        <v>2464</v>
      </c>
      <c r="C129" s="2" t="s">
        <v>2465</v>
      </c>
      <c r="D129" s="2" t="s">
        <v>2466</v>
      </c>
      <c r="E129" s="2">
        <v>22</v>
      </c>
      <c r="F129" s="32" t="s">
        <v>1</v>
      </c>
      <c r="G129" s="93">
        <v>1215614.7</v>
      </c>
      <c r="H129" s="2">
        <v>3</v>
      </c>
      <c r="I129" s="7">
        <f t="shared" si="3"/>
        <v>3646844.0999999996</v>
      </c>
      <c r="J129" s="7">
        <f t="shared" si="4"/>
        <v>656431.93799999997</v>
      </c>
      <c r="K129" s="7">
        <f t="shared" si="5"/>
        <v>4303276.0379999997</v>
      </c>
    </row>
    <row r="130" spans="1:11" ht="15" customHeight="1" x14ac:dyDescent="0.3">
      <c r="A130" s="35">
        <v>115</v>
      </c>
      <c r="B130" s="2" t="s">
        <v>2923</v>
      </c>
      <c r="C130" s="2" t="s">
        <v>2924</v>
      </c>
      <c r="D130" s="2" t="s">
        <v>2925</v>
      </c>
      <c r="E130" s="2">
        <v>60</v>
      </c>
      <c r="F130" s="32" t="s">
        <v>1</v>
      </c>
      <c r="G130" s="93">
        <v>1744861.92</v>
      </c>
      <c r="H130" s="2">
        <v>3</v>
      </c>
      <c r="I130" s="7">
        <f t="shared" si="3"/>
        <v>5234585.76</v>
      </c>
      <c r="J130" s="7">
        <f t="shared" si="4"/>
        <v>942225.43679999991</v>
      </c>
      <c r="K130" s="7">
        <f t="shared" si="5"/>
        <v>6176811.1968</v>
      </c>
    </row>
    <row r="131" spans="1:11" x14ac:dyDescent="0.3">
      <c r="A131" s="35">
        <v>116</v>
      </c>
      <c r="B131" s="2" t="s">
        <v>2272</v>
      </c>
      <c r="C131" s="2" t="s">
        <v>2273</v>
      </c>
      <c r="D131" s="2" t="s">
        <v>2274</v>
      </c>
      <c r="E131" s="2">
        <v>56</v>
      </c>
      <c r="F131" s="32" t="s">
        <v>1</v>
      </c>
      <c r="G131" s="93">
        <v>1744861.92</v>
      </c>
      <c r="H131" s="2">
        <v>3</v>
      </c>
      <c r="I131" s="7">
        <f t="shared" si="3"/>
        <v>5234585.76</v>
      </c>
      <c r="J131" s="7">
        <f t="shared" si="4"/>
        <v>942225.43679999991</v>
      </c>
      <c r="K131" s="7">
        <f t="shared" si="5"/>
        <v>6176811.1968</v>
      </c>
    </row>
    <row r="132" spans="1:11" ht="15" customHeight="1" x14ac:dyDescent="0.3">
      <c r="A132" s="35">
        <v>117</v>
      </c>
      <c r="B132" s="2" t="s">
        <v>2929</v>
      </c>
      <c r="C132" s="2" t="s">
        <v>2930</v>
      </c>
      <c r="D132" s="2" t="s">
        <v>2931</v>
      </c>
      <c r="E132" s="2">
        <v>40</v>
      </c>
      <c r="F132" s="32" t="s">
        <v>1</v>
      </c>
      <c r="G132" s="93">
        <v>1435883.79</v>
      </c>
      <c r="H132" s="2">
        <v>3</v>
      </c>
      <c r="I132" s="7">
        <f t="shared" si="3"/>
        <v>4307651.37</v>
      </c>
      <c r="J132" s="7">
        <f t="shared" si="4"/>
        <v>775377.24659999995</v>
      </c>
      <c r="K132" s="7">
        <f t="shared" si="5"/>
        <v>5083028.6166000003</v>
      </c>
    </row>
    <row r="133" spans="1:11" ht="15" customHeight="1" x14ac:dyDescent="0.3">
      <c r="A133" s="35">
        <v>118</v>
      </c>
      <c r="B133" s="2" t="s">
        <v>2458</v>
      </c>
      <c r="C133" s="2" t="s">
        <v>2459</v>
      </c>
      <c r="D133" s="2" t="s">
        <v>2460</v>
      </c>
      <c r="E133" s="2">
        <v>9</v>
      </c>
      <c r="F133" s="32" t="s">
        <v>1</v>
      </c>
      <c r="G133" s="93">
        <v>895360</v>
      </c>
      <c r="H133" s="2">
        <v>3</v>
      </c>
      <c r="I133" s="7">
        <f t="shared" si="3"/>
        <v>2686080</v>
      </c>
      <c r="J133" s="7">
        <f t="shared" si="4"/>
        <v>483494.39999999997</v>
      </c>
      <c r="K133" s="7">
        <f t="shared" si="5"/>
        <v>3169574.4</v>
      </c>
    </row>
    <row r="134" spans="1:11" ht="15" customHeight="1" x14ac:dyDescent="0.3">
      <c r="A134" s="35">
        <v>119</v>
      </c>
      <c r="B134" s="2" t="s">
        <v>2748</v>
      </c>
      <c r="C134" s="2" t="s">
        <v>2749</v>
      </c>
      <c r="D134" s="2" t="s">
        <v>2750</v>
      </c>
      <c r="E134" s="2">
        <v>60</v>
      </c>
      <c r="F134" s="32" t="s">
        <v>1</v>
      </c>
      <c r="G134" s="93">
        <v>1744861.92</v>
      </c>
      <c r="H134" s="2">
        <v>3</v>
      </c>
      <c r="I134" s="7">
        <f t="shared" si="3"/>
        <v>5234585.76</v>
      </c>
      <c r="J134" s="7">
        <f t="shared" si="4"/>
        <v>942225.43679999991</v>
      </c>
      <c r="K134" s="7">
        <f t="shared" si="5"/>
        <v>6176811.1968</v>
      </c>
    </row>
    <row r="135" spans="1:11" ht="15" customHeight="1" x14ac:dyDescent="0.3">
      <c r="A135" s="35">
        <v>120</v>
      </c>
      <c r="B135" s="2" t="s">
        <v>2760</v>
      </c>
      <c r="C135" s="2" t="s">
        <v>2761</v>
      </c>
      <c r="D135" s="2" t="s">
        <v>2762</v>
      </c>
      <c r="E135" s="2">
        <v>57</v>
      </c>
      <c r="F135" s="32" t="s">
        <v>1</v>
      </c>
      <c r="G135" s="93">
        <v>1744861.92</v>
      </c>
      <c r="H135" s="2">
        <v>3</v>
      </c>
      <c r="I135" s="7">
        <f t="shared" si="3"/>
        <v>5234585.76</v>
      </c>
      <c r="J135" s="7">
        <f t="shared" si="4"/>
        <v>942225.43679999991</v>
      </c>
      <c r="K135" s="7">
        <f t="shared" si="5"/>
        <v>6176811.1968</v>
      </c>
    </row>
    <row r="136" spans="1:11" ht="15" customHeight="1" x14ac:dyDescent="0.3">
      <c r="A136" s="35">
        <v>121</v>
      </c>
      <c r="B136" s="2" t="s">
        <v>2317</v>
      </c>
      <c r="C136" s="2" t="s">
        <v>2318</v>
      </c>
      <c r="D136" s="2" t="s">
        <v>2319</v>
      </c>
      <c r="E136" s="2">
        <v>12</v>
      </c>
      <c r="F136" s="32" t="s">
        <v>1</v>
      </c>
      <c r="G136" s="93">
        <v>895360</v>
      </c>
      <c r="H136" s="2">
        <v>3</v>
      </c>
      <c r="I136" s="7">
        <f t="shared" si="3"/>
        <v>2686080</v>
      </c>
      <c r="J136" s="7">
        <f t="shared" si="4"/>
        <v>483494.39999999997</v>
      </c>
      <c r="K136" s="7">
        <f t="shared" si="5"/>
        <v>3169574.4</v>
      </c>
    </row>
    <row r="137" spans="1:11" x14ac:dyDescent="0.3">
      <c r="A137" s="35">
        <v>122</v>
      </c>
      <c r="B137" s="2" t="s">
        <v>2482</v>
      </c>
      <c r="C137" s="2" t="s">
        <v>2483</v>
      </c>
      <c r="D137" s="2" t="s">
        <v>2484</v>
      </c>
      <c r="E137" s="2">
        <v>7</v>
      </c>
      <c r="F137" s="32" t="s">
        <v>1</v>
      </c>
      <c r="G137" s="93">
        <v>895360</v>
      </c>
      <c r="H137" s="2">
        <v>3</v>
      </c>
      <c r="I137" s="7">
        <f t="shared" si="3"/>
        <v>2686080</v>
      </c>
      <c r="J137" s="7">
        <f t="shared" si="4"/>
        <v>483494.39999999997</v>
      </c>
      <c r="K137" s="7">
        <f t="shared" si="5"/>
        <v>3169574.4</v>
      </c>
    </row>
    <row r="138" spans="1:11" x14ac:dyDescent="0.3">
      <c r="A138" s="35">
        <v>123</v>
      </c>
      <c r="B138" s="2" t="s">
        <v>2602</v>
      </c>
      <c r="C138" s="2" t="s">
        <v>2603</v>
      </c>
      <c r="D138" s="2" t="s">
        <v>2604</v>
      </c>
      <c r="E138" s="2">
        <v>8</v>
      </c>
      <c r="F138" s="32" t="s">
        <v>1</v>
      </c>
      <c r="G138" s="93">
        <v>895360</v>
      </c>
      <c r="H138" s="2">
        <v>3</v>
      </c>
      <c r="I138" s="7">
        <f t="shared" si="3"/>
        <v>2686080</v>
      </c>
      <c r="J138" s="7">
        <f t="shared" si="4"/>
        <v>483494.39999999997</v>
      </c>
      <c r="K138" s="7">
        <f t="shared" si="5"/>
        <v>3169574.4</v>
      </c>
    </row>
    <row r="139" spans="1:11" x14ac:dyDescent="0.3">
      <c r="A139" s="35">
        <v>124</v>
      </c>
      <c r="B139" s="2" t="s">
        <v>3317</v>
      </c>
      <c r="C139" s="2" t="s">
        <v>3318</v>
      </c>
      <c r="D139" s="2" t="s">
        <v>3319</v>
      </c>
      <c r="E139" s="2">
        <v>10</v>
      </c>
      <c r="F139" s="32" t="s">
        <v>1</v>
      </c>
      <c r="G139" s="93">
        <v>895360</v>
      </c>
      <c r="H139" s="2">
        <v>3</v>
      </c>
      <c r="I139" s="7">
        <f t="shared" si="3"/>
        <v>2686080</v>
      </c>
      <c r="J139" s="7">
        <f t="shared" si="4"/>
        <v>483494.39999999997</v>
      </c>
      <c r="K139" s="7">
        <f t="shared" si="5"/>
        <v>3169574.4</v>
      </c>
    </row>
    <row r="140" spans="1:11" x14ac:dyDescent="0.3">
      <c r="A140" s="35">
        <v>125</v>
      </c>
      <c r="B140" s="2" t="s">
        <v>2278</v>
      </c>
      <c r="C140" s="2" t="s">
        <v>2279</v>
      </c>
      <c r="D140" s="2" t="s">
        <v>2280</v>
      </c>
      <c r="E140" s="2">
        <v>3</v>
      </c>
      <c r="F140" s="32" t="s">
        <v>1</v>
      </c>
      <c r="G140" s="93">
        <v>895360</v>
      </c>
      <c r="H140" s="2">
        <v>3</v>
      </c>
      <c r="I140" s="7">
        <f t="shared" si="3"/>
        <v>2686080</v>
      </c>
      <c r="J140" s="7">
        <f t="shared" si="4"/>
        <v>483494.39999999997</v>
      </c>
      <c r="K140" s="7">
        <f t="shared" si="5"/>
        <v>3169574.4</v>
      </c>
    </row>
    <row r="141" spans="1:11" x14ac:dyDescent="0.3">
      <c r="A141" s="35">
        <v>126</v>
      </c>
      <c r="B141" s="2" t="s">
        <v>3326</v>
      </c>
      <c r="C141" s="2" t="s">
        <v>3327</v>
      </c>
      <c r="D141" s="2" t="s">
        <v>3328</v>
      </c>
      <c r="E141" s="2">
        <v>35</v>
      </c>
      <c r="F141" s="32" t="s">
        <v>1</v>
      </c>
      <c r="G141" s="93">
        <v>1435883.79</v>
      </c>
      <c r="H141" s="2">
        <v>3</v>
      </c>
      <c r="I141" s="7">
        <f t="shared" si="3"/>
        <v>4307651.37</v>
      </c>
      <c r="J141" s="7">
        <f t="shared" si="4"/>
        <v>775377.24659999995</v>
      </c>
      <c r="K141" s="7">
        <f t="shared" si="5"/>
        <v>5083028.6166000003</v>
      </c>
    </row>
    <row r="142" spans="1:11" x14ac:dyDescent="0.3">
      <c r="A142" s="35">
        <v>127</v>
      </c>
      <c r="B142" s="2" t="s">
        <v>2959</v>
      </c>
      <c r="C142" s="2" t="s">
        <v>2960</v>
      </c>
      <c r="D142" s="2" t="s">
        <v>2961</v>
      </c>
      <c r="E142" s="2">
        <v>6</v>
      </c>
      <c r="F142" s="32" t="s">
        <v>1</v>
      </c>
      <c r="G142" s="93">
        <v>895360</v>
      </c>
      <c r="H142" s="2">
        <v>3</v>
      </c>
      <c r="I142" s="7">
        <f t="shared" si="3"/>
        <v>2686080</v>
      </c>
      <c r="J142" s="7">
        <f t="shared" si="4"/>
        <v>483494.39999999997</v>
      </c>
      <c r="K142" s="7">
        <f t="shared" si="5"/>
        <v>3169574.4</v>
      </c>
    </row>
    <row r="143" spans="1:11" x14ac:dyDescent="0.3">
      <c r="A143" s="35">
        <v>128</v>
      </c>
      <c r="B143" s="2" t="s">
        <v>2287</v>
      </c>
      <c r="C143" s="2" t="s">
        <v>2288</v>
      </c>
      <c r="D143" s="2" t="s">
        <v>2289</v>
      </c>
      <c r="E143" s="2">
        <v>17</v>
      </c>
      <c r="F143" s="32" t="s">
        <v>1</v>
      </c>
      <c r="G143" s="93">
        <v>895360</v>
      </c>
      <c r="H143" s="2">
        <v>3</v>
      </c>
      <c r="I143" s="7">
        <f t="shared" si="3"/>
        <v>2686080</v>
      </c>
      <c r="J143" s="7">
        <f t="shared" si="4"/>
        <v>483494.39999999997</v>
      </c>
      <c r="K143" s="7">
        <f t="shared" si="5"/>
        <v>3169574.4</v>
      </c>
    </row>
    <row r="144" spans="1:11" x14ac:dyDescent="0.3">
      <c r="A144" s="35">
        <v>129</v>
      </c>
      <c r="B144" s="2" t="s">
        <v>2302</v>
      </c>
      <c r="C144" s="2" t="s">
        <v>2303</v>
      </c>
      <c r="D144" s="2" t="s">
        <v>2304</v>
      </c>
      <c r="E144" s="2">
        <v>4</v>
      </c>
      <c r="F144" s="32" t="s">
        <v>1</v>
      </c>
      <c r="G144" s="93">
        <v>895360</v>
      </c>
      <c r="H144" s="2">
        <v>3</v>
      </c>
      <c r="I144" s="7">
        <f t="shared" si="3"/>
        <v>2686080</v>
      </c>
      <c r="J144" s="7">
        <f t="shared" si="4"/>
        <v>483494.39999999997</v>
      </c>
      <c r="K144" s="7">
        <f t="shared" si="5"/>
        <v>3169574.4</v>
      </c>
    </row>
    <row r="145" spans="1:11" x14ac:dyDescent="0.3">
      <c r="A145" s="35">
        <v>130</v>
      </c>
      <c r="B145" s="2" t="s">
        <v>2977</v>
      </c>
      <c r="C145" s="2" t="s">
        <v>2978</v>
      </c>
      <c r="D145" s="2" t="s">
        <v>2979</v>
      </c>
      <c r="E145" s="2">
        <v>26</v>
      </c>
      <c r="F145" s="32" t="s">
        <v>1</v>
      </c>
      <c r="G145" s="93">
        <v>1215614.7</v>
      </c>
      <c r="H145" s="2">
        <v>3</v>
      </c>
      <c r="I145" s="7">
        <f t="shared" ref="I145:I208" si="6">+G145*H145</f>
        <v>3646844.0999999996</v>
      </c>
      <c r="J145" s="7">
        <f t="shared" ref="J145:J208" si="7">+I145*0.18</f>
        <v>656431.93799999997</v>
      </c>
      <c r="K145" s="7">
        <f t="shared" ref="K145:K208" si="8">+I145+J145</f>
        <v>4303276.0379999997</v>
      </c>
    </row>
    <row r="146" spans="1:11" x14ac:dyDescent="0.3">
      <c r="A146" s="35">
        <v>131</v>
      </c>
      <c r="B146" s="2" t="s">
        <v>3004</v>
      </c>
      <c r="C146" s="2" t="s">
        <v>3005</v>
      </c>
      <c r="D146" s="2" t="s">
        <v>3006</v>
      </c>
      <c r="E146" s="2">
        <v>22</v>
      </c>
      <c r="F146" s="32" t="s">
        <v>1</v>
      </c>
      <c r="G146" s="93">
        <v>1215614.7</v>
      </c>
      <c r="H146" s="2">
        <v>3</v>
      </c>
      <c r="I146" s="7">
        <f t="shared" si="6"/>
        <v>3646844.0999999996</v>
      </c>
      <c r="J146" s="7">
        <f t="shared" si="7"/>
        <v>656431.93799999997</v>
      </c>
      <c r="K146" s="7">
        <f t="shared" si="8"/>
        <v>4303276.0379999997</v>
      </c>
    </row>
    <row r="147" spans="1:11" x14ac:dyDescent="0.3">
      <c r="A147" s="35">
        <v>132</v>
      </c>
      <c r="B147" s="2" t="s">
        <v>2365</v>
      </c>
      <c r="C147" s="2" t="s">
        <v>2366</v>
      </c>
      <c r="D147" s="2" t="s">
        <v>2367</v>
      </c>
      <c r="E147" s="2">
        <v>10</v>
      </c>
      <c r="F147" s="32" t="s">
        <v>1</v>
      </c>
      <c r="G147" s="93">
        <v>895360</v>
      </c>
      <c r="H147" s="2">
        <v>3</v>
      </c>
      <c r="I147" s="7">
        <f t="shared" si="6"/>
        <v>2686080</v>
      </c>
      <c r="J147" s="7">
        <f t="shared" si="7"/>
        <v>483494.39999999997</v>
      </c>
      <c r="K147" s="7">
        <f t="shared" si="8"/>
        <v>3169574.4</v>
      </c>
    </row>
    <row r="148" spans="1:11" x14ac:dyDescent="0.3">
      <c r="A148" s="35">
        <v>133</v>
      </c>
      <c r="B148" s="2" t="s">
        <v>3275</v>
      </c>
      <c r="C148" s="2" t="s">
        <v>3276</v>
      </c>
      <c r="D148" s="2" t="s">
        <v>3277</v>
      </c>
      <c r="E148" s="2">
        <v>16</v>
      </c>
      <c r="F148" s="32" t="s">
        <v>1</v>
      </c>
      <c r="G148" s="93">
        <v>895360</v>
      </c>
      <c r="H148" s="2">
        <v>3</v>
      </c>
      <c r="I148" s="7">
        <f t="shared" si="6"/>
        <v>2686080</v>
      </c>
      <c r="J148" s="7">
        <f t="shared" si="7"/>
        <v>483494.39999999997</v>
      </c>
      <c r="K148" s="7">
        <f t="shared" si="8"/>
        <v>3169574.4</v>
      </c>
    </row>
    <row r="149" spans="1:11" x14ac:dyDescent="0.3">
      <c r="A149" s="35">
        <v>134</v>
      </c>
      <c r="B149" s="2" t="s">
        <v>3308</v>
      </c>
      <c r="C149" s="2" t="s">
        <v>3309</v>
      </c>
      <c r="D149" s="2" t="s">
        <v>3310</v>
      </c>
      <c r="E149" s="2">
        <v>12</v>
      </c>
      <c r="F149" s="32" t="s">
        <v>1</v>
      </c>
      <c r="G149" s="93">
        <v>895360</v>
      </c>
      <c r="H149" s="2">
        <v>3</v>
      </c>
      <c r="I149" s="7">
        <f t="shared" si="6"/>
        <v>2686080</v>
      </c>
      <c r="J149" s="7">
        <f t="shared" si="7"/>
        <v>483494.39999999997</v>
      </c>
      <c r="K149" s="7">
        <f t="shared" si="8"/>
        <v>3169574.4</v>
      </c>
    </row>
    <row r="150" spans="1:11" x14ac:dyDescent="0.3">
      <c r="A150" s="35">
        <v>135</v>
      </c>
      <c r="B150" s="2" t="s">
        <v>2368</v>
      </c>
      <c r="C150" s="2" t="s">
        <v>2369</v>
      </c>
      <c r="D150" s="2" t="s">
        <v>2370</v>
      </c>
      <c r="E150" s="2">
        <v>8</v>
      </c>
      <c r="F150" s="32" t="s">
        <v>1</v>
      </c>
      <c r="G150" s="93">
        <v>895360</v>
      </c>
      <c r="H150" s="2">
        <v>3</v>
      </c>
      <c r="I150" s="7">
        <f t="shared" si="6"/>
        <v>2686080</v>
      </c>
      <c r="J150" s="7">
        <f t="shared" si="7"/>
        <v>483494.39999999997</v>
      </c>
      <c r="K150" s="7">
        <f t="shared" si="8"/>
        <v>3169574.4</v>
      </c>
    </row>
    <row r="151" spans="1:11" x14ac:dyDescent="0.3">
      <c r="A151" s="35">
        <v>136</v>
      </c>
      <c r="B151" s="2" t="s">
        <v>3389</v>
      </c>
      <c r="C151" s="2" t="s">
        <v>3390</v>
      </c>
      <c r="D151" s="2" t="s">
        <v>3391</v>
      </c>
      <c r="E151" s="2">
        <v>25</v>
      </c>
      <c r="F151" s="32" t="s">
        <v>1</v>
      </c>
      <c r="G151" s="93">
        <v>1215614.7</v>
      </c>
      <c r="H151" s="2">
        <v>3</v>
      </c>
      <c r="I151" s="7">
        <f t="shared" si="6"/>
        <v>3646844.0999999996</v>
      </c>
      <c r="J151" s="7">
        <f t="shared" si="7"/>
        <v>656431.93799999997</v>
      </c>
      <c r="K151" s="7">
        <f t="shared" si="8"/>
        <v>4303276.0379999997</v>
      </c>
    </row>
    <row r="152" spans="1:11" x14ac:dyDescent="0.3">
      <c r="A152" s="35">
        <v>137</v>
      </c>
      <c r="B152" s="2" t="s">
        <v>2314</v>
      </c>
      <c r="C152" s="2" t="s">
        <v>2315</v>
      </c>
      <c r="D152" s="2" t="s">
        <v>2316</v>
      </c>
      <c r="E152" s="2">
        <v>6</v>
      </c>
      <c r="F152" s="32" t="s">
        <v>1</v>
      </c>
      <c r="G152" s="93">
        <v>895360</v>
      </c>
      <c r="H152" s="2">
        <v>3</v>
      </c>
      <c r="I152" s="7">
        <f t="shared" si="6"/>
        <v>2686080</v>
      </c>
      <c r="J152" s="7">
        <f t="shared" si="7"/>
        <v>483494.39999999997</v>
      </c>
      <c r="K152" s="7">
        <f t="shared" si="8"/>
        <v>3169574.4</v>
      </c>
    </row>
    <row r="153" spans="1:11" x14ac:dyDescent="0.3">
      <c r="A153" s="35">
        <v>138</v>
      </c>
      <c r="B153" s="2" t="s">
        <v>2584</v>
      </c>
      <c r="C153" s="2" t="s">
        <v>2585</v>
      </c>
      <c r="D153" s="2" t="s">
        <v>2586</v>
      </c>
      <c r="E153" s="2">
        <v>22</v>
      </c>
      <c r="F153" s="32" t="s">
        <v>1</v>
      </c>
      <c r="G153" s="93">
        <v>1215614.7</v>
      </c>
      <c r="H153" s="2">
        <v>3</v>
      </c>
      <c r="I153" s="7">
        <f t="shared" si="6"/>
        <v>3646844.0999999996</v>
      </c>
      <c r="J153" s="7">
        <f t="shared" si="7"/>
        <v>656431.93799999997</v>
      </c>
      <c r="K153" s="7">
        <f t="shared" si="8"/>
        <v>4303276.0379999997</v>
      </c>
    </row>
    <row r="154" spans="1:11" x14ac:dyDescent="0.3">
      <c r="A154" s="35">
        <v>139</v>
      </c>
      <c r="B154" s="2" t="s">
        <v>2614</v>
      </c>
      <c r="C154" s="2" t="s">
        <v>2615</v>
      </c>
      <c r="D154" s="2" t="s">
        <v>2616</v>
      </c>
      <c r="E154" s="2">
        <v>31</v>
      </c>
      <c r="F154" s="32" t="s">
        <v>1</v>
      </c>
      <c r="G154" s="93">
        <v>1215614.7</v>
      </c>
      <c r="H154" s="2">
        <v>3</v>
      </c>
      <c r="I154" s="7">
        <f t="shared" si="6"/>
        <v>3646844.0999999996</v>
      </c>
      <c r="J154" s="7">
        <f t="shared" si="7"/>
        <v>656431.93799999997</v>
      </c>
      <c r="K154" s="7">
        <f t="shared" si="8"/>
        <v>4303276.0379999997</v>
      </c>
    </row>
    <row r="155" spans="1:11" x14ac:dyDescent="0.3">
      <c r="A155" s="35">
        <v>140</v>
      </c>
      <c r="B155" s="2" t="s">
        <v>2380</v>
      </c>
      <c r="C155" s="2" t="s">
        <v>2381</v>
      </c>
      <c r="D155" s="2" t="s">
        <v>2382</v>
      </c>
      <c r="E155" s="2">
        <v>7</v>
      </c>
      <c r="F155" s="32" t="s">
        <v>1</v>
      </c>
      <c r="G155" s="93">
        <v>895360</v>
      </c>
      <c r="H155" s="2">
        <v>3</v>
      </c>
      <c r="I155" s="7">
        <f t="shared" si="6"/>
        <v>2686080</v>
      </c>
      <c r="J155" s="7">
        <f t="shared" si="7"/>
        <v>483494.39999999997</v>
      </c>
      <c r="K155" s="7">
        <f t="shared" si="8"/>
        <v>3169574.4</v>
      </c>
    </row>
    <row r="156" spans="1:11" x14ac:dyDescent="0.3">
      <c r="A156" s="35">
        <v>141</v>
      </c>
      <c r="B156" s="2" t="s">
        <v>3170</v>
      </c>
      <c r="C156" s="2" t="s">
        <v>3171</v>
      </c>
      <c r="D156" s="2" t="s">
        <v>3172</v>
      </c>
      <c r="E156" s="2">
        <v>6</v>
      </c>
      <c r="F156" s="32" t="s">
        <v>1</v>
      </c>
      <c r="G156" s="93">
        <v>895360</v>
      </c>
      <c r="H156" s="2">
        <v>3</v>
      </c>
      <c r="I156" s="7">
        <f t="shared" si="6"/>
        <v>2686080</v>
      </c>
      <c r="J156" s="7">
        <f t="shared" si="7"/>
        <v>483494.39999999997</v>
      </c>
      <c r="K156" s="7">
        <f t="shared" si="8"/>
        <v>3169574.4</v>
      </c>
    </row>
    <row r="157" spans="1:11" x14ac:dyDescent="0.3">
      <c r="A157" s="35">
        <v>142</v>
      </c>
      <c r="B157" s="2" t="s">
        <v>2881</v>
      </c>
      <c r="C157" s="2" t="s">
        <v>2882</v>
      </c>
      <c r="D157" s="2" t="s">
        <v>2883</v>
      </c>
      <c r="E157" s="2">
        <v>68</v>
      </c>
      <c r="F157" s="32" t="s">
        <v>1</v>
      </c>
      <c r="G157" s="93">
        <v>1744861.92</v>
      </c>
      <c r="H157" s="2">
        <v>3</v>
      </c>
      <c r="I157" s="7">
        <f t="shared" si="6"/>
        <v>5234585.76</v>
      </c>
      <c r="J157" s="7">
        <f t="shared" si="7"/>
        <v>942225.43679999991</v>
      </c>
      <c r="K157" s="7">
        <f t="shared" si="8"/>
        <v>6176811.1968</v>
      </c>
    </row>
    <row r="158" spans="1:11" x14ac:dyDescent="0.3">
      <c r="A158" s="35">
        <v>143</v>
      </c>
      <c r="B158" s="2" t="s">
        <v>2371</v>
      </c>
      <c r="C158" s="2" t="s">
        <v>2372</v>
      </c>
      <c r="D158" s="2" t="s">
        <v>2373</v>
      </c>
      <c r="E158" s="2">
        <v>5</v>
      </c>
      <c r="F158" s="32" t="s">
        <v>1</v>
      </c>
      <c r="G158" s="93">
        <v>895360</v>
      </c>
      <c r="H158" s="2">
        <v>3</v>
      </c>
      <c r="I158" s="7">
        <f t="shared" si="6"/>
        <v>2686080</v>
      </c>
      <c r="J158" s="7">
        <f t="shared" si="7"/>
        <v>483494.39999999997</v>
      </c>
      <c r="K158" s="7">
        <f t="shared" si="8"/>
        <v>3169574.4</v>
      </c>
    </row>
    <row r="159" spans="1:11" x14ac:dyDescent="0.3">
      <c r="A159" s="35">
        <v>144</v>
      </c>
      <c r="B159" s="2" t="s">
        <v>3350</v>
      </c>
      <c r="C159" s="2" t="s">
        <v>3351</v>
      </c>
      <c r="D159" s="2" t="s">
        <v>3352</v>
      </c>
      <c r="E159" s="2">
        <v>9</v>
      </c>
      <c r="F159" s="32" t="s">
        <v>1</v>
      </c>
      <c r="G159" s="93">
        <v>895360</v>
      </c>
      <c r="H159" s="2">
        <v>3</v>
      </c>
      <c r="I159" s="7">
        <f t="shared" si="6"/>
        <v>2686080</v>
      </c>
      <c r="J159" s="7">
        <f t="shared" si="7"/>
        <v>483494.39999999997</v>
      </c>
      <c r="K159" s="7">
        <f t="shared" si="8"/>
        <v>3169574.4</v>
      </c>
    </row>
    <row r="160" spans="1:11" x14ac:dyDescent="0.3">
      <c r="A160" s="35">
        <v>145</v>
      </c>
      <c r="B160" s="2" t="s">
        <v>2971</v>
      </c>
      <c r="C160" s="2" t="s">
        <v>2972</v>
      </c>
      <c r="D160" s="2" t="s">
        <v>2973</v>
      </c>
      <c r="E160" s="2">
        <v>6</v>
      </c>
      <c r="F160" s="32" t="s">
        <v>1</v>
      </c>
      <c r="G160" s="93">
        <v>895360</v>
      </c>
      <c r="H160" s="2">
        <v>3</v>
      </c>
      <c r="I160" s="7">
        <f t="shared" si="6"/>
        <v>2686080</v>
      </c>
      <c r="J160" s="7">
        <f t="shared" si="7"/>
        <v>483494.39999999997</v>
      </c>
      <c r="K160" s="7">
        <f t="shared" si="8"/>
        <v>3169574.4</v>
      </c>
    </row>
    <row r="161" spans="1:11" x14ac:dyDescent="0.3">
      <c r="A161" s="35">
        <v>146</v>
      </c>
      <c r="B161" s="2" t="s">
        <v>2335</v>
      </c>
      <c r="C161" s="2" t="s">
        <v>2336</v>
      </c>
      <c r="D161" s="2" t="s">
        <v>2337</v>
      </c>
      <c r="E161" s="2">
        <v>7</v>
      </c>
      <c r="F161" s="32" t="s">
        <v>1</v>
      </c>
      <c r="G161" s="93">
        <v>895360</v>
      </c>
      <c r="H161" s="2">
        <v>3</v>
      </c>
      <c r="I161" s="7">
        <f t="shared" si="6"/>
        <v>2686080</v>
      </c>
      <c r="J161" s="7">
        <f t="shared" si="7"/>
        <v>483494.39999999997</v>
      </c>
      <c r="K161" s="7">
        <f t="shared" si="8"/>
        <v>3169574.4</v>
      </c>
    </row>
    <row r="162" spans="1:11" x14ac:dyDescent="0.3">
      <c r="A162" s="35">
        <v>147</v>
      </c>
      <c r="B162" s="2" t="s">
        <v>2320</v>
      </c>
      <c r="C162" s="2" t="s">
        <v>2321</v>
      </c>
      <c r="D162" s="2" t="s">
        <v>2322</v>
      </c>
      <c r="E162" s="2">
        <v>3</v>
      </c>
      <c r="F162" s="32" t="s">
        <v>1</v>
      </c>
      <c r="G162" s="93">
        <v>895360</v>
      </c>
      <c r="H162" s="2">
        <v>3</v>
      </c>
      <c r="I162" s="7">
        <f t="shared" si="6"/>
        <v>2686080</v>
      </c>
      <c r="J162" s="7">
        <f t="shared" si="7"/>
        <v>483494.39999999997</v>
      </c>
      <c r="K162" s="7">
        <f t="shared" si="8"/>
        <v>3169574.4</v>
      </c>
    </row>
    <row r="163" spans="1:11" x14ac:dyDescent="0.3">
      <c r="A163" s="35">
        <v>148</v>
      </c>
      <c r="B163" s="2" t="s">
        <v>2389</v>
      </c>
      <c r="C163" s="2" t="s">
        <v>2390</v>
      </c>
      <c r="D163" s="2" t="s">
        <v>2391</v>
      </c>
      <c r="E163" s="2">
        <v>3</v>
      </c>
      <c r="F163" s="32" t="s">
        <v>1</v>
      </c>
      <c r="G163" s="93">
        <v>895360</v>
      </c>
      <c r="H163" s="2">
        <v>3</v>
      </c>
      <c r="I163" s="7">
        <f t="shared" si="6"/>
        <v>2686080</v>
      </c>
      <c r="J163" s="7">
        <f t="shared" si="7"/>
        <v>483494.39999999997</v>
      </c>
      <c r="K163" s="7">
        <f t="shared" si="8"/>
        <v>3169574.4</v>
      </c>
    </row>
    <row r="164" spans="1:11" x14ac:dyDescent="0.3">
      <c r="A164" s="35">
        <v>149</v>
      </c>
      <c r="B164" s="2" t="s">
        <v>3311</v>
      </c>
      <c r="C164" s="2" t="s">
        <v>3312</v>
      </c>
      <c r="D164" s="2" t="s">
        <v>3313</v>
      </c>
      <c r="E164" s="2">
        <v>50</v>
      </c>
      <c r="F164" s="32" t="s">
        <v>1</v>
      </c>
      <c r="G164" s="93">
        <v>1744861.92</v>
      </c>
      <c r="H164" s="2">
        <v>3</v>
      </c>
      <c r="I164" s="7">
        <f t="shared" si="6"/>
        <v>5234585.76</v>
      </c>
      <c r="J164" s="7">
        <f t="shared" si="7"/>
        <v>942225.43679999991</v>
      </c>
      <c r="K164" s="7">
        <f t="shared" si="8"/>
        <v>6176811.1968</v>
      </c>
    </row>
    <row r="165" spans="1:11" x14ac:dyDescent="0.3">
      <c r="A165" s="35">
        <v>150</v>
      </c>
      <c r="B165" s="2" t="s">
        <v>2579</v>
      </c>
      <c r="C165" s="2" t="s">
        <v>2580</v>
      </c>
      <c r="D165" s="2" t="s">
        <v>2581</v>
      </c>
      <c r="E165" s="2">
        <v>6</v>
      </c>
      <c r="F165" s="32" t="s">
        <v>1</v>
      </c>
      <c r="G165" s="93">
        <v>895360</v>
      </c>
      <c r="H165" s="2">
        <v>3</v>
      </c>
      <c r="I165" s="7">
        <f t="shared" si="6"/>
        <v>2686080</v>
      </c>
      <c r="J165" s="7">
        <f t="shared" si="7"/>
        <v>483494.39999999997</v>
      </c>
      <c r="K165" s="7">
        <f t="shared" si="8"/>
        <v>3169574.4</v>
      </c>
    </row>
    <row r="166" spans="1:11" x14ac:dyDescent="0.3">
      <c r="A166" s="35">
        <v>151</v>
      </c>
      <c r="B166" s="2" t="s">
        <v>3278</v>
      </c>
      <c r="C166" s="2" t="s">
        <v>3279</v>
      </c>
      <c r="D166" s="2" t="s">
        <v>3280</v>
      </c>
      <c r="E166" s="2">
        <v>6</v>
      </c>
      <c r="F166" s="32" t="s">
        <v>1</v>
      </c>
      <c r="G166" s="93">
        <v>895360</v>
      </c>
      <c r="H166" s="2">
        <v>3</v>
      </c>
      <c r="I166" s="7">
        <f t="shared" si="6"/>
        <v>2686080</v>
      </c>
      <c r="J166" s="7">
        <f t="shared" si="7"/>
        <v>483494.39999999997</v>
      </c>
      <c r="K166" s="7">
        <f t="shared" si="8"/>
        <v>3169574.4</v>
      </c>
    </row>
    <row r="167" spans="1:11" x14ac:dyDescent="0.3">
      <c r="A167" s="35">
        <v>152</v>
      </c>
      <c r="B167" s="2" t="s">
        <v>2332</v>
      </c>
      <c r="C167" s="2" t="s">
        <v>2333</v>
      </c>
      <c r="D167" s="2" t="s">
        <v>2334</v>
      </c>
      <c r="E167" s="2">
        <v>3</v>
      </c>
      <c r="F167" s="32" t="s">
        <v>1</v>
      </c>
      <c r="G167" s="93">
        <v>895360</v>
      </c>
      <c r="H167" s="2">
        <v>3</v>
      </c>
      <c r="I167" s="7">
        <f t="shared" si="6"/>
        <v>2686080</v>
      </c>
      <c r="J167" s="7">
        <f t="shared" si="7"/>
        <v>483494.39999999997</v>
      </c>
      <c r="K167" s="7">
        <f t="shared" si="8"/>
        <v>3169574.4</v>
      </c>
    </row>
    <row r="168" spans="1:11" x14ac:dyDescent="0.3">
      <c r="A168" s="35">
        <v>153</v>
      </c>
      <c r="B168" s="2" t="s">
        <v>2587</v>
      </c>
      <c r="C168" s="2" t="s">
        <v>2588</v>
      </c>
      <c r="D168" s="2" t="s">
        <v>2589</v>
      </c>
      <c r="E168" s="2">
        <v>33</v>
      </c>
      <c r="F168" s="32" t="s">
        <v>1</v>
      </c>
      <c r="G168" s="93">
        <v>1435883.79</v>
      </c>
      <c r="H168" s="2">
        <v>3</v>
      </c>
      <c r="I168" s="7">
        <f t="shared" si="6"/>
        <v>4307651.37</v>
      </c>
      <c r="J168" s="7">
        <f t="shared" si="7"/>
        <v>775377.24659999995</v>
      </c>
      <c r="K168" s="7">
        <f t="shared" si="8"/>
        <v>5083028.6166000003</v>
      </c>
    </row>
    <row r="169" spans="1:11" x14ac:dyDescent="0.3">
      <c r="A169" s="35">
        <v>154</v>
      </c>
      <c r="B169" s="2" t="s">
        <v>2500</v>
      </c>
      <c r="C169" s="2" t="s">
        <v>2501</v>
      </c>
      <c r="D169" s="2" t="s">
        <v>2502</v>
      </c>
      <c r="E169" s="2">
        <v>20</v>
      </c>
      <c r="F169" s="32" t="s">
        <v>1</v>
      </c>
      <c r="G169" s="93">
        <v>1215614.7</v>
      </c>
      <c r="H169" s="2">
        <v>3</v>
      </c>
      <c r="I169" s="7">
        <f t="shared" si="6"/>
        <v>3646844.0999999996</v>
      </c>
      <c r="J169" s="7">
        <f t="shared" si="7"/>
        <v>656431.93799999997</v>
      </c>
      <c r="K169" s="7">
        <f t="shared" si="8"/>
        <v>4303276.0379999997</v>
      </c>
    </row>
    <row r="170" spans="1:11" x14ac:dyDescent="0.3">
      <c r="A170" s="35">
        <v>155</v>
      </c>
      <c r="B170" s="2" t="s">
        <v>2488</v>
      </c>
      <c r="C170" s="2" t="s">
        <v>2489</v>
      </c>
      <c r="D170" s="2" t="s">
        <v>2490</v>
      </c>
      <c r="E170" s="2">
        <v>27</v>
      </c>
      <c r="F170" s="32" t="s">
        <v>1</v>
      </c>
      <c r="G170" s="93">
        <v>1215614.7</v>
      </c>
      <c r="H170" s="2">
        <v>3</v>
      </c>
      <c r="I170" s="7">
        <f t="shared" si="6"/>
        <v>3646844.0999999996</v>
      </c>
      <c r="J170" s="7">
        <f t="shared" si="7"/>
        <v>656431.93799999997</v>
      </c>
      <c r="K170" s="7">
        <f t="shared" si="8"/>
        <v>4303276.0379999997</v>
      </c>
    </row>
    <row r="171" spans="1:11" x14ac:dyDescent="0.3">
      <c r="A171" s="35">
        <v>156</v>
      </c>
      <c r="B171" s="2" t="s">
        <v>2473</v>
      </c>
      <c r="C171" s="2" t="s">
        <v>2474</v>
      </c>
      <c r="D171" s="2" t="s">
        <v>2475</v>
      </c>
      <c r="E171" s="2">
        <v>28</v>
      </c>
      <c r="F171" s="32" t="s">
        <v>1</v>
      </c>
      <c r="G171" s="93">
        <v>1215614.7</v>
      </c>
      <c r="H171" s="2">
        <v>3</v>
      </c>
      <c r="I171" s="7">
        <f t="shared" si="6"/>
        <v>3646844.0999999996</v>
      </c>
      <c r="J171" s="7">
        <f t="shared" si="7"/>
        <v>656431.93799999997</v>
      </c>
      <c r="K171" s="7">
        <f t="shared" si="8"/>
        <v>4303276.0379999997</v>
      </c>
    </row>
    <row r="172" spans="1:11" x14ac:dyDescent="0.3">
      <c r="A172" s="35">
        <v>157</v>
      </c>
      <c r="B172" s="2" t="s">
        <v>2494</v>
      </c>
      <c r="C172" s="2" t="s">
        <v>2495</v>
      </c>
      <c r="D172" s="2" t="s">
        <v>2496</v>
      </c>
      <c r="E172" s="2">
        <v>29</v>
      </c>
      <c r="F172" s="32" t="s">
        <v>1</v>
      </c>
      <c r="G172" s="93">
        <v>1215614.7</v>
      </c>
      <c r="H172" s="2">
        <v>3</v>
      </c>
      <c r="I172" s="7">
        <f t="shared" si="6"/>
        <v>3646844.0999999996</v>
      </c>
      <c r="J172" s="7">
        <f t="shared" si="7"/>
        <v>656431.93799999997</v>
      </c>
      <c r="K172" s="7">
        <f t="shared" si="8"/>
        <v>4303276.0379999997</v>
      </c>
    </row>
    <row r="173" spans="1:11" x14ac:dyDescent="0.3">
      <c r="A173" s="35">
        <v>158</v>
      </c>
      <c r="B173" s="2" t="s">
        <v>2311</v>
      </c>
      <c r="C173" s="2" t="s">
        <v>2312</v>
      </c>
      <c r="D173" s="2" t="s">
        <v>2313</v>
      </c>
      <c r="E173" s="2">
        <v>18</v>
      </c>
      <c r="F173" s="32" t="s">
        <v>1</v>
      </c>
      <c r="G173" s="93">
        <v>895360</v>
      </c>
      <c r="H173" s="2">
        <v>3</v>
      </c>
      <c r="I173" s="7">
        <f t="shared" si="6"/>
        <v>2686080</v>
      </c>
      <c r="J173" s="7">
        <f t="shared" si="7"/>
        <v>483494.39999999997</v>
      </c>
      <c r="K173" s="7">
        <f t="shared" si="8"/>
        <v>3169574.4</v>
      </c>
    </row>
    <row r="174" spans="1:11" x14ac:dyDescent="0.3">
      <c r="A174" s="35">
        <v>159</v>
      </c>
      <c r="B174" s="2" t="s">
        <v>2617</v>
      </c>
      <c r="C174" s="2" t="s">
        <v>2618</v>
      </c>
      <c r="D174" s="2" t="s">
        <v>2619</v>
      </c>
      <c r="E174" s="2">
        <v>20</v>
      </c>
      <c r="F174" s="32" t="s">
        <v>1</v>
      </c>
      <c r="G174" s="93">
        <v>1215614.7</v>
      </c>
      <c r="H174" s="2">
        <v>3</v>
      </c>
      <c r="I174" s="7">
        <f t="shared" si="6"/>
        <v>3646844.0999999996</v>
      </c>
      <c r="J174" s="7">
        <f t="shared" si="7"/>
        <v>656431.93799999997</v>
      </c>
      <c r="K174" s="7">
        <f t="shared" si="8"/>
        <v>4303276.0379999997</v>
      </c>
    </row>
    <row r="175" spans="1:11" x14ac:dyDescent="0.3">
      <c r="A175" s="35">
        <v>160</v>
      </c>
      <c r="B175" s="2" t="s">
        <v>3380</v>
      </c>
      <c r="C175" s="2" t="s">
        <v>3381</v>
      </c>
      <c r="D175" s="2" t="s">
        <v>3382</v>
      </c>
      <c r="E175" s="2">
        <v>12</v>
      </c>
      <c r="F175" s="32" t="s">
        <v>1</v>
      </c>
      <c r="G175" s="93">
        <v>895360</v>
      </c>
      <c r="H175" s="2">
        <v>3</v>
      </c>
      <c r="I175" s="7">
        <f t="shared" si="6"/>
        <v>2686080</v>
      </c>
      <c r="J175" s="7">
        <f t="shared" si="7"/>
        <v>483494.39999999997</v>
      </c>
      <c r="K175" s="7">
        <f t="shared" si="8"/>
        <v>3169574.4</v>
      </c>
    </row>
    <row r="176" spans="1:11" x14ac:dyDescent="0.3">
      <c r="A176" s="35">
        <v>161</v>
      </c>
      <c r="B176" s="2" t="s">
        <v>3401</v>
      </c>
      <c r="C176" s="2" t="s">
        <v>3402</v>
      </c>
      <c r="D176" s="2" t="s">
        <v>3403</v>
      </c>
      <c r="E176" s="2">
        <v>8</v>
      </c>
      <c r="F176" s="32" t="s">
        <v>1</v>
      </c>
      <c r="G176" s="93">
        <v>895360</v>
      </c>
      <c r="H176" s="2">
        <v>3</v>
      </c>
      <c r="I176" s="7">
        <f t="shared" si="6"/>
        <v>2686080</v>
      </c>
      <c r="J176" s="7">
        <f t="shared" si="7"/>
        <v>483494.39999999997</v>
      </c>
      <c r="K176" s="7">
        <f t="shared" si="8"/>
        <v>3169574.4</v>
      </c>
    </row>
    <row r="177" spans="1:11" x14ac:dyDescent="0.3">
      <c r="A177" s="35">
        <v>162</v>
      </c>
      <c r="B177" s="2" t="s">
        <v>3314</v>
      </c>
      <c r="C177" s="2" t="s">
        <v>3315</v>
      </c>
      <c r="D177" s="2" t="s">
        <v>3316</v>
      </c>
      <c r="E177" s="2">
        <v>6</v>
      </c>
      <c r="F177" s="32" t="s">
        <v>1</v>
      </c>
      <c r="G177" s="93">
        <v>895360</v>
      </c>
      <c r="H177" s="2">
        <v>3</v>
      </c>
      <c r="I177" s="7">
        <f t="shared" si="6"/>
        <v>2686080</v>
      </c>
      <c r="J177" s="7">
        <f t="shared" si="7"/>
        <v>483494.39999999997</v>
      </c>
      <c r="K177" s="7">
        <f t="shared" si="8"/>
        <v>3169574.4</v>
      </c>
    </row>
    <row r="178" spans="1:11" x14ac:dyDescent="0.3">
      <c r="A178" s="35">
        <v>163</v>
      </c>
      <c r="B178" s="2" t="s">
        <v>2299</v>
      </c>
      <c r="C178" s="2" t="s">
        <v>2300</v>
      </c>
      <c r="D178" s="2" t="s">
        <v>2301</v>
      </c>
      <c r="E178" s="2">
        <v>12</v>
      </c>
      <c r="F178" s="32" t="s">
        <v>1</v>
      </c>
      <c r="G178" s="93">
        <v>895360</v>
      </c>
      <c r="H178" s="2">
        <v>3</v>
      </c>
      <c r="I178" s="7">
        <f t="shared" si="6"/>
        <v>2686080</v>
      </c>
      <c r="J178" s="7">
        <f t="shared" si="7"/>
        <v>483494.39999999997</v>
      </c>
      <c r="K178" s="7">
        <f t="shared" si="8"/>
        <v>3169574.4</v>
      </c>
    </row>
    <row r="179" spans="1:11" x14ac:dyDescent="0.3">
      <c r="A179" s="35">
        <v>164</v>
      </c>
      <c r="B179" s="2" t="s">
        <v>2623</v>
      </c>
      <c r="C179" s="2" t="s">
        <v>2624</v>
      </c>
      <c r="D179" s="2" t="s">
        <v>2625</v>
      </c>
      <c r="E179" s="2">
        <v>21</v>
      </c>
      <c r="F179" s="32" t="s">
        <v>1</v>
      </c>
      <c r="G179" s="93">
        <v>1215614.7</v>
      </c>
      <c r="H179" s="2">
        <v>3</v>
      </c>
      <c r="I179" s="7">
        <f t="shared" si="6"/>
        <v>3646844.0999999996</v>
      </c>
      <c r="J179" s="7">
        <f t="shared" si="7"/>
        <v>656431.93799999997</v>
      </c>
      <c r="K179" s="7">
        <f t="shared" si="8"/>
        <v>4303276.0379999997</v>
      </c>
    </row>
    <row r="180" spans="1:11" x14ac:dyDescent="0.3">
      <c r="A180" s="35">
        <v>165</v>
      </c>
      <c r="B180" s="2" t="s">
        <v>2503</v>
      </c>
      <c r="C180" s="2" t="s">
        <v>2504</v>
      </c>
      <c r="D180" s="2" t="s">
        <v>2505</v>
      </c>
      <c r="E180" s="2">
        <v>18</v>
      </c>
      <c r="F180" s="32" t="s">
        <v>1</v>
      </c>
      <c r="G180" s="93">
        <v>895360</v>
      </c>
      <c r="H180" s="2">
        <v>3</v>
      </c>
      <c r="I180" s="7">
        <f t="shared" si="6"/>
        <v>2686080</v>
      </c>
      <c r="J180" s="7">
        <f t="shared" si="7"/>
        <v>483494.39999999997</v>
      </c>
      <c r="K180" s="7">
        <f t="shared" si="8"/>
        <v>3169574.4</v>
      </c>
    </row>
    <row r="181" spans="1:11" x14ac:dyDescent="0.3">
      <c r="A181" s="35">
        <v>166</v>
      </c>
      <c r="B181" s="2" t="s">
        <v>2281</v>
      </c>
      <c r="C181" s="2" t="s">
        <v>2282</v>
      </c>
      <c r="D181" s="2" t="s">
        <v>2283</v>
      </c>
      <c r="E181" s="2">
        <v>20</v>
      </c>
      <c r="F181" s="32" t="s">
        <v>1</v>
      </c>
      <c r="G181" s="93">
        <v>1215614.7</v>
      </c>
      <c r="H181" s="2">
        <v>3</v>
      </c>
      <c r="I181" s="7">
        <f t="shared" si="6"/>
        <v>3646844.0999999996</v>
      </c>
      <c r="J181" s="7">
        <f t="shared" si="7"/>
        <v>656431.93799999997</v>
      </c>
      <c r="K181" s="7">
        <f t="shared" si="8"/>
        <v>4303276.0379999997</v>
      </c>
    </row>
    <row r="182" spans="1:11" x14ac:dyDescent="0.3">
      <c r="A182" s="35">
        <v>167</v>
      </c>
      <c r="B182" s="2" t="s">
        <v>2377</v>
      </c>
      <c r="C182" s="2" t="s">
        <v>2378</v>
      </c>
      <c r="D182" s="2" t="s">
        <v>2379</v>
      </c>
      <c r="E182" s="2">
        <v>18</v>
      </c>
      <c r="F182" s="32" t="s">
        <v>1</v>
      </c>
      <c r="G182" s="93">
        <v>895360</v>
      </c>
      <c r="H182" s="2">
        <v>3</v>
      </c>
      <c r="I182" s="7">
        <f t="shared" si="6"/>
        <v>2686080</v>
      </c>
      <c r="J182" s="7">
        <f t="shared" si="7"/>
        <v>483494.39999999997</v>
      </c>
      <c r="K182" s="7">
        <f t="shared" si="8"/>
        <v>3169574.4</v>
      </c>
    </row>
    <row r="183" spans="1:11" x14ac:dyDescent="0.3">
      <c r="A183" s="35">
        <v>168</v>
      </c>
      <c r="B183" s="2" t="s">
        <v>2521</v>
      </c>
      <c r="C183" s="2" t="s">
        <v>2522</v>
      </c>
      <c r="D183" s="2" t="s">
        <v>2523</v>
      </c>
      <c r="E183" s="2">
        <v>27</v>
      </c>
      <c r="F183" s="32" t="s">
        <v>1</v>
      </c>
      <c r="G183" s="93">
        <v>1215614.7</v>
      </c>
      <c r="H183" s="2">
        <v>3</v>
      </c>
      <c r="I183" s="7">
        <f t="shared" si="6"/>
        <v>3646844.0999999996</v>
      </c>
      <c r="J183" s="7">
        <f t="shared" si="7"/>
        <v>656431.93799999997</v>
      </c>
      <c r="K183" s="7">
        <f t="shared" si="8"/>
        <v>4303276.0379999997</v>
      </c>
    </row>
    <row r="184" spans="1:11" x14ac:dyDescent="0.3">
      <c r="A184" s="35">
        <v>169</v>
      </c>
      <c r="B184" s="2" t="s">
        <v>3067</v>
      </c>
      <c r="C184" s="2" t="s">
        <v>3068</v>
      </c>
      <c r="D184" s="2" t="s">
        <v>3069</v>
      </c>
      <c r="E184" s="2">
        <v>11</v>
      </c>
      <c r="F184" s="32" t="s">
        <v>1</v>
      </c>
      <c r="G184" s="93">
        <v>895360</v>
      </c>
      <c r="H184" s="2">
        <v>3</v>
      </c>
      <c r="I184" s="7">
        <f t="shared" si="6"/>
        <v>2686080</v>
      </c>
      <c r="J184" s="7">
        <f t="shared" si="7"/>
        <v>483494.39999999997</v>
      </c>
      <c r="K184" s="7">
        <f t="shared" si="8"/>
        <v>3169574.4</v>
      </c>
    </row>
    <row r="185" spans="1:11" x14ac:dyDescent="0.3">
      <c r="A185" s="35">
        <v>170</v>
      </c>
      <c r="B185" s="2" t="s">
        <v>2386</v>
      </c>
      <c r="C185" s="2" t="s">
        <v>2387</v>
      </c>
      <c r="D185" s="2" t="s">
        <v>2388</v>
      </c>
      <c r="E185" s="2">
        <v>3</v>
      </c>
      <c r="F185" s="32" t="s">
        <v>1</v>
      </c>
      <c r="G185" s="93">
        <v>895360</v>
      </c>
      <c r="H185" s="2">
        <v>3</v>
      </c>
      <c r="I185" s="7">
        <f t="shared" si="6"/>
        <v>2686080</v>
      </c>
      <c r="J185" s="7">
        <f t="shared" si="7"/>
        <v>483494.39999999997</v>
      </c>
      <c r="K185" s="7">
        <f t="shared" si="8"/>
        <v>3169574.4</v>
      </c>
    </row>
    <row r="186" spans="1:11" x14ac:dyDescent="0.3">
      <c r="A186" s="35">
        <v>171</v>
      </c>
      <c r="B186" s="2" t="s">
        <v>2884</v>
      </c>
      <c r="C186" s="2" t="s">
        <v>2885</v>
      </c>
      <c r="D186" s="2" t="s">
        <v>2886</v>
      </c>
      <c r="E186" s="2">
        <v>21</v>
      </c>
      <c r="F186" s="32" t="s">
        <v>1</v>
      </c>
      <c r="G186" s="93">
        <v>1215614.7</v>
      </c>
      <c r="H186" s="2">
        <v>3</v>
      </c>
      <c r="I186" s="7">
        <f t="shared" si="6"/>
        <v>3646844.0999999996</v>
      </c>
      <c r="J186" s="7">
        <f t="shared" si="7"/>
        <v>656431.93799999997</v>
      </c>
      <c r="K186" s="7">
        <f t="shared" si="8"/>
        <v>4303276.0379999997</v>
      </c>
    </row>
    <row r="187" spans="1:11" x14ac:dyDescent="0.3">
      <c r="A187" s="35">
        <v>172</v>
      </c>
      <c r="B187" s="2" t="s">
        <v>3305</v>
      </c>
      <c r="C187" s="2" t="s">
        <v>3306</v>
      </c>
      <c r="D187" s="2" t="s">
        <v>3307</v>
      </c>
      <c r="E187" s="2">
        <v>12</v>
      </c>
      <c r="F187" s="32" t="s">
        <v>1</v>
      </c>
      <c r="G187" s="93">
        <v>895360</v>
      </c>
      <c r="H187" s="2">
        <v>3</v>
      </c>
      <c r="I187" s="7">
        <f t="shared" si="6"/>
        <v>2686080</v>
      </c>
      <c r="J187" s="7">
        <f t="shared" si="7"/>
        <v>483494.39999999997</v>
      </c>
      <c r="K187" s="7">
        <f t="shared" si="8"/>
        <v>3169574.4</v>
      </c>
    </row>
    <row r="188" spans="1:11" x14ac:dyDescent="0.3">
      <c r="A188" s="35">
        <v>173</v>
      </c>
      <c r="B188" s="2" t="s">
        <v>3281</v>
      </c>
      <c r="C188" s="2" t="s">
        <v>3282</v>
      </c>
      <c r="D188" s="2" t="s">
        <v>3283</v>
      </c>
      <c r="E188" s="2">
        <v>30</v>
      </c>
      <c r="F188" s="32" t="s">
        <v>1</v>
      </c>
      <c r="G188" s="93">
        <v>1215614.7</v>
      </c>
      <c r="H188" s="2">
        <v>3</v>
      </c>
      <c r="I188" s="7">
        <f t="shared" si="6"/>
        <v>3646844.0999999996</v>
      </c>
      <c r="J188" s="7">
        <f t="shared" si="7"/>
        <v>656431.93799999997</v>
      </c>
      <c r="K188" s="7">
        <f t="shared" si="8"/>
        <v>4303276.0379999997</v>
      </c>
    </row>
    <row r="189" spans="1:11" x14ac:dyDescent="0.3">
      <c r="A189" s="35">
        <v>174</v>
      </c>
      <c r="B189" s="2" t="s">
        <v>2950</v>
      </c>
      <c r="C189" s="2" t="s">
        <v>2951</v>
      </c>
      <c r="D189" s="2" t="s">
        <v>2952</v>
      </c>
      <c r="E189" s="2">
        <v>23</v>
      </c>
      <c r="F189" s="32" t="s">
        <v>1</v>
      </c>
      <c r="G189" s="93">
        <v>1215614.7</v>
      </c>
      <c r="H189" s="2">
        <v>3</v>
      </c>
      <c r="I189" s="7">
        <f t="shared" si="6"/>
        <v>3646844.0999999996</v>
      </c>
      <c r="J189" s="7">
        <f t="shared" si="7"/>
        <v>656431.93799999997</v>
      </c>
      <c r="K189" s="7">
        <f t="shared" si="8"/>
        <v>4303276.0379999997</v>
      </c>
    </row>
    <row r="190" spans="1:11" x14ac:dyDescent="0.3">
      <c r="A190" s="35">
        <v>175</v>
      </c>
      <c r="B190" s="2" t="s">
        <v>2509</v>
      </c>
      <c r="C190" s="2" t="s">
        <v>2510</v>
      </c>
      <c r="D190" s="2" t="s">
        <v>2511</v>
      </c>
      <c r="E190" s="2">
        <v>5</v>
      </c>
      <c r="F190" s="32" t="s">
        <v>1</v>
      </c>
      <c r="G190" s="93">
        <v>895360</v>
      </c>
      <c r="H190" s="2">
        <v>3</v>
      </c>
      <c r="I190" s="7">
        <f t="shared" si="6"/>
        <v>2686080</v>
      </c>
      <c r="J190" s="7">
        <f t="shared" si="7"/>
        <v>483494.39999999997</v>
      </c>
      <c r="K190" s="7">
        <f t="shared" si="8"/>
        <v>3169574.4</v>
      </c>
    </row>
    <row r="191" spans="1:11" x14ac:dyDescent="0.3">
      <c r="A191" s="35">
        <v>176</v>
      </c>
      <c r="B191" s="2" t="s">
        <v>3093</v>
      </c>
      <c r="C191" s="2" t="s">
        <v>3094</v>
      </c>
      <c r="D191" s="2" t="s">
        <v>3095</v>
      </c>
      <c r="E191" s="2">
        <v>6</v>
      </c>
      <c r="F191" s="32" t="s">
        <v>1</v>
      </c>
      <c r="G191" s="93">
        <v>895360</v>
      </c>
      <c r="H191" s="2">
        <v>3</v>
      </c>
      <c r="I191" s="7">
        <f t="shared" si="6"/>
        <v>2686080</v>
      </c>
      <c r="J191" s="7">
        <f t="shared" si="7"/>
        <v>483494.39999999997</v>
      </c>
      <c r="K191" s="7">
        <f t="shared" si="8"/>
        <v>3169574.4</v>
      </c>
    </row>
    <row r="192" spans="1:11" x14ac:dyDescent="0.3">
      <c r="A192" s="35">
        <v>177</v>
      </c>
      <c r="B192" s="2" t="s">
        <v>2359</v>
      </c>
      <c r="C192" s="2" t="s">
        <v>2360</v>
      </c>
      <c r="D192" s="2" t="s">
        <v>2361</v>
      </c>
      <c r="E192" s="2">
        <v>12</v>
      </c>
      <c r="F192" s="32" t="s">
        <v>1</v>
      </c>
      <c r="G192" s="93">
        <v>895360</v>
      </c>
      <c r="H192" s="2">
        <v>3</v>
      </c>
      <c r="I192" s="7">
        <f t="shared" si="6"/>
        <v>2686080</v>
      </c>
      <c r="J192" s="7">
        <f t="shared" si="7"/>
        <v>483494.39999999997</v>
      </c>
      <c r="K192" s="7">
        <f t="shared" si="8"/>
        <v>3169574.4</v>
      </c>
    </row>
    <row r="193" spans="1:11" x14ac:dyDescent="0.3">
      <c r="A193" s="35">
        <v>178</v>
      </c>
      <c r="B193" s="2" t="s">
        <v>2353</v>
      </c>
      <c r="C193" s="2" t="s">
        <v>2354</v>
      </c>
      <c r="D193" s="2" t="s">
        <v>2355</v>
      </c>
      <c r="E193" s="2">
        <v>6</v>
      </c>
      <c r="F193" s="32" t="s">
        <v>1</v>
      </c>
      <c r="G193" s="93">
        <v>895360</v>
      </c>
      <c r="H193" s="2">
        <v>3</v>
      </c>
      <c r="I193" s="7">
        <f t="shared" si="6"/>
        <v>2686080</v>
      </c>
      <c r="J193" s="7">
        <f t="shared" si="7"/>
        <v>483494.39999999997</v>
      </c>
      <c r="K193" s="7">
        <f t="shared" si="8"/>
        <v>3169574.4</v>
      </c>
    </row>
    <row r="194" spans="1:11" x14ac:dyDescent="0.3">
      <c r="A194" s="35">
        <v>179</v>
      </c>
      <c r="B194" s="2" t="s">
        <v>3356</v>
      </c>
      <c r="C194" s="2" t="s">
        <v>3357</v>
      </c>
      <c r="D194" s="2" t="s">
        <v>3358</v>
      </c>
      <c r="E194" s="2">
        <v>13</v>
      </c>
      <c r="F194" s="32" t="s">
        <v>1</v>
      </c>
      <c r="G194" s="93">
        <v>895360</v>
      </c>
      <c r="H194" s="2">
        <v>3</v>
      </c>
      <c r="I194" s="7">
        <f t="shared" si="6"/>
        <v>2686080</v>
      </c>
      <c r="J194" s="7">
        <f t="shared" si="7"/>
        <v>483494.39999999997</v>
      </c>
      <c r="K194" s="7">
        <f t="shared" si="8"/>
        <v>3169574.4</v>
      </c>
    </row>
    <row r="195" spans="1:11" x14ac:dyDescent="0.3">
      <c r="A195" s="35">
        <v>180</v>
      </c>
      <c r="B195" s="2" t="s">
        <v>2605</v>
      </c>
      <c r="C195" s="2" t="s">
        <v>2606</v>
      </c>
      <c r="D195" s="2" t="s">
        <v>2607</v>
      </c>
      <c r="E195" s="2">
        <v>22</v>
      </c>
      <c r="F195" s="32" t="s">
        <v>1</v>
      </c>
      <c r="G195" s="93">
        <v>1215614.7</v>
      </c>
      <c r="H195" s="2">
        <v>3</v>
      </c>
      <c r="I195" s="7">
        <f t="shared" si="6"/>
        <v>3646844.0999999996</v>
      </c>
      <c r="J195" s="7">
        <f t="shared" si="7"/>
        <v>656431.93799999997</v>
      </c>
      <c r="K195" s="7">
        <f t="shared" si="8"/>
        <v>4303276.0379999997</v>
      </c>
    </row>
    <row r="196" spans="1:11" x14ac:dyDescent="0.3">
      <c r="A196" s="35">
        <v>181</v>
      </c>
      <c r="B196" s="2" t="s">
        <v>2362</v>
      </c>
      <c r="C196" s="2" t="s">
        <v>2363</v>
      </c>
      <c r="D196" s="2" t="s">
        <v>2364</v>
      </c>
      <c r="E196" s="2">
        <v>11</v>
      </c>
      <c r="F196" s="32" t="s">
        <v>1</v>
      </c>
      <c r="G196" s="93">
        <v>895360</v>
      </c>
      <c r="H196" s="2">
        <v>3</v>
      </c>
      <c r="I196" s="7">
        <f t="shared" si="6"/>
        <v>2686080</v>
      </c>
      <c r="J196" s="7">
        <f t="shared" si="7"/>
        <v>483494.39999999997</v>
      </c>
      <c r="K196" s="7">
        <f t="shared" si="8"/>
        <v>3169574.4</v>
      </c>
    </row>
    <row r="197" spans="1:11" x14ac:dyDescent="0.3">
      <c r="A197" s="35">
        <v>182</v>
      </c>
      <c r="B197" s="2" t="s">
        <v>3377</v>
      </c>
      <c r="C197" s="2" t="s">
        <v>3378</v>
      </c>
      <c r="D197" s="2" t="s">
        <v>3379</v>
      </c>
      <c r="E197" s="2">
        <v>12</v>
      </c>
      <c r="F197" s="32" t="s">
        <v>1</v>
      </c>
      <c r="G197" s="93">
        <v>895360</v>
      </c>
      <c r="H197" s="2">
        <v>3</v>
      </c>
      <c r="I197" s="7">
        <f t="shared" si="6"/>
        <v>2686080</v>
      </c>
      <c r="J197" s="7">
        <f t="shared" si="7"/>
        <v>483494.39999999997</v>
      </c>
      <c r="K197" s="7">
        <f t="shared" si="8"/>
        <v>3169574.4</v>
      </c>
    </row>
    <row r="198" spans="1:11" x14ac:dyDescent="0.3">
      <c r="A198" s="35">
        <v>183</v>
      </c>
      <c r="B198" s="2" t="s">
        <v>2887</v>
      </c>
      <c r="C198" s="2" t="s">
        <v>2888</v>
      </c>
      <c r="D198" s="2" t="s">
        <v>2889</v>
      </c>
      <c r="E198" s="2">
        <v>20</v>
      </c>
      <c r="F198" s="32" t="s">
        <v>1</v>
      </c>
      <c r="G198" s="93">
        <v>1215614.7</v>
      </c>
      <c r="H198" s="2">
        <v>3</v>
      </c>
      <c r="I198" s="7">
        <f t="shared" si="6"/>
        <v>3646844.0999999996</v>
      </c>
      <c r="J198" s="7">
        <f t="shared" si="7"/>
        <v>656431.93799999997</v>
      </c>
      <c r="K198" s="7">
        <f t="shared" si="8"/>
        <v>4303276.0379999997</v>
      </c>
    </row>
    <row r="199" spans="1:11" x14ac:dyDescent="0.3">
      <c r="A199" s="35">
        <v>184</v>
      </c>
      <c r="B199" s="2" t="s">
        <v>2341</v>
      </c>
      <c r="C199" s="2" t="s">
        <v>2342</v>
      </c>
      <c r="D199" s="2" t="s">
        <v>2343</v>
      </c>
      <c r="E199" s="2">
        <v>8</v>
      </c>
      <c r="F199" s="32" t="s">
        <v>1</v>
      </c>
      <c r="G199" s="93">
        <v>895360</v>
      </c>
      <c r="H199" s="2">
        <v>3</v>
      </c>
      <c r="I199" s="7">
        <f t="shared" si="6"/>
        <v>2686080</v>
      </c>
      <c r="J199" s="7">
        <f t="shared" si="7"/>
        <v>483494.39999999997</v>
      </c>
      <c r="K199" s="7">
        <f t="shared" si="8"/>
        <v>3169574.4</v>
      </c>
    </row>
    <row r="200" spans="1:11" x14ac:dyDescent="0.3">
      <c r="A200" s="35">
        <v>185</v>
      </c>
      <c r="B200" s="2" t="s">
        <v>2347</v>
      </c>
      <c r="C200" s="2" t="s">
        <v>2348</v>
      </c>
      <c r="D200" s="2" t="s">
        <v>2349</v>
      </c>
      <c r="E200" s="2">
        <v>4</v>
      </c>
      <c r="F200" s="32" t="s">
        <v>1</v>
      </c>
      <c r="G200" s="93">
        <v>895360</v>
      </c>
      <c r="H200" s="2">
        <v>3</v>
      </c>
      <c r="I200" s="7">
        <f t="shared" si="6"/>
        <v>2686080</v>
      </c>
      <c r="J200" s="7">
        <f t="shared" si="7"/>
        <v>483494.39999999997</v>
      </c>
      <c r="K200" s="7">
        <f t="shared" si="8"/>
        <v>3169574.4</v>
      </c>
    </row>
    <row r="201" spans="1:11" x14ac:dyDescent="0.3">
      <c r="A201" s="35">
        <v>186</v>
      </c>
      <c r="B201" s="2" t="s">
        <v>3076</v>
      </c>
      <c r="C201" s="2" t="s">
        <v>3077</v>
      </c>
      <c r="D201" s="2" t="s">
        <v>3078</v>
      </c>
      <c r="E201" s="2">
        <v>6</v>
      </c>
      <c r="F201" s="32" t="s">
        <v>1</v>
      </c>
      <c r="G201" s="93">
        <v>895360</v>
      </c>
      <c r="H201" s="2">
        <v>3</v>
      </c>
      <c r="I201" s="7">
        <f t="shared" si="6"/>
        <v>2686080</v>
      </c>
      <c r="J201" s="7">
        <f t="shared" si="7"/>
        <v>483494.39999999997</v>
      </c>
      <c r="K201" s="7">
        <f t="shared" si="8"/>
        <v>3169574.4</v>
      </c>
    </row>
    <row r="202" spans="1:11" x14ac:dyDescent="0.3">
      <c r="A202" s="35">
        <v>187</v>
      </c>
      <c r="B202" s="2" t="s">
        <v>3082</v>
      </c>
      <c r="C202" s="2" t="s">
        <v>3083</v>
      </c>
      <c r="D202" s="2" t="s">
        <v>3084</v>
      </c>
      <c r="E202" s="2">
        <v>24</v>
      </c>
      <c r="F202" s="32" t="s">
        <v>1</v>
      </c>
      <c r="G202" s="93">
        <v>1215614.7</v>
      </c>
      <c r="H202" s="2">
        <v>3</v>
      </c>
      <c r="I202" s="7">
        <f t="shared" si="6"/>
        <v>3646844.0999999996</v>
      </c>
      <c r="J202" s="7">
        <f t="shared" si="7"/>
        <v>656431.93799999997</v>
      </c>
      <c r="K202" s="7">
        <f t="shared" si="8"/>
        <v>4303276.0379999997</v>
      </c>
    </row>
    <row r="203" spans="1:11" x14ac:dyDescent="0.3">
      <c r="A203" s="35">
        <v>188</v>
      </c>
      <c r="B203" s="2" t="s">
        <v>2576</v>
      </c>
      <c r="C203" s="2" t="s">
        <v>2577</v>
      </c>
      <c r="D203" s="2" t="s">
        <v>2578</v>
      </c>
      <c r="E203" s="2">
        <v>30</v>
      </c>
      <c r="F203" s="32" t="s">
        <v>1</v>
      </c>
      <c r="G203" s="93">
        <v>1215614.7</v>
      </c>
      <c r="H203" s="2">
        <v>3</v>
      </c>
      <c r="I203" s="7">
        <f t="shared" si="6"/>
        <v>3646844.0999999996</v>
      </c>
      <c r="J203" s="7">
        <f t="shared" si="7"/>
        <v>656431.93799999997</v>
      </c>
      <c r="K203" s="7">
        <f t="shared" si="8"/>
        <v>4303276.0379999997</v>
      </c>
    </row>
    <row r="204" spans="1:11" x14ac:dyDescent="0.3">
      <c r="A204" s="35">
        <v>189</v>
      </c>
      <c r="B204" s="2" t="s">
        <v>2326</v>
      </c>
      <c r="C204" s="2" t="s">
        <v>2327</v>
      </c>
      <c r="D204" s="2" t="s">
        <v>2328</v>
      </c>
      <c r="E204" s="2">
        <v>6</v>
      </c>
      <c r="F204" s="32" t="s">
        <v>1</v>
      </c>
      <c r="G204" s="93">
        <v>895360</v>
      </c>
      <c r="H204" s="2">
        <v>3</v>
      </c>
      <c r="I204" s="7">
        <f t="shared" si="6"/>
        <v>2686080</v>
      </c>
      <c r="J204" s="7">
        <f t="shared" si="7"/>
        <v>483494.39999999997</v>
      </c>
      <c r="K204" s="7">
        <f t="shared" si="8"/>
        <v>3169574.4</v>
      </c>
    </row>
    <row r="205" spans="1:11" x14ac:dyDescent="0.3">
      <c r="A205" s="35">
        <v>190</v>
      </c>
      <c r="B205" s="2" t="s">
        <v>2599</v>
      </c>
      <c r="C205" s="2" t="s">
        <v>2600</v>
      </c>
      <c r="D205" s="2" t="s">
        <v>2601</v>
      </c>
      <c r="E205" s="2">
        <v>11</v>
      </c>
      <c r="F205" s="32" t="s">
        <v>1</v>
      </c>
      <c r="G205" s="93">
        <v>895360</v>
      </c>
      <c r="H205" s="2">
        <v>3</v>
      </c>
      <c r="I205" s="7">
        <f t="shared" si="6"/>
        <v>2686080</v>
      </c>
      <c r="J205" s="7">
        <f t="shared" si="7"/>
        <v>483494.39999999997</v>
      </c>
      <c r="K205" s="7">
        <f t="shared" si="8"/>
        <v>3169574.4</v>
      </c>
    </row>
    <row r="206" spans="1:11" x14ac:dyDescent="0.3">
      <c r="A206" s="35">
        <v>191</v>
      </c>
      <c r="B206" s="2" t="s">
        <v>2485</v>
      </c>
      <c r="C206" s="2" t="s">
        <v>2486</v>
      </c>
      <c r="D206" s="2" t="s">
        <v>2487</v>
      </c>
      <c r="E206" s="2">
        <v>7</v>
      </c>
      <c r="F206" s="32" t="s">
        <v>1</v>
      </c>
      <c r="G206" s="93">
        <v>895360</v>
      </c>
      <c r="H206" s="2">
        <v>3</v>
      </c>
      <c r="I206" s="7">
        <f t="shared" si="6"/>
        <v>2686080</v>
      </c>
      <c r="J206" s="7">
        <f t="shared" si="7"/>
        <v>483494.39999999997</v>
      </c>
      <c r="K206" s="7">
        <f t="shared" si="8"/>
        <v>3169574.4</v>
      </c>
    </row>
    <row r="207" spans="1:11" x14ac:dyDescent="0.3">
      <c r="A207" s="35">
        <v>192</v>
      </c>
      <c r="B207" s="2" t="s">
        <v>2512</v>
      </c>
      <c r="C207" s="2" t="s">
        <v>2513</v>
      </c>
      <c r="D207" s="2" t="s">
        <v>2514</v>
      </c>
      <c r="E207" s="2">
        <v>14</v>
      </c>
      <c r="F207" s="32" t="s">
        <v>1</v>
      </c>
      <c r="G207" s="93">
        <v>895360</v>
      </c>
      <c r="H207" s="2">
        <v>3</v>
      </c>
      <c r="I207" s="7">
        <f t="shared" si="6"/>
        <v>2686080</v>
      </c>
      <c r="J207" s="7">
        <f t="shared" si="7"/>
        <v>483494.39999999997</v>
      </c>
      <c r="K207" s="7">
        <f t="shared" si="8"/>
        <v>3169574.4</v>
      </c>
    </row>
    <row r="208" spans="1:11" x14ac:dyDescent="0.3">
      <c r="A208" s="35">
        <v>193</v>
      </c>
      <c r="B208" s="2" t="s">
        <v>3087</v>
      </c>
      <c r="C208" s="2" t="s">
        <v>3088</v>
      </c>
      <c r="D208" s="2" t="s">
        <v>3089</v>
      </c>
      <c r="E208" s="2">
        <v>9</v>
      </c>
      <c r="F208" s="32" t="s">
        <v>1</v>
      </c>
      <c r="G208" s="93">
        <v>895360</v>
      </c>
      <c r="H208" s="2">
        <v>3</v>
      </c>
      <c r="I208" s="7">
        <f t="shared" si="6"/>
        <v>2686080</v>
      </c>
      <c r="J208" s="7">
        <f t="shared" si="7"/>
        <v>483494.39999999997</v>
      </c>
      <c r="K208" s="7">
        <f t="shared" si="8"/>
        <v>3169574.4</v>
      </c>
    </row>
    <row r="209" spans="1:11" x14ac:dyDescent="0.3">
      <c r="A209" s="35">
        <v>194</v>
      </c>
      <c r="B209" s="2" t="s">
        <v>2611</v>
      </c>
      <c r="C209" s="2" t="s">
        <v>2612</v>
      </c>
      <c r="D209" s="2" t="s">
        <v>2613</v>
      </c>
      <c r="E209" s="2">
        <v>11</v>
      </c>
      <c r="F209" s="32" t="s">
        <v>1</v>
      </c>
      <c r="G209" s="93">
        <v>895360</v>
      </c>
      <c r="H209" s="2">
        <v>3</v>
      </c>
      <c r="I209" s="7">
        <f t="shared" ref="I209:I272" si="9">+G209*H209</f>
        <v>2686080</v>
      </c>
      <c r="J209" s="7">
        <f t="shared" ref="J209:J272" si="10">+I209*0.18</f>
        <v>483494.39999999997</v>
      </c>
      <c r="K209" s="7">
        <f t="shared" ref="K209:K272" si="11">+I209+J209</f>
        <v>3169574.4</v>
      </c>
    </row>
    <row r="210" spans="1:11" x14ac:dyDescent="0.3">
      <c r="A210" s="35">
        <v>195</v>
      </c>
      <c r="B210" s="2" t="s">
        <v>2620</v>
      </c>
      <c r="C210" s="2" t="s">
        <v>2621</v>
      </c>
      <c r="D210" s="2" t="s">
        <v>2622</v>
      </c>
      <c r="E210" s="2">
        <v>10</v>
      </c>
      <c r="F210" s="32" t="s">
        <v>1</v>
      </c>
      <c r="G210" s="93">
        <v>895360</v>
      </c>
      <c r="H210" s="2">
        <v>3</v>
      </c>
      <c r="I210" s="7">
        <f t="shared" si="9"/>
        <v>2686080</v>
      </c>
      <c r="J210" s="7">
        <f t="shared" si="10"/>
        <v>483494.39999999997</v>
      </c>
      <c r="K210" s="7">
        <f t="shared" si="11"/>
        <v>3169574.4</v>
      </c>
    </row>
    <row r="211" spans="1:11" x14ac:dyDescent="0.3">
      <c r="A211" s="35">
        <v>196</v>
      </c>
      <c r="B211" s="2" t="s">
        <v>3272</v>
      </c>
      <c r="C211" s="2" t="s">
        <v>3273</v>
      </c>
      <c r="D211" s="2" t="s">
        <v>3274</v>
      </c>
      <c r="E211" s="2">
        <v>12</v>
      </c>
      <c r="F211" s="32" t="s">
        <v>1</v>
      </c>
      <c r="G211" s="93">
        <v>895360</v>
      </c>
      <c r="H211" s="2">
        <v>3</v>
      </c>
      <c r="I211" s="7">
        <f t="shared" si="9"/>
        <v>2686080</v>
      </c>
      <c r="J211" s="7">
        <f t="shared" si="10"/>
        <v>483494.39999999997</v>
      </c>
      <c r="K211" s="7">
        <f t="shared" si="11"/>
        <v>3169574.4</v>
      </c>
    </row>
    <row r="212" spans="1:11" x14ac:dyDescent="0.3">
      <c r="A212" s="35">
        <v>197</v>
      </c>
      <c r="B212" s="2" t="s">
        <v>2479</v>
      </c>
      <c r="C212" s="2" t="s">
        <v>2480</v>
      </c>
      <c r="D212" s="2" t="s">
        <v>2481</v>
      </c>
      <c r="E212" s="2">
        <v>6</v>
      </c>
      <c r="F212" s="32" t="s">
        <v>1</v>
      </c>
      <c r="G212" s="93">
        <v>895360</v>
      </c>
      <c r="H212" s="2">
        <v>3</v>
      </c>
      <c r="I212" s="7">
        <f t="shared" si="9"/>
        <v>2686080</v>
      </c>
      <c r="J212" s="7">
        <f t="shared" si="10"/>
        <v>483494.39999999997</v>
      </c>
      <c r="K212" s="7">
        <f t="shared" si="11"/>
        <v>3169574.4</v>
      </c>
    </row>
    <row r="213" spans="1:11" x14ac:dyDescent="0.3">
      <c r="A213" s="35">
        <v>198</v>
      </c>
      <c r="B213" s="2" t="s">
        <v>3284</v>
      </c>
      <c r="C213" s="2" t="s">
        <v>3285</v>
      </c>
      <c r="D213" s="2" t="s">
        <v>3286</v>
      </c>
      <c r="E213" s="2">
        <v>6</v>
      </c>
      <c r="F213" s="32" t="s">
        <v>1</v>
      </c>
      <c r="G213" s="93">
        <v>895360</v>
      </c>
      <c r="H213" s="2">
        <v>3</v>
      </c>
      <c r="I213" s="7">
        <f t="shared" si="9"/>
        <v>2686080</v>
      </c>
      <c r="J213" s="7">
        <f t="shared" si="10"/>
        <v>483494.39999999997</v>
      </c>
      <c r="K213" s="7">
        <f t="shared" si="11"/>
        <v>3169574.4</v>
      </c>
    </row>
    <row r="214" spans="1:11" x14ac:dyDescent="0.3">
      <c r="A214" s="35">
        <v>199</v>
      </c>
      <c r="B214" s="2" t="s">
        <v>2374</v>
      </c>
      <c r="C214" s="2" t="s">
        <v>2375</v>
      </c>
      <c r="D214" s="2" t="s">
        <v>2376</v>
      </c>
      <c r="E214" s="2">
        <v>22</v>
      </c>
      <c r="F214" s="32" t="s">
        <v>1</v>
      </c>
      <c r="G214" s="93">
        <v>1215614.7</v>
      </c>
      <c r="H214" s="2">
        <v>3</v>
      </c>
      <c r="I214" s="7">
        <f t="shared" si="9"/>
        <v>3646844.0999999996</v>
      </c>
      <c r="J214" s="7">
        <f t="shared" si="10"/>
        <v>656431.93799999997</v>
      </c>
      <c r="K214" s="7">
        <f t="shared" si="11"/>
        <v>4303276.0379999997</v>
      </c>
    </row>
    <row r="215" spans="1:11" x14ac:dyDescent="0.3">
      <c r="A215" s="35">
        <v>200</v>
      </c>
      <c r="B215" s="2" t="s">
        <v>3073</v>
      </c>
      <c r="C215" s="2" t="s">
        <v>3074</v>
      </c>
      <c r="D215" s="2" t="s">
        <v>3075</v>
      </c>
      <c r="E215" s="2">
        <v>6</v>
      </c>
      <c r="F215" s="32" t="s">
        <v>1</v>
      </c>
      <c r="G215" s="93">
        <v>895360</v>
      </c>
      <c r="H215" s="2">
        <v>3</v>
      </c>
      <c r="I215" s="7">
        <f t="shared" si="9"/>
        <v>2686080</v>
      </c>
      <c r="J215" s="7">
        <f t="shared" si="10"/>
        <v>483494.39999999997</v>
      </c>
      <c r="K215" s="7">
        <f t="shared" si="11"/>
        <v>3169574.4</v>
      </c>
    </row>
    <row r="216" spans="1:11" x14ac:dyDescent="0.3">
      <c r="A216" s="35">
        <v>201</v>
      </c>
      <c r="B216" s="2" t="s">
        <v>3096</v>
      </c>
      <c r="C216" s="2" t="s">
        <v>3097</v>
      </c>
      <c r="D216" s="2" t="s">
        <v>3098</v>
      </c>
      <c r="E216" s="2">
        <v>6</v>
      </c>
      <c r="F216" s="32" t="s">
        <v>1</v>
      </c>
      <c r="G216" s="93">
        <v>895360</v>
      </c>
      <c r="H216" s="2">
        <v>3</v>
      </c>
      <c r="I216" s="7">
        <f t="shared" si="9"/>
        <v>2686080</v>
      </c>
      <c r="J216" s="7">
        <f t="shared" si="10"/>
        <v>483494.39999999997</v>
      </c>
      <c r="K216" s="7">
        <f t="shared" si="11"/>
        <v>3169574.4</v>
      </c>
    </row>
    <row r="217" spans="1:11" x14ac:dyDescent="0.3">
      <c r="A217" s="35">
        <v>202</v>
      </c>
      <c r="B217" s="2" t="s">
        <v>2524</v>
      </c>
      <c r="C217" s="2" t="s">
        <v>2525</v>
      </c>
      <c r="D217" s="2" t="s">
        <v>2526</v>
      </c>
      <c r="E217" s="2">
        <v>28</v>
      </c>
      <c r="F217" s="32" t="s">
        <v>1</v>
      </c>
      <c r="G217" s="93">
        <v>1215614.7</v>
      </c>
      <c r="H217" s="2">
        <v>3</v>
      </c>
      <c r="I217" s="7">
        <f t="shared" si="9"/>
        <v>3646844.0999999996</v>
      </c>
      <c r="J217" s="7">
        <f t="shared" si="10"/>
        <v>656431.93799999997</v>
      </c>
      <c r="K217" s="7">
        <f t="shared" si="11"/>
        <v>4303276.0379999997</v>
      </c>
    </row>
    <row r="218" spans="1:11" x14ac:dyDescent="0.3">
      <c r="A218" s="35">
        <v>203</v>
      </c>
      <c r="B218" s="2" t="s">
        <v>2515</v>
      </c>
      <c r="C218" s="2" t="s">
        <v>2516</v>
      </c>
      <c r="D218" s="2" t="s">
        <v>2517</v>
      </c>
      <c r="E218" s="2">
        <v>7</v>
      </c>
      <c r="F218" s="32" t="s">
        <v>1</v>
      </c>
      <c r="G218" s="93">
        <v>895360</v>
      </c>
      <c r="H218" s="2">
        <v>3</v>
      </c>
      <c r="I218" s="7">
        <f t="shared" si="9"/>
        <v>2686080</v>
      </c>
      <c r="J218" s="7">
        <f t="shared" si="10"/>
        <v>483494.39999999997</v>
      </c>
      <c r="K218" s="7">
        <f t="shared" si="11"/>
        <v>3169574.4</v>
      </c>
    </row>
    <row r="219" spans="1:11" s="48" customFormat="1" x14ac:dyDescent="0.3">
      <c r="A219" s="35">
        <v>204</v>
      </c>
      <c r="B219" s="47" t="s">
        <v>3079</v>
      </c>
      <c r="C219" s="47" t="s">
        <v>3080</v>
      </c>
      <c r="D219" s="47" t="s">
        <v>3081</v>
      </c>
      <c r="E219" s="47">
        <v>16</v>
      </c>
      <c r="F219" s="46" t="s">
        <v>1</v>
      </c>
      <c r="G219" s="93">
        <v>895360</v>
      </c>
      <c r="H219" s="47">
        <v>3</v>
      </c>
      <c r="I219" s="7">
        <f t="shared" si="9"/>
        <v>2686080</v>
      </c>
      <c r="J219" s="7">
        <f t="shared" si="10"/>
        <v>483494.39999999997</v>
      </c>
      <c r="K219" s="7">
        <f t="shared" si="11"/>
        <v>3169574.4</v>
      </c>
    </row>
    <row r="220" spans="1:11" x14ac:dyDescent="0.3">
      <c r="A220" s="35">
        <v>205</v>
      </c>
      <c r="B220" s="2" t="s">
        <v>2329</v>
      </c>
      <c r="C220" s="2" t="s">
        <v>2330</v>
      </c>
      <c r="D220" s="2" t="s">
        <v>2331</v>
      </c>
      <c r="E220" s="2">
        <v>7</v>
      </c>
      <c r="F220" s="32" t="s">
        <v>1</v>
      </c>
      <c r="G220" s="93">
        <v>895360</v>
      </c>
      <c r="H220" s="2">
        <v>3</v>
      </c>
      <c r="I220" s="7">
        <f t="shared" si="9"/>
        <v>2686080</v>
      </c>
      <c r="J220" s="7">
        <f t="shared" si="10"/>
        <v>483494.39999999997</v>
      </c>
      <c r="K220" s="7">
        <f t="shared" si="11"/>
        <v>3169574.4</v>
      </c>
    </row>
    <row r="221" spans="1:11" x14ac:dyDescent="0.3">
      <c r="A221" s="35">
        <v>206</v>
      </c>
      <c r="B221" s="2" t="s">
        <v>3374</v>
      </c>
      <c r="C221" s="2" t="s">
        <v>3375</v>
      </c>
      <c r="D221" s="2" t="s">
        <v>3376</v>
      </c>
      <c r="E221" s="2">
        <v>20</v>
      </c>
      <c r="F221" s="32" t="s">
        <v>1</v>
      </c>
      <c r="G221" s="93">
        <v>1215614.7</v>
      </c>
      <c r="H221" s="2">
        <v>3</v>
      </c>
      <c r="I221" s="7">
        <f t="shared" si="9"/>
        <v>3646844.0999999996</v>
      </c>
      <c r="J221" s="7">
        <f t="shared" si="10"/>
        <v>656431.93799999997</v>
      </c>
      <c r="K221" s="7">
        <f t="shared" si="11"/>
        <v>4303276.0379999997</v>
      </c>
    </row>
    <row r="222" spans="1:11" x14ac:dyDescent="0.3">
      <c r="A222" s="35">
        <v>207</v>
      </c>
      <c r="B222" s="2" t="s">
        <v>3090</v>
      </c>
      <c r="C222" s="2" t="s">
        <v>3091</v>
      </c>
      <c r="D222" s="2" t="s">
        <v>3092</v>
      </c>
      <c r="E222" s="2">
        <v>30</v>
      </c>
      <c r="F222" s="32" t="s">
        <v>1</v>
      </c>
      <c r="G222" s="93">
        <v>1215614.7</v>
      </c>
      <c r="H222" s="2">
        <v>3</v>
      </c>
      <c r="I222" s="7">
        <f t="shared" si="9"/>
        <v>3646844.0999999996</v>
      </c>
      <c r="J222" s="7">
        <f t="shared" si="10"/>
        <v>656431.93799999997</v>
      </c>
      <c r="K222" s="7">
        <f t="shared" si="11"/>
        <v>4303276.0379999997</v>
      </c>
    </row>
    <row r="223" spans="1:11" x14ac:dyDescent="0.3">
      <c r="A223" s="35">
        <v>208</v>
      </c>
      <c r="B223" s="2" t="s">
        <v>2518</v>
      </c>
      <c r="C223" s="2" t="s">
        <v>2519</v>
      </c>
      <c r="D223" s="2" t="s">
        <v>2520</v>
      </c>
      <c r="E223" s="2">
        <v>6</v>
      </c>
      <c r="F223" s="32" t="s">
        <v>1</v>
      </c>
      <c r="G223" s="93">
        <v>895360</v>
      </c>
      <c r="H223" s="2">
        <v>3</v>
      </c>
      <c r="I223" s="7">
        <f t="shared" si="9"/>
        <v>2686080</v>
      </c>
      <c r="J223" s="7">
        <f t="shared" si="10"/>
        <v>483494.39999999997</v>
      </c>
      <c r="K223" s="7">
        <f t="shared" si="11"/>
        <v>3169574.4</v>
      </c>
    </row>
    <row r="224" spans="1:11" x14ac:dyDescent="0.3">
      <c r="A224" s="35">
        <v>209</v>
      </c>
      <c r="B224" s="2" t="s">
        <v>2890</v>
      </c>
      <c r="C224" s="2" t="s">
        <v>2891</v>
      </c>
      <c r="D224" s="2" t="s">
        <v>2892</v>
      </c>
      <c r="E224" s="2">
        <v>9</v>
      </c>
      <c r="F224" s="32" t="s">
        <v>1</v>
      </c>
      <c r="G224" s="93">
        <v>895360</v>
      </c>
      <c r="H224" s="2">
        <v>3</v>
      </c>
      <c r="I224" s="7">
        <f t="shared" si="9"/>
        <v>2686080</v>
      </c>
      <c r="J224" s="7">
        <f t="shared" si="10"/>
        <v>483494.39999999997</v>
      </c>
      <c r="K224" s="7">
        <f t="shared" si="11"/>
        <v>3169574.4</v>
      </c>
    </row>
    <row r="225" spans="1:11" x14ac:dyDescent="0.3">
      <c r="A225" s="35">
        <v>210</v>
      </c>
      <c r="B225" s="2" t="s">
        <v>2293</v>
      </c>
      <c r="C225" s="2" t="s">
        <v>2294</v>
      </c>
      <c r="D225" s="2" t="s">
        <v>2295</v>
      </c>
      <c r="E225" s="2">
        <v>6</v>
      </c>
      <c r="F225" s="32" t="s">
        <v>1</v>
      </c>
      <c r="G225" s="93">
        <v>895360</v>
      </c>
      <c r="H225" s="2">
        <v>3</v>
      </c>
      <c r="I225" s="7">
        <f t="shared" si="9"/>
        <v>2686080</v>
      </c>
      <c r="J225" s="7">
        <f t="shared" si="10"/>
        <v>483494.39999999997</v>
      </c>
      <c r="K225" s="7">
        <f t="shared" si="11"/>
        <v>3169574.4</v>
      </c>
    </row>
    <row r="226" spans="1:11" x14ac:dyDescent="0.3">
      <c r="A226" s="35">
        <v>211</v>
      </c>
      <c r="B226" s="2" t="s">
        <v>2596</v>
      </c>
      <c r="C226" s="2" t="s">
        <v>2597</v>
      </c>
      <c r="D226" s="2" t="s">
        <v>2598</v>
      </c>
      <c r="E226" s="2">
        <v>28</v>
      </c>
      <c r="F226" s="32" t="s">
        <v>1</v>
      </c>
      <c r="G226" s="93">
        <v>1215614.7</v>
      </c>
      <c r="H226" s="2">
        <v>3</v>
      </c>
      <c r="I226" s="7">
        <f t="shared" si="9"/>
        <v>3646844.0999999996</v>
      </c>
      <c r="J226" s="7">
        <f t="shared" si="10"/>
        <v>656431.93799999997</v>
      </c>
      <c r="K226" s="7">
        <f t="shared" si="11"/>
        <v>4303276.0379999997</v>
      </c>
    </row>
    <row r="227" spans="1:11" x14ac:dyDescent="0.3">
      <c r="A227" s="35">
        <v>212</v>
      </c>
      <c r="B227" s="2" t="s">
        <v>2570</v>
      </c>
      <c r="C227" s="2" t="s">
        <v>2571</v>
      </c>
      <c r="D227" s="2" t="s">
        <v>2572</v>
      </c>
      <c r="E227" s="2">
        <v>30</v>
      </c>
      <c r="F227" s="32" t="s">
        <v>1</v>
      </c>
      <c r="G227" s="93">
        <v>1215614.7</v>
      </c>
      <c r="H227" s="2">
        <v>3</v>
      </c>
      <c r="I227" s="7">
        <f t="shared" si="9"/>
        <v>3646844.0999999996</v>
      </c>
      <c r="J227" s="7">
        <f t="shared" si="10"/>
        <v>656431.93799999997</v>
      </c>
      <c r="K227" s="7">
        <f t="shared" si="11"/>
        <v>4303276.0379999997</v>
      </c>
    </row>
    <row r="228" spans="1:11" x14ac:dyDescent="0.3">
      <c r="A228" s="35">
        <v>213</v>
      </c>
      <c r="B228" s="2" t="s">
        <v>3392</v>
      </c>
      <c r="C228" s="2" t="s">
        <v>3393</v>
      </c>
      <c r="D228" s="2" t="s">
        <v>3394</v>
      </c>
      <c r="E228" s="2">
        <v>27</v>
      </c>
      <c r="F228" s="32" t="s">
        <v>1</v>
      </c>
      <c r="G228" s="93">
        <v>1215614.7</v>
      </c>
      <c r="H228" s="2">
        <v>3</v>
      </c>
      <c r="I228" s="7">
        <f t="shared" si="9"/>
        <v>3646844.0999999996</v>
      </c>
      <c r="J228" s="7">
        <f t="shared" si="10"/>
        <v>656431.93799999997</v>
      </c>
      <c r="K228" s="7">
        <f t="shared" si="11"/>
        <v>4303276.0379999997</v>
      </c>
    </row>
    <row r="229" spans="1:11" x14ac:dyDescent="0.3">
      <c r="A229" s="35">
        <v>214</v>
      </c>
      <c r="B229" s="2" t="s">
        <v>2573</v>
      </c>
      <c r="C229" s="2" t="s">
        <v>2574</v>
      </c>
      <c r="D229" s="2" t="s">
        <v>2575</v>
      </c>
      <c r="E229" s="2">
        <v>20</v>
      </c>
      <c r="F229" s="32" t="s">
        <v>1</v>
      </c>
      <c r="G229" s="93">
        <v>1215614.7</v>
      </c>
      <c r="H229" s="2">
        <v>3</v>
      </c>
      <c r="I229" s="7">
        <f t="shared" si="9"/>
        <v>3646844.0999999996</v>
      </c>
      <c r="J229" s="7">
        <f t="shared" si="10"/>
        <v>656431.93799999997</v>
      </c>
      <c r="K229" s="7">
        <f t="shared" si="11"/>
        <v>4303276.0379999997</v>
      </c>
    </row>
    <row r="230" spans="1:11" x14ac:dyDescent="0.3">
      <c r="A230" s="35">
        <v>215</v>
      </c>
      <c r="B230" s="2" t="s">
        <v>3398</v>
      </c>
      <c r="C230" s="2" t="s">
        <v>3399</v>
      </c>
      <c r="D230" s="2" t="s">
        <v>3400</v>
      </c>
      <c r="E230" s="2">
        <v>24</v>
      </c>
      <c r="F230" s="32" t="s">
        <v>1</v>
      </c>
      <c r="G230" s="93">
        <v>1215614.7</v>
      </c>
      <c r="H230" s="2">
        <v>3</v>
      </c>
      <c r="I230" s="7">
        <f t="shared" si="9"/>
        <v>3646844.0999999996</v>
      </c>
      <c r="J230" s="7">
        <f t="shared" si="10"/>
        <v>656431.93799999997</v>
      </c>
      <c r="K230" s="7">
        <f t="shared" si="11"/>
        <v>4303276.0379999997</v>
      </c>
    </row>
    <row r="231" spans="1:11" x14ac:dyDescent="0.3">
      <c r="A231" s="35">
        <v>216</v>
      </c>
      <c r="B231" s="2" t="s">
        <v>2497</v>
      </c>
      <c r="C231" s="2" t="s">
        <v>2498</v>
      </c>
      <c r="D231" s="2" t="s">
        <v>2499</v>
      </c>
      <c r="E231" s="2">
        <v>24</v>
      </c>
      <c r="F231" s="32" t="s">
        <v>1</v>
      </c>
      <c r="G231" s="93">
        <v>1215614.7</v>
      </c>
      <c r="H231" s="2">
        <v>3</v>
      </c>
      <c r="I231" s="7">
        <f t="shared" si="9"/>
        <v>3646844.0999999996</v>
      </c>
      <c r="J231" s="7">
        <f t="shared" si="10"/>
        <v>656431.93799999997</v>
      </c>
      <c r="K231" s="7">
        <f t="shared" si="11"/>
        <v>4303276.0379999997</v>
      </c>
    </row>
    <row r="232" spans="1:11" x14ac:dyDescent="0.3">
      <c r="A232" s="35">
        <v>217</v>
      </c>
      <c r="B232" s="2" t="s">
        <v>2506</v>
      </c>
      <c r="C232" s="2" t="s">
        <v>2507</v>
      </c>
      <c r="D232" s="2" t="s">
        <v>2508</v>
      </c>
      <c r="E232" s="2">
        <v>20</v>
      </c>
      <c r="F232" s="32" t="s">
        <v>1</v>
      </c>
      <c r="G232" s="93">
        <v>1215614.7</v>
      </c>
      <c r="H232" s="2">
        <v>3</v>
      </c>
      <c r="I232" s="7">
        <f t="shared" si="9"/>
        <v>3646844.0999999996</v>
      </c>
      <c r="J232" s="7">
        <f t="shared" si="10"/>
        <v>656431.93799999997</v>
      </c>
      <c r="K232" s="7">
        <f t="shared" si="11"/>
        <v>4303276.0379999997</v>
      </c>
    </row>
    <row r="233" spans="1:11" x14ac:dyDescent="0.3">
      <c r="A233" s="35">
        <v>218</v>
      </c>
      <c r="B233" s="2" t="s">
        <v>2296</v>
      </c>
      <c r="C233" s="2" t="s">
        <v>2297</v>
      </c>
      <c r="D233" s="2" t="s">
        <v>2298</v>
      </c>
      <c r="E233" s="2">
        <v>6</v>
      </c>
      <c r="F233" s="32" t="s">
        <v>1</v>
      </c>
      <c r="G233" s="93">
        <v>895360</v>
      </c>
      <c r="H233" s="2">
        <v>3</v>
      </c>
      <c r="I233" s="7">
        <f t="shared" si="9"/>
        <v>2686080</v>
      </c>
      <c r="J233" s="7">
        <f t="shared" si="10"/>
        <v>483494.39999999997</v>
      </c>
      <c r="K233" s="7">
        <f t="shared" si="11"/>
        <v>3169574.4</v>
      </c>
    </row>
    <row r="234" spans="1:11" x14ac:dyDescent="0.3">
      <c r="A234" s="35">
        <v>219</v>
      </c>
      <c r="B234" s="2" t="s">
        <v>2284</v>
      </c>
      <c r="C234" s="2" t="s">
        <v>2285</v>
      </c>
      <c r="D234" s="2" t="s">
        <v>2286</v>
      </c>
      <c r="E234" s="2">
        <v>29</v>
      </c>
      <c r="F234" s="32" t="s">
        <v>1</v>
      </c>
      <c r="G234" s="93">
        <v>1215614.7</v>
      </c>
      <c r="H234" s="2">
        <v>3</v>
      </c>
      <c r="I234" s="7">
        <f t="shared" si="9"/>
        <v>3646844.0999999996</v>
      </c>
      <c r="J234" s="7">
        <f t="shared" si="10"/>
        <v>656431.93799999997</v>
      </c>
      <c r="K234" s="7">
        <f t="shared" si="11"/>
        <v>4303276.0379999997</v>
      </c>
    </row>
    <row r="235" spans="1:11" x14ac:dyDescent="0.3">
      <c r="A235" s="35">
        <v>220</v>
      </c>
      <c r="B235" s="2" t="s">
        <v>2983</v>
      </c>
      <c r="C235" s="2" t="s">
        <v>2984</v>
      </c>
      <c r="D235" s="2" t="s">
        <v>2985</v>
      </c>
      <c r="E235" s="2">
        <v>31</v>
      </c>
      <c r="F235" s="32" t="s">
        <v>1</v>
      </c>
      <c r="G235" s="93">
        <v>1215614.7</v>
      </c>
      <c r="H235" s="2">
        <v>3</v>
      </c>
      <c r="I235" s="7">
        <f t="shared" si="9"/>
        <v>3646844.0999999996</v>
      </c>
      <c r="J235" s="7">
        <f t="shared" si="10"/>
        <v>656431.93799999997</v>
      </c>
      <c r="K235" s="7">
        <f t="shared" si="11"/>
        <v>4303276.0379999997</v>
      </c>
    </row>
    <row r="236" spans="1:11" x14ac:dyDescent="0.3">
      <c r="A236" s="35">
        <v>221</v>
      </c>
      <c r="B236" s="2" t="s">
        <v>3353</v>
      </c>
      <c r="C236" s="2" t="s">
        <v>3354</v>
      </c>
      <c r="D236" s="2" t="s">
        <v>3355</v>
      </c>
      <c r="E236" s="2">
        <v>12</v>
      </c>
      <c r="F236" s="32" t="s">
        <v>1</v>
      </c>
      <c r="G236" s="93">
        <v>895360</v>
      </c>
      <c r="H236" s="2">
        <v>3</v>
      </c>
      <c r="I236" s="7">
        <f t="shared" si="9"/>
        <v>2686080</v>
      </c>
      <c r="J236" s="7">
        <f t="shared" si="10"/>
        <v>483494.39999999997</v>
      </c>
      <c r="K236" s="7">
        <f t="shared" si="11"/>
        <v>3169574.4</v>
      </c>
    </row>
    <row r="237" spans="1:11" x14ac:dyDescent="0.3">
      <c r="A237" s="35">
        <v>222</v>
      </c>
      <c r="B237" s="2" t="s">
        <v>2305</v>
      </c>
      <c r="C237" s="2" t="s">
        <v>2306</v>
      </c>
      <c r="D237" s="2" t="s">
        <v>2307</v>
      </c>
      <c r="E237" s="2">
        <v>6</v>
      </c>
      <c r="F237" s="32" t="s">
        <v>1</v>
      </c>
      <c r="G237" s="93">
        <v>895360</v>
      </c>
      <c r="H237" s="2">
        <v>3</v>
      </c>
      <c r="I237" s="7">
        <f t="shared" si="9"/>
        <v>2686080</v>
      </c>
      <c r="J237" s="7">
        <f t="shared" si="10"/>
        <v>483494.39999999997</v>
      </c>
      <c r="K237" s="7">
        <f t="shared" si="11"/>
        <v>3169574.4</v>
      </c>
    </row>
    <row r="238" spans="1:11" x14ac:dyDescent="0.3">
      <c r="A238" s="35">
        <v>223</v>
      </c>
      <c r="B238" s="2" t="s">
        <v>2476</v>
      </c>
      <c r="C238" s="2" t="s">
        <v>2477</v>
      </c>
      <c r="D238" s="2" t="s">
        <v>2478</v>
      </c>
      <c r="E238" s="2">
        <v>6</v>
      </c>
      <c r="F238" s="32" t="s">
        <v>1</v>
      </c>
      <c r="G238" s="93">
        <v>895360</v>
      </c>
      <c r="H238" s="2">
        <v>3</v>
      </c>
      <c r="I238" s="7">
        <f t="shared" si="9"/>
        <v>2686080</v>
      </c>
      <c r="J238" s="7">
        <f t="shared" si="10"/>
        <v>483494.39999999997</v>
      </c>
      <c r="K238" s="7">
        <f t="shared" si="11"/>
        <v>3169574.4</v>
      </c>
    </row>
    <row r="239" spans="1:11" x14ac:dyDescent="0.3">
      <c r="A239" s="35">
        <v>224</v>
      </c>
      <c r="B239" s="2" t="s">
        <v>2356</v>
      </c>
      <c r="C239" s="2" t="s">
        <v>2357</v>
      </c>
      <c r="D239" s="2" t="s">
        <v>2358</v>
      </c>
      <c r="E239" s="2">
        <v>29</v>
      </c>
      <c r="F239" s="32" t="s">
        <v>1</v>
      </c>
      <c r="G239" s="93">
        <v>1215614.7</v>
      </c>
      <c r="H239" s="2">
        <v>3</v>
      </c>
      <c r="I239" s="7">
        <f t="shared" si="9"/>
        <v>3646844.0999999996</v>
      </c>
      <c r="J239" s="7">
        <f t="shared" si="10"/>
        <v>656431.93799999997</v>
      </c>
      <c r="K239" s="7">
        <f t="shared" si="11"/>
        <v>4303276.0379999997</v>
      </c>
    </row>
    <row r="240" spans="1:11" x14ac:dyDescent="0.3">
      <c r="A240" s="35">
        <v>225</v>
      </c>
      <c r="B240" s="2" t="s">
        <v>2323</v>
      </c>
      <c r="C240" s="2" t="s">
        <v>2324</v>
      </c>
      <c r="D240" s="2" t="s">
        <v>2325</v>
      </c>
      <c r="E240" s="2">
        <v>9</v>
      </c>
      <c r="F240" s="32" t="s">
        <v>1</v>
      </c>
      <c r="G240" s="93">
        <v>895360</v>
      </c>
      <c r="H240" s="2">
        <v>3</v>
      </c>
      <c r="I240" s="7">
        <f t="shared" si="9"/>
        <v>2686080</v>
      </c>
      <c r="J240" s="7">
        <f t="shared" si="10"/>
        <v>483494.39999999997</v>
      </c>
      <c r="K240" s="7">
        <f t="shared" si="11"/>
        <v>3169574.4</v>
      </c>
    </row>
    <row r="241" spans="1:11" x14ac:dyDescent="0.3">
      <c r="A241" s="35">
        <v>226</v>
      </c>
      <c r="B241" s="2" t="s">
        <v>2593</v>
      </c>
      <c r="C241" s="2" t="s">
        <v>2594</v>
      </c>
      <c r="D241" s="2" t="s">
        <v>2595</v>
      </c>
      <c r="E241" s="2">
        <v>27</v>
      </c>
      <c r="F241" s="32" t="s">
        <v>1</v>
      </c>
      <c r="G241" s="93">
        <v>1215614.7</v>
      </c>
      <c r="H241" s="2">
        <v>3</v>
      </c>
      <c r="I241" s="7">
        <f t="shared" si="9"/>
        <v>3646844.0999999996</v>
      </c>
      <c r="J241" s="7">
        <f t="shared" si="10"/>
        <v>656431.93799999997</v>
      </c>
      <c r="K241" s="7">
        <f t="shared" si="11"/>
        <v>4303276.0379999997</v>
      </c>
    </row>
    <row r="242" spans="1:11" x14ac:dyDescent="0.3">
      <c r="A242" s="35">
        <v>227</v>
      </c>
      <c r="B242" s="2" t="s">
        <v>2344</v>
      </c>
      <c r="C242" s="2" t="s">
        <v>2345</v>
      </c>
      <c r="D242" s="2" t="s">
        <v>2346</v>
      </c>
      <c r="E242" s="2">
        <v>9</v>
      </c>
      <c r="F242" s="32" t="s">
        <v>1</v>
      </c>
      <c r="G242" s="93">
        <v>895360</v>
      </c>
      <c r="H242" s="2">
        <v>3</v>
      </c>
      <c r="I242" s="7">
        <f t="shared" si="9"/>
        <v>2686080</v>
      </c>
      <c r="J242" s="7">
        <f t="shared" si="10"/>
        <v>483494.39999999997</v>
      </c>
      <c r="K242" s="7">
        <f t="shared" si="11"/>
        <v>3169574.4</v>
      </c>
    </row>
    <row r="243" spans="1:11" x14ac:dyDescent="0.3">
      <c r="A243" s="35">
        <v>228</v>
      </c>
      <c r="B243" s="2" t="s">
        <v>2590</v>
      </c>
      <c r="C243" s="2" t="s">
        <v>2591</v>
      </c>
      <c r="D243" s="2" t="s">
        <v>2592</v>
      </c>
      <c r="E243" s="2">
        <v>33</v>
      </c>
      <c r="F243" s="32" t="s">
        <v>1</v>
      </c>
      <c r="G243" s="93">
        <v>1435883.79</v>
      </c>
      <c r="H243" s="2">
        <v>3</v>
      </c>
      <c r="I243" s="7">
        <f t="shared" si="9"/>
        <v>4307651.37</v>
      </c>
      <c r="J243" s="7">
        <f t="shared" si="10"/>
        <v>775377.24659999995</v>
      </c>
      <c r="K243" s="7">
        <f t="shared" si="11"/>
        <v>5083028.6166000003</v>
      </c>
    </row>
    <row r="244" spans="1:11" x14ac:dyDescent="0.3">
      <c r="A244" s="35">
        <v>229</v>
      </c>
      <c r="B244" s="2" t="s">
        <v>3061</v>
      </c>
      <c r="C244" s="2" t="s">
        <v>3062</v>
      </c>
      <c r="D244" s="2" t="s">
        <v>3063</v>
      </c>
      <c r="E244" s="2">
        <v>16</v>
      </c>
      <c r="F244" s="32" t="s">
        <v>1</v>
      </c>
      <c r="G244" s="93">
        <v>895360</v>
      </c>
      <c r="H244" s="2">
        <v>3</v>
      </c>
      <c r="I244" s="7">
        <f t="shared" si="9"/>
        <v>2686080</v>
      </c>
      <c r="J244" s="7">
        <f t="shared" si="10"/>
        <v>483494.39999999997</v>
      </c>
      <c r="K244" s="7">
        <f t="shared" si="11"/>
        <v>3169574.4</v>
      </c>
    </row>
    <row r="245" spans="1:11" x14ac:dyDescent="0.3">
      <c r="A245" s="35">
        <v>230</v>
      </c>
      <c r="B245" s="2" t="s">
        <v>3064</v>
      </c>
      <c r="C245" s="2" t="s">
        <v>3065</v>
      </c>
      <c r="D245" s="2" t="s">
        <v>3066</v>
      </c>
      <c r="E245" s="2">
        <v>26</v>
      </c>
      <c r="F245" s="32" t="s">
        <v>1</v>
      </c>
      <c r="G245" s="93">
        <v>1215614.7</v>
      </c>
      <c r="H245" s="2">
        <v>3</v>
      </c>
      <c r="I245" s="7">
        <f t="shared" si="9"/>
        <v>3646844.0999999996</v>
      </c>
      <c r="J245" s="7">
        <f t="shared" si="10"/>
        <v>656431.93799999997</v>
      </c>
      <c r="K245" s="7">
        <f t="shared" si="11"/>
        <v>4303276.0379999997</v>
      </c>
    </row>
    <row r="246" spans="1:11" x14ac:dyDescent="0.3">
      <c r="A246" s="35">
        <v>231</v>
      </c>
      <c r="B246" s="2" t="s">
        <v>3070</v>
      </c>
      <c r="C246" s="2" t="s">
        <v>3071</v>
      </c>
      <c r="D246" s="2" t="s">
        <v>3072</v>
      </c>
      <c r="E246" s="2">
        <v>35</v>
      </c>
      <c r="F246" s="32" t="s">
        <v>1</v>
      </c>
      <c r="G246" s="93">
        <v>1435883.79</v>
      </c>
      <c r="H246" s="2">
        <v>3</v>
      </c>
      <c r="I246" s="7">
        <f t="shared" si="9"/>
        <v>4307651.37</v>
      </c>
      <c r="J246" s="7">
        <f t="shared" si="10"/>
        <v>775377.24659999995</v>
      </c>
      <c r="K246" s="7">
        <f t="shared" si="11"/>
        <v>5083028.6166000003</v>
      </c>
    </row>
    <row r="247" spans="1:11" x14ac:dyDescent="0.3">
      <c r="A247" s="35">
        <v>232</v>
      </c>
      <c r="B247" s="2" t="s">
        <v>3395</v>
      </c>
      <c r="C247" s="2" t="s">
        <v>3396</v>
      </c>
      <c r="D247" s="2" t="s">
        <v>3397</v>
      </c>
      <c r="E247" s="2">
        <v>26</v>
      </c>
      <c r="F247" s="32" t="s">
        <v>1</v>
      </c>
      <c r="G247" s="93">
        <v>1215614.7</v>
      </c>
      <c r="H247" s="2">
        <v>3</v>
      </c>
      <c r="I247" s="7">
        <f t="shared" si="9"/>
        <v>3646844.0999999996</v>
      </c>
      <c r="J247" s="7">
        <f t="shared" si="10"/>
        <v>656431.93799999997</v>
      </c>
      <c r="K247" s="7">
        <f t="shared" si="11"/>
        <v>4303276.0379999997</v>
      </c>
    </row>
    <row r="248" spans="1:11" x14ac:dyDescent="0.3">
      <c r="A248" s="35">
        <v>233</v>
      </c>
      <c r="B248" s="2" t="s">
        <v>2995</v>
      </c>
      <c r="C248" s="2" t="s">
        <v>2996</v>
      </c>
      <c r="D248" s="2" t="s">
        <v>2997</v>
      </c>
      <c r="E248" s="2">
        <v>30</v>
      </c>
      <c r="F248" s="32" t="s">
        <v>1</v>
      </c>
      <c r="G248" s="93">
        <v>1215614.7</v>
      </c>
      <c r="H248" s="2">
        <v>3</v>
      </c>
      <c r="I248" s="7">
        <f t="shared" si="9"/>
        <v>3646844.0999999996</v>
      </c>
      <c r="J248" s="7">
        <f t="shared" si="10"/>
        <v>656431.93799999997</v>
      </c>
      <c r="K248" s="7">
        <f t="shared" si="11"/>
        <v>4303276.0379999997</v>
      </c>
    </row>
    <row r="249" spans="1:11" x14ac:dyDescent="0.3">
      <c r="A249" s="35">
        <v>234</v>
      </c>
      <c r="B249" s="2" t="s">
        <v>2809</v>
      </c>
      <c r="C249" s="2" t="s">
        <v>2810</v>
      </c>
      <c r="D249" s="2" t="s">
        <v>2811</v>
      </c>
      <c r="E249" s="2">
        <v>67</v>
      </c>
      <c r="F249" s="32" t="s">
        <v>1</v>
      </c>
      <c r="G249" s="93">
        <v>1744861.92</v>
      </c>
      <c r="H249" s="2">
        <v>3</v>
      </c>
      <c r="I249" s="7">
        <f t="shared" si="9"/>
        <v>5234585.76</v>
      </c>
      <c r="J249" s="7">
        <f t="shared" si="10"/>
        <v>942225.43679999991</v>
      </c>
      <c r="K249" s="7">
        <f t="shared" si="11"/>
        <v>6176811.1968</v>
      </c>
    </row>
    <row r="250" spans="1:11" x14ac:dyDescent="0.3">
      <c r="A250" s="35">
        <v>235</v>
      </c>
      <c r="B250" s="2" t="s">
        <v>3019</v>
      </c>
      <c r="C250" s="2" t="s">
        <v>3020</v>
      </c>
      <c r="D250" s="2" t="s">
        <v>3021</v>
      </c>
      <c r="E250" s="2">
        <v>41</v>
      </c>
      <c r="F250" s="32" t="s">
        <v>1</v>
      </c>
      <c r="G250" s="93">
        <v>1435883.79</v>
      </c>
      <c r="H250" s="2">
        <v>3</v>
      </c>
      <c r="I250" s="7">
        <f t="shared" si="9"/>
        <v>4307651.37</v>
      </c>
      <c r="J250" s="7">
        <f t="shared" si="10"/>
        <v>775377.24659999995</v>
      </c>
      <c r="K250" s="7">
        <f t="shared" si="11"/>
        <v>5083028.6166000003</v>
      </c>
    </row>
    <row r="251" spans="1:11" x14ac:dyDescent="0.3">
      <c r="A251" s="35">
        <v>236</v>
      </c>
      <c r="B251" s="2" t="s">
        <v>2237</v>
      </c>
      <c r="C251" s="2" t="s">
        <v>2238</v>
      </c>
      <c r="D251" s="2" t="s">
        <v>2239</v>
      </c>
      <c r="E251" s="2">
        <v>25</v>
      </c>
      <c r="F251" s="32" t="s">
        <v>1</v>
      </c>
      <c r="G251" s="93">
        <v>1215614.7</v>
      </c>
      <c r="H251" s="2">
        <v>3</v>
      </c>
      <c r="I251" s="7">
        <f t="shared" si="9"/>
        <v>3646844.0999999996</v>
      </c>
      <c r="J251" s="7">
        <f t="shared" si="10"/>
        <v>656431.93799999997</v>
      </c>
      <c r="K251" s="7">
        <f t="shared" si="11"/>
        <v>4303276.0379999997</v>
      </c>
    </row>
    <row r="252" spans="1:11" x14ac:dyDescent="0.3">
      <c r="A252" s="35">
        <v>237</v>
      </c>
      <c r="B252" s="2" t="s">
        <v>969</v>
      </c>
      <c r="C252" s="2" t="s">
        <v>970</v>
      </c>
      <c r="D252" s="2" t="s">
        <v>971</v>
      </c>
      <c r="E252" s="2">
        <v>51</v>
      </c>
      <c r="F252" s="32" t="s">
        <v>1</v>
      </c>
      <c r="G252" s="93">
        <v>1744861.92</v>
      </c>
      <c r="H252" s="2">
        <v>3</v>
      </c>
      <c r="I252" s="7">
        <f t="shared" si="9"/>
        <v>5234585.76</v>
      </c>
      <c r="J252" s="7">
        <f t="shared" si="10"/>
        <v>942225.43679999991</v>
      </c>
      <c r="K252" s="7">
        <f t="shared" si="11"/>
        <v>6176811.1968</v>
      </c>
    </row>
    <row r="253" spans="1:11" x14ac:dyDescent="0.3">
      <c r="A253" s="35">
        <v>238</v>
      </c>
      <c r="B253" s="2" t="s">
        <v>2255</v>
      </c>
      <c r="C253" s="2" t="s">
        <v>2256</v>
      </c>
      <c r="D253" s="2" t="s">
        <v>2257</v>
      </c>
      <c r="E253" s="2">
        <v>54.7</v>
      </c>
      <c r="F253" s="32" t="s">
        <v>1</v>
      </c>
      <c r="G253" s="93">
        <v>1744861.92</v>
      </c>
      <c r="H253" s="2">
        <v>3</v>
      </c>
      <c r="I253" s="7">
        <f t="shared" si="9"/>
        <v>5234585.76</v>
      </c>
      <c r="J253" s="7">
        <f t="shared" si="10"/>
        <v>942225.43679999991</v>
      </c>
      <c r="K253" s="7">
        <f t="shared" si="11"/>
        <v>6176811.1968</v>
      </c>
    </row>
    <row r="254" spans="1:11" x14ac:dyDescent="0.3">
      <c r="A254" s="35">
        <v>239</v>
      </c>
      <c r="B254" s="2" t="s">
        <v>2806</v>
      </c>
      <c r="C254" s="2" t="s">
        <v>2807</v>
      </c>
      <c r="D254" s="2" t="s">
        <v>2808</v>
      </c>
      <c r="E254" s="2">
        <v>21</v>
      </c>
      <c r="F254" s="32" t="s">
        <v>1</v>
      </c>
      <c r="G254" s="93">
        <v>1215614.7</v>
      </c>
      <c r="H254" s="2">
        <v>3</v>
      </c>
      <c r="I254" s="7">
        <f t="shared" si="9"/>
        <v>3646844.0999999996</v>
      </c>
      <c r="J254" s="7">
        <f t="shared" si="10"/>
        <v>656431.93799999997</v>
      </c>
      <c r="K254" s="7">
        <f t="shared" si="11"/>
        <v>4303276.0379999997</v>
      </c>
    </row>
    <row r="255" spans="1:11" x14ac:dyDescent="0.3">
      <c r="A255" s="35">
        <v>240</v>
      </c>
      <c r="B255" s="2" t="s">
        <v>972</v>
      </c>
      <c r="C255" s="2" t="s">
        <v>973</v>
      </c>
      <c r="D255" s="2" t="s">
        <v>974</v>
      </c>
      <c r="E255" s="2">
        <v>52</v>
      </c>
      <c r="F255" s="32" t="s">
        <v>1</v>
      </c>
      <c r="G255" s="93">
        <v>1744861.92</v>
      </c>
      <c r="H255" s="2">
        <v>3</v>
      </c>
      <c r="I255" s="7">
        <f t="shared" si="9"/>
        <v>5234585.76</v>
      </c>
      <c r="J255" s="7">
        <f t="shared" si="10"/>
        <v>942225.43679999991</v>
      </c>
      <c r="K255" s="7">
        <f t="shared" si="11"/>
        <v>6176811.1968</v>
      </c>
    </row>
    <row r="256" spans="1:11" x14ac:dyDescent="0.3">
      <c r="A256" s="35">
        <v>241</v>
      </c>
      <c r="B256" s="2" t="s">
        <v>3386</v>
      </c>
      <c r="C256" s="2" t="s">
        <v>3387</v>
      </c>
      <c r="D256" s="2" t="s">
        <v>3388</v>
      </c>
      <c r="E256" s="2">
        <v>73</v>
      </c>
      <c r="F256" s="32" t="s">
        <v>1</v>
      </c>
      <c r="G256" s="93">
        <v>1744861.92</v>
      </c>
      <c r="H256" s="2">
        <v>3</v>
      </c>
      <c r="I256" s="7">
        <f t="shared" si="9"/>
        <v>5234585.76</v>
      </c>
      <c r="J256" s="7">
        <f t="shared" si="10"/>
        <v>942225.43679999991</v>
      </c>
      <c r="K256" s="7">
        <f t="shared" si="11"/>
        <v>6176811.1968</v>
      </c>
    </row>
    <row r="257" spans="1:11" x14ac:dyDescent="0.3">
      <c r="A257" s="35">
        <v>242</v>
      </c>
      <c r="B257" s="2" t="s">
        <v>3049</v>
      </c>
      <c r="C257" s="2" t="s">
        <v>3050</v>
      </c>
      <c r="D257" s="2" t="s">
        <v>3051</v>
      </c>
      <c r="E257" s="2">
        <v>40</v>
      </c>
      <c r="F257" s="32" t="s">
        <v>1</v>
      </c>
      <c r="G257" s="93">
        <v>1435883.79</v>
      </c>
      <c r="H257" s="2">
        <v>3</v>
      </c>
      <c r="I257" s="7">
        <f t="shared" si="9"/>
        <v>4307651.37</v>
      </c>
      <c r="J257" s="7">
        <f t="shared" si="10"/>
        <v>775377.24659999995</v>
      </c>
      <c r="K257" s="7">
        <f t="shared" si="11"/>
        <v>5083028.6166000003</v>
      </c>
    </row>
    <row r="258" spans="1:11" x14ac:dyDescent="0.3">
      <c r="A258" s="35">
        <v>243</v>
      </c>
      <c r="B258" s="2" t="s">
        <v>989</v>
      </c>
      <c r="C258" s="2" t="s">
        <v>990</v>
      </c>
      <c r="D258" s="2" t="s">
        <v>991</v>
      </c>
      <c r="E258" s="2">
        <v>63</v>
      </c>
      <c r="F258" s="32" t="s">
        <v>1</v>
      </c>
      <c r="G258" s="93">
        <v>1744861.92</v>
      </c>
      <c r="H258" s="2">
        <v>3</v>
      </c>
      <c r="I258" s="7">
        <f t="shared" si="9"/>
        <v>5234585.76</v>
      </c>
      <c r="J258" s="7">
        <f t="shared" si="10"/>
        <v>942225.43679999991</v>
      </c>
      <c r="K258" s="7">
        <f t="shared" si="11"/>
        <v>6176811.1968</v>
      </c>
    </row>
    <row r="259" spans="1:11" x14ac:dyDescent="0.3">
      <c r="A259" s="35">
        <v>244</v>
      </c>
      <c r="B259" s="2" t="s">
        <v>3176</v>
      </c>
      <c r="C259" s="2" t="s">
        <v>3177</v>
      </c>
      <c r="D259" s="2" t="s">
        <v>3178</v>
      </c>
      <c r="E259" s="2">
        <v>60</v>
      </c>
      <c r="F259" s="32" t="s">
        <v>1</v>
      </c>
      <c r="G259" s="93">
        <v>1744861.92</v>
      </c>
      <c r="H259" s="2">
        <v>3</v>
      </c>
      <c r="I259" s="7">
        <f t="shared" si="9"/>
        <v>5234585.76</v>
      </c>
      <c r="J259" s="7">
        <f t="shared" si="10"/>
        <v>942225.43679999991</v>
      </c>
      <c r="K259" s="7">
        <f t="shared" si="11"/>
        <v>6176811.1968</v>
      </c>
    </row>
    <row r="260" spans="1:11" x14ac:dyDescent="0.3">
      <c r="A260" s="35">
        <v>245</v>
      </c>
      <c r="B260" s="2" t="s">
        <v>3034</v>
      </c>
      <c r="C260" s="2" t="s">
        <v>3035</v>
      </c>
      <c r="D260" s="2" t="s">
        <v>3036</v>
      </c>
      <c r="E260" s="2">
        <v>33</v>
      </c>
      <c r="F260" s="32" t="s">
        <v>1</v>
      </c>
      <c r="G260" s="93">
        <v>1435883.79</v>
      </c>
      <c r="H260" s="2">
        <v>3</v>
      </c>
      <c r="I260" s="7">
        <f t="shared" si="9"/>
        <v>4307651.37</v>
      </c>
      <c r="J260" s="7">
        <f t="shared" si="10"/>
        <v>775377.24659999995</v>
      </c>
      <c r="K260" s="7">
        <f t="shared" si="11"/>
        <v>5083028.6166000003</v>
      </c>
    </row>
    <row r="261" spans="1:11" x14ac:dyDescent="0.3">
      <c r="A261" s="35">
        <v>246</v>
      </c>
      <c r="B261" s="2" t="s">
        <v>1046</v>
      </c>
      <c r="C261" s="2" t="s">
        <v>1047</v>
      </c>
      <c r="D261" s="2" t="s">
        <v>1048</v>
      </c>
      <c r="E261" s="2">
        <v>65</v>
      </c>
      <c r="F261" s="32" t="s">
        <v>1</v>
      </c>
      <c r="G261" s="93">
        <v>1744861.92</v>
      </c>
      <c r="H261" s="2">
        <v>3</v>
      </c>
      <c r="I261" s="7">
        <f t="shared" si="9"/>
        <v>5234585.76</v>
      </c>
      <c r="J261" s="7">
        <f t="shared" si="10"/>
        <v>942225.43679999991</v>
      </c>
      <c r="K261" s="7">
        <f t="shared" si="11"/>
        <v>6176811.1968</v>
      </c>
    </row>
    <row r="262" spans="1:11" x14ac:dyDescent="0.3">
      <c r="A262" s="35">
        <v>247</v>
      </c>
      <c r="B262" s="2" t="s">
        <v>957</v>
      </c>
      <c r="C262" s="2" t="s">
        <v>958</v>
      </c>
      <c r="D262" s="2" t="s">
        <v>959</v>
      </c>
      <c r="E262" s="2">
        <v>28</v>
      </c>
      <c r="F262" s="32" t="s">
        <v>1</v>
      </c>
      <c r="G262" s="93">
        <v>1215614.7</v>
      </c>
      <c r="H262" s="2">
        <v>3</v>
      </c>
      <c r="I262" s="7">
        <f t="shared" si="9"/>
        <v>3646844.0999999996</v>
      </c>
      <c r="J262" s="7">
        <f t="shared" si="10"/>
        <v>656431.93799999997</v>
      </c>
      <c r="K262" s="7">
        <f t="shared" si="11"/>
        <v>4303276.0379999997</v>
      </c>
    </row>
    <row r="263" spans="1:11" x14ac:dyDescent="0.3">
      <c r="A263" s="35">
        <v>248</v>
      </c>
      <c r="B263" s="2" t="s">
        <v>950</v>
      </c>
      <c r="C263" s="2" t="s">
        <v>951</v>
      </c>
      <c r="D263" s="2" t="s">
        <v>952</v>
      </c>
      <c r="E263" s="2">
        <v>6</v>
      </c>
      <c r="F263" s="32" t="s">
        <v>1</v>
      </c>
      <c r="G263" s="93">
        <v>895360</v>
      </c>
      <c r="H263" s="2">
        <v>3</v>
      </c>
      <c r="I263" s="7">
        <f t="shared" si="9"/>
        <v>2686080</v>
      </c>
      <c r="J263" s="7">
        <f t="shared" si="10"/>
        <v>483494.39999999997</v>
      </c>
      <c r="K263" s="7">
        <f t="shared" si="11"/>
        <v>3169574.4</v>
      </c>
    </row>
    <row r="264" spans="1:11" x14ac:dyDescent="0.3">
      <c r="A264" s="35">
        <v>249</v>
      </c>
      <c r="B264" s="2" t="s">
        <v>954</v>
      </c>
      <c r="C264" s="2" t="s">
        <v>955</v>
      </c>
      <c r="D264" s="2" t="s">
        <v>956</v>
      </c>
      <c r="E264" s="2">
        <v>24</v>
      </c>
      <c r="F264" s="32" t="s">
        <v>1</v>
      </c>
      <c r="G264" s="93">
        <v>1215614.7</v>
      </c>
      <c r="H264" s="2">
        <v>3</v>
      </c>
      <c r="I264" s="7">
        <f t="shared" si="9"/>
        <v>3646844.0999999996</v>
      </c>
      <c r="J264" s="7">
        <f t="shared" si="10"/>
        <v>656431.93799999997</v>
      </c>
      <c r="K264" s="7">
        <f t="shared" si="11"/>
        <v>4303276.0379999997</v>
      </c>
    </row>
    <row r="265" spans="1:11" x14ac:dyDescent="0.3">
      <c r="A265" s="35">
        <v>250</v>
      </c>
      <c r="B265" s="2" t="s">
        <v>947</v>
      </c>
      <c r="C265" s="2" t="s">
        <v>948</v>
      </c>
      <c r="D265" s="2" t="s">
        <v>949</v>
      </c>
      <c r="E265" s="2">
        <v>6</v>
      </c>
      <c r="F265" s="32" t="s">
        <v>1</v>
      </c>
      <c r="G265" s="93">
        <v>895360</v>
      </c>
      <c r="H265" s="2">
        <v>3</v>
      </c>
      <c r="I265" s="7">
        <f t="shared" si="9"/>
        <v>2686080</v>
      </c>
      <c r="J265" s="7">
        <f t="shared" si="10"/>
        <v>483494.39999999997</v>
      </c>
      <c r="K265" s="7">
        <f t="shared" si="11"/>
        <v>3169574.4</v>
      </c>
    </row>
    <row r="266" spans="1:11" x14ac:dyDescent="0.3">
      <c r="A266" s="35">
        <v>251</v>
      </c>
      <c r="B266" s="2" t="s">
        <v>938</v>
      </c>
      <c r="C266" s="2" t="s">
        <v>939</v>
      </c>
      <c r="D266" s="2" t="s">
        <v>940</v>
      </c>
      <c r="E266" s="2">
        <v>35</v>
      </c>
      <c r="F266" s="32" t="s">
        <v>1</v>
      </c>
      <c r="G266" s="93">
        <v>1435883.79</v>
      </c>
      <c r="H266" s="2">
        <v>3</v>
      </c>
      <c r="I266" s="7">
        <f t="shared" si="9"/>
        <v>4307651.37</v>
      </c>
      <c r="J266" s="7">
        <f t="shared" si="10"/>
        <v>775377.24659999995</v>
      </c>
      <c r="K266" s="7">
        <f t="shared" si="11"/>
        <v>5083028.6166000003</v>
      </c>
    </row>
    <row r="267" spans="1:11" x14ac:dyDescent="0.3">
      <c r="A267" s="35">
        <v>252</v>
      </c>
      <c r="B267" s="2" t="s">
        <v>887</v>
      </c>
      <c r="C267" s="2" t="s">
        <v>888</v>
      </c>
      <c r="D267" s="2" t="s">
        <v>889</v>
      </c>
      <c r="E267" s="2">
        <v>33</v>
      </c>
      <c r="F267" s="32" t="s">
        <v>1</v>
      </c>
      <c r="G267" s="93">
        <v>1435883.79</v>
      </c>
      <c r="H267" s="2">
        <v>3</v>
      </c>
      <c r="I267" s="7">
        <f t="shared" si="9"/>
        <v>4307651.37</v>
      </c>
      <c r="J267" s="7">
        <f t="shared" si="10"/>
        <v>775377.24659999995</v>
      </c>
      <c r="K267" s="7">
        <f t="shared" si="11"/>
        <v>5083028.6166000003</v>
      </c>
    </row>
    <row r="268" spans="1:11" x14ac:dyDescent="0.3">
      <c r="A268" s="35">
        <v>253</v>
      </c>
      <c r="B268" s="2" t="s">
        <v>944</v>
      </c>
      <c r="C268" s="2" t="s">
        <v>945</v>
      </c>
      <c r="D268" s="2" t="s">
        <v>946</v>
      </c>
      <c r="E268" s="2">
        <v>35</v>
      </c>
      <c r="F268" s="32" t="s">
        <v>1</v>
      </c>
      <c r="G268" s="93">
        <v>1435883.79</v>
      </c>
      <c r="H268" s="2">
        <v>3</v>
      </c>
      <c r="I268" s="7">
        <f t="shared" si="9"/>
        <v>4307651.37</v>
      </c>
      <c r="J268" s="7">
        <f t="shared" si="10"/>
        <v>775377.24659999995</v>
      </c>
      <c r="K268" s="7">
        <f t="shared" si="11"/>
        <v>5083028.6166000003</v>
      </c>
    </row>
    <row r="269" spans="1:11" x14ac:dyDescent="0.3">
      <c r="A269" s="35">
        <v>254</v>
      </c>
      <c r="B269" s="2" t="s">
        <v>941</v>
      </c>
      <c r="C269" s="2" t="s">
        <v>942</v>
      </c>
      <c r="D269" s="2" t="s">
        <v>943</v>
      </c>
      <c r="E269" s="2">
        <v>32</v>
      </c>
      <c r="F269" s="32" t="s">
        <v>1</v>
      </c>
      <c r="G269" s="93">
        <v>1215614.7</v>
      </c>
      <c r="H269" s="2">
        <v>3</v>
      </c>
      <c r="I269" s="7">
        <f t="shared" si="9"/>
        <v>3646844.0999999996</v>
      </c>
      <c r="J269" s="7">
        <f t="shared" si="10"/>
        <v>656431.93799999997</v>
      </c>
      <c r="K269" s="7">
        <f t="shared" si="11"/>
        <v>4303276.0379999997</v>
      </c>
    </row>
    <row r="270" spans="1:11" x14ac:dyDescent="0.3">
      <c r="A270" s="35">
        <v>255</v>
      </c>
      <c r="B270" s="2" t="s">
        <v>884</v>
      </c>
      <c r="C270" s="2" t="s">
        <v>885</v>
      </c>
      <c r="D270" s="2" t="s">
        <v>886</v>
      </c>
      <c r="E270" s="2">
        <v>55</v>
      </c>
      <c r="F270" s="32" t="s">
        <v>1</v>
      </c>
      <c r="G270" s="93">
        <v>1744861.92</v>
      </c>
      <c r="H270" s="2">
        <v>3</v>
      </c>
      <c r="I270" s="7">
        <f t="shared" si="9"/>
        <v>5234585.76</v>
      </c>
      <c r="J270" s="7">
        <f t="shared" si="10"/>
        <v>942225.43679999991</v>
      </c>
      <c r="K270" s="7">
        <f t="shared" si="11"/>
        <v>6176811.1968</v>
      </c>
    </row>
    <row r="271" spans="1:11" x14ac:dyDescent="0.3">
      <c r="A271" s="35">
        <v>256</v>
      </c>
      <c r="B271" s="2" t="s">
        <v>859</v>
      </c>
      <c r="C271" s="2" t="s">
        <v>860</v>
      </c>
      <c r="D271" s="2" t="s">
        <v>861</v>
      </c>
      <c r="E271" s="2">
        <v>62</v>
      </c>
      <c r="F271" s="32" t="s">
        <v>1</v>
      </c>
      <c r="G271" s="93">
        <v>1744861.92</v>
      </c>
      <c r="H271" s="2">
        <v>3</v>
      </c>
      <c r="I271" s="7">
        <f t="shared" si="9"/>
        <v>5234585.76</v>
      </c>
      <c r="J271" s="7">
        <f t="shared" si="10"/>
        <v>942225.43679999991</v>
      </c>
      <c r="K271" s="7">
        <f t="shared" si="11"/>
        <v>6176811.1968</v>
      </c>
    </row>
    <row r="272" spans="1:11" x14ac:dyDescent="0.3">
      <c r="A272" s="35">
        <v>257</v>
      </c>
      <c r="B272" s="2" t="s">
        <v>923</v>
      </c>
      <c r="C272" s="2" t="s">
        <v>924</v>
      </c>
      <c r="D272" s="2" t="s">
        <v>925</v>
      </c>
      <c r="E272" s="2">
        <v>62</v>
      </c>
      <c r="F272" s="32" t="s">
        <v>1</v>
      </c>
      <c r="G272" s="93">
        <v>1744861.92</v>
      </c>
      <c r="H272" s="2">
        <v>3</v>
      </c>
      <c r="I272" s="7">
        <f t="shared" si="9"/>
        <v>5234585.76</v>
      </c>
      <c r="J272" s="7">
        <f t="shared" si="10"/>
        <v>942225.43679999991</v>
      </c>
      <c r="K272" s="7">
        <f t="shared" si="11"/>
        <v>6176811.1968</v>
      </c>
    </row>
    <row r="273" spans="1:11" x14ac:dyDescent="0.3">
      <c r="A273" s="35">
        <v>258</v>
      </c>
      <c r="B273" s="2" t="s">
        <v>688</v>
      </c>
      <c r="C273" s="2" t="s">
        <v>689</v>
      </c>
      <c r="D273" s="2" t="s">
        <v>690</v>
      </c>
      <c r="E273" s="2">
        <v>40</v>
      </c>
      <c r="F273" s="32" t="s">
        <v>1</v>
      </c>
      <c r="G273" s="93">
        <v>1435883.79</v>
      </c>
      <c r="H273" s="2">
        <v>3</v>
      </c>
      <c r="I273" s="7">
        <f t="shared" ref="I273:I336" si="12">+G273*H273</f>
        <v>4307651.37</v>
      </c>
      <c r="J273" s="7">
        <f t="shared" ref="J273:J336" si="13">+I273*0.18</f>
        <v>775377.24659999995</v>
      </c>
      <c r="K273" s="7">
        <f t="shared" ref="K273:K336" si="14">+I273+J273</f>
        <v>5083028.6166000003</v>
      </c>
    </row>
    <row r="274" spans="1:11" x14ac:dyDescent="0.3">
      <c r="A274" s="35">
        <v>259</v>
      </c>
      <c r="B274" s="2" t="s">
        <v>728</v>
      </c>
      <c r="C274" s="2" t="s">
        <v>729</v>
      </c>
      <c r="D274" s="2" t="s">
        <v>730</v>
      </c>
      <c r="E274" s="2">
        <v>21</v>
      </c>
      <c r="F274" s="32" t="s">
        <v>1</v>
      </c>
      <c r="G274" s="93">
        <v>1215614.7</v>
      </c>
      <c r="H274" s="2">
        <v>3</v>
      </c>
      <c r="I274" s="7">
        <f t="shared" si="12"/>
        <v>3646844.0999999996</v>
      </c>
      <c r="J274" s="7">
        <f t="shared" si="13"/>
        <v>656431.93799999997</v>
      </c>
      <c r="K274" s="7">
        <f t="shared" si="14"/>
        <v>4303276.0379999997</v>
      </c>
    </row>
    <row r="275" spans="1:11" x14ac:dyDescent="0.3">
      <c r="A275" s="35">
        <v>260</v>
      </c>
      <c r="B275" s="2" t="s">
        <v>597</v>
      </c>
      <c r="C275" s="2" t="s">
        <v>598</v>
      </c>
      <c r="D275" s="2" t="s">
        <v>599</v>
      </c>
      <c r="E275" s="2">
        <v>10</v>
      </c>
      <c r="F275" s="32" t="s">
        <v>1</v>
      </c>
      <c r="G275" s="93">
        <v>895360</v>
      </c>
      <c r="H275" s="2">
        <v>3</v>
      </c>
      <c r="I275" s="7">
        <f t="shared" si="12"/>
        <v>2686080</v>
      </c>
      <c r="J275" s="7">
        <f t="shared" si="13"/>
        <v>483494.39999999997</v>
      </c>
      <c r="K275" s="7">
        <f t="shared" si="14"/>
        <v>3169574.4</v>
      </c>
    </row>
    <row r="276" spans="1:11" x14ac:dyDescent="0.3">
      <c r="A276" s="35">
        <v>261</v>
      </c>
      <c r="B276" s="2" t="s">
        <v>627</v>
      </c>
      <c r="C276" s="2" t="s">
        <v>628</v>
      </c>
      <c r="D276" s="2" t="s">
        <v>629</v>
      </c>
      <c r="E276" s="2">
        <v>18</v>
      </c>
      <c r="F276" s="32" t="s">
        <v>1</v>
      </c>
      <c r="G276" s="93">
        <v>895360</v>
      </c>
      <c r="H276" s="2">
        <v>3</v>
      </c>
      <c r="I276" s="7">
        <f t="shared" si="12"/>
        <v>2686080</v>
      </c>
      <c r="J276" s="7">
        <f t="shared" si="13"/>
        <v>483494.39999999997</v>
      </c>
      <c r="K276" s="7">
        <f t="shared" si="14"/>
        <v>3169574.4</v>
      </c>
    </row>
    <row r="277" spans="1:11" x14ac:dyDescent="0.3">
      <c r="A277" s="35">
        <v>262</v>
      </c>
      <c r="B277" s="2" t="s">
        <v>592</v>
      </c>
      <c r="C277" s="2" t="s">
        <v>593</v>
      </c>
      <c r="D277" s="2" t="s">
        <v>594</v>
      </c>
      <c r="E277" s="2">
        <v>30</v>
      </c>
      <c r="F277" s="32" t="s">
        <v>1</v>
      </c>
      <c r="G277" s="93">
        <v>1215614.7</v>
      </c>
      <c r="H277" s="2">
        <v>3</v>
      </c>
      <c r="I277" s="7">
        <f t="shared" si="12"/>
        <v>3646844.0999999996</v>
      </c>
      <c r="J277" s="7">
        <f t="shared" si="13"/>
        <v>656431.93799999997</v>
      </c>
      <c r="K277" s="7">
        <f t="shared" si="14"/>
        <v>4303276.0379999997</v>
      </c>
    </row>
    <row r="278" spans="1:11" x14ac:dyDescent="0.3">
      <c r="A278" s="35">
        <v>263</v>
      </c>
      <c r="B278" s="2" t="s">
        <v>647</v>
      </c>
      <c r="C278" s="2" t="s">
        <v>648</v>
      </c>
      <c r="D278" s="2" t="s">
        <v>649</v>
      </c>
      <c r="E278" s="2">
        <v>28</v>
      </c>
      <c r="F278" s="32" t="s">
        <v>1</v>
      </c>
      <c r="G278" s="93">
        <v>1215614.7</v>
      </c>
      <c r="H278" s="2">
        <v>3</v>
      </c>
      <c r="I278" s="7">
        <f t="shared" si="12"/>
        <v>3646844.0999999996</v>
      </c>
      <c r="J278" s="7">
        <f t="shared" si="13"/>
        <v>656431.93799999997</v>
      </c>
      <c r="K278" s="7">
        <f t="shared" si="14"/>
        <v>4303276.0379999997</v>
      </c>
    </row>
    <row r="279" spans="1:11" x14ac:dyDescent="0.3">
      <c r="A279" s="35">
        <v>264</v>
      </c>
      <c r="B279" s="2" t="s">
        <v>611</v>
      </c>
      <c r="C279" s="2" t="s">
        <v>612</v>
      </c>
      <c r="D279" s="2" t="s">
        <v>613</v>
      </c>
      <c r="E279" s="2">
        <v>40</v>
      </c>
      <c r="F279" s="32" t="s">
        <v>1</v>
      </c>
      <c r="G279" s="93">
        <v>1435883.79</v>
      </c>
      <c r="H279" s="2">
        <v>3</v>
      </c>
      <c r="I279" s="7">
        <f t="shared" si="12"/>
        <v>4307651.37</v>
      </c>
      <c r="J279" s="7">
        <f t="shared" si="13"/>
        <v>775377.24659999995</v>
      </c>
      <c r="K279" s="7">
        <f t="shared" si="14"/>
        <v>5083028.6166000003</v>
      </c>
    </row>
    <row r="280" spans="1:11" x14ac:dyDescent="0.3">
      <c r="A280" s="35">
        <v>265</v>
      </c>
      <c r="B280" s="2" t="s">
        <v>644</v>
      </c>
      <c r="C280" s="2" t="s">
        <v>645</v>
      </c>
      <c r="D280" s="2" t="s">
        <v>646</v>
      </c>
      <c r="E280" s="2">
        <v>40</v>
      </c>
      <c r="F280" s="32" t="s">
        <v>1</v>
      </c>
      <c r="G280" s="93">
        <v>1435883.79</v>
      </c>
      <c r="H280" s="2">
        <v>3</v>
      </c>
      <c r="I280" s="7">
        <f t="shared" si="12"/>
        <v>4307651.37</v>
      </c>
      <c r="J280" s="7">
        <f t="shared" si="13"/>
        <v>775377.24659999995</v>
      </c>
      <c r="K280" s="7">
        <f t="shared" si="14"/>
        <v>5083028.6166000003</v>
      </c>
    </row>
    <row r="281" spans="1:11" x14ac:dyDescent="0.3">
      <c r="A281" s="35">
        <v>266</v>
      </c>
      <c r="B281" s="2" t="s">
        <v>632</v>
      </c>
      <c r="C281" s="2" t="s">
        <v>633</v>
      </c>
      <c r="D281" s="2" t="s">
        <v>634</v>
      </c>
      <c r="E281" s="2">
        <v>35</v>
      </c>
      <c r="F281" s="32" t="s">
        <v>1</v>
      </c>
      <c r="G281" s="93">
        <v>1435883.79</v>
      </c>
      <c r="H281" s="2">
        <v>3</v>
      </c>
      <c r="I281" s="7">
        <f t="shared" si="12"/>
        <v>4307651.37</v>
      </c>
      <c r="J281" s="7">
        <f t="shared" si="13"/>
        <v>775377.24659999995</v>
      </c>
      <c r="K281" s="7">
        <f t="shared" si="14"/>
        <v>5083028.6166000003</v>
      </c>
    </row>
    <row r="282" spans="1:11" x14ac:dyDescent="0.3">
      <c r="A282" s="35">
        <v>267</v>
      </c>
      <c r="B282" s="2" t="s">
        <v>519</v>
      </c>
      <c r="C282" s="2" t="s">
        <v>520</v>
      </c>
      <c r="D282" s="2" t="s">
        <v>520</v>
      </c>
      <c r="E282" s="2">
        <v>58</v>
      </c>
      <c r="F282" s="32" t="s">
        <v>1</v>
      </c>
      <c r="G282" s="93">
        <v>1744861.92</v>
      </c>
      <c r="H282" s="2">
        <v>3</v>
      </c>
      <c r="I282" s="7">
        <f t="shared" si="12"/>
        <v>5234585.76</v>
      </c>
      <c r="J282" s="7">
        <f t="shared" si="13"/>
        <v>942225.43679999991</v>
      </c>
      <c r="K282" s="7">
        <f t="shared" si="14"/>
        <v>6176811.1968</v>
      </c>
    </row>
    <row r="283" spans="1:11" x14ac:dyDescent="0.3">
      <c r="A283" s="35">
        <v>268</v>
      </c>
      <c r="B283" s="2" t="s">
        <v>4963</v>
      </c>
      <c r="C283" s="2" t="s">
        <v>22</v>
      </c>
      <c r="D283" s="2" t="s">
        <v>5014</v>
      </c>
      <c r="E283" s="2">
        <v>21</v>
      </c>
      <c r="F283" s="32" t="s">
        <v>1</v>
      </c>
      <c r="G283" s="93">
        <v>1215614.7</v>
      </c>
      <c r="H283" s="2">
        <v>3</v>
      </c>
      <c r="I283" s="7">
        <f t="shared" si="12"/>
        <v>3646844.0999999996</v>
      </c>
      <c r="J283" s="7">
        <f t="shared" si="13"/>
        <v>656431.93799999997</v>
      </c>
      <c r="K283" s="7">
        <f t="shared" si="14"/>
        <v>4303276.0379999997</v>
      </c>
    </row>
    <row r="284" spans="1:11" x14ac:dyDescent="0.3">
      <c r="A284" s="35">
        <v>269</v>
      </c>
      <c r="B284" s="2" t="s">
        <v>2533</v>
      </c>
      <c r="C284" s="2" t="s">
        <v>2534</v>
      </c>
      <c r="D284" s="2" t="s">
        <v>2535</v>
      </c>
      <c r="E284" s="2">
        <v>43</v>
      </c>
      <c r="F284" s="32" t="s">
        <v>1</v>
      </c>
      <c r="G284" s="93">
        <v>1435883.79</v>
      </c>
      <c r="H284" s="2">
        <v>3</v>
      </c>
      <c r="I284" s="7">
        <f t="shared" si="12"/>
        <v>4307651.37</v>
      </c>
      <c r="J284" s="7">
        <f t="shared" si="13"/>
        <v>775377.24659999995</v>
      </c>
      <c r="K284" s="7">
        <f t="shared" si="14"/>
        <v>5083028.6166000003</v>
      </c>
    </row>
    <row r="285" spans="1:11" x14ac:dyDescent="0.3">
      <c r="A285" s="35">
        <v>270</v>
      </c>
      <c r="B285" s="2" t="s">
        <v>3179</v>
      </c>
      <c r="C285" s="2" t="s">
        <v>3180</v>
      </c>
      <c r="D285" s="2" t="s">
        <v>3181</v>
      </c>
      <c r="E285" s="2">
        <v>55</v>
      </c>
      <c r="F285" s="32" t="s">
        <v>1</v>
      </c>
      <c r="G285" s="93">
        <v>1744861.92</v>
      </c>
      <c r="H285" s="2">
        <v>3</v>
      </c>
      <c r="I285" s="7">
        <f t="shared" si="12"/>
        <v>5234585.76</v>
      </c>
      <c r="J285" s="7">
        <f t="shared" si="13"/>
        <v>942225.43679999991</v>
      </c>
      <c r="K285" s="7">
        <f t="shared" si="14"/>
        <v>6176811.1968</v>
      </c>
    </row>
    <row r="286" spans="1:11" x14ac:dyDescent="0.3">
      <c r="A286" s="35">
        <v>271</v>
      </c>
      <c r="B286" s="2" t="s">
        <v>975</v>
      </c>
      <c r="C286" s="2" t="s">
        <v>976</v>
      </c>
      <c r="D286" s="2" t="s">
        <v>977</v>
      </c>
      <c r="E286" s="2">
        <v>51</v>
      </c>
      <c r="F286" s="32" t="s">
        <v>1</v>
      </c>
      <c r="G286" s="93">
        <v>1744861.92</v>
      </c>
      <c r="H286" s="2">
        <v>3</v>
      </c>
      <c r="I286" s="7">
        <f t="shared" si="12"/>
        <v>5234585.76</v>
      </c>
      <c r="J286" s="7">
        <f t="shared" si="13"/>
        <v>942225.43679999991</v>
      </c>
      <c r="K286" s="7">
        <f t="shared" si="14"/>
        <v>6176811.1968</v>
      </c>
    </row>
    <row r="287" spans="1:11" x14ac:dyDescent="0.3">
      <c r="A287" s="35">
        <v>272</v>
      </c>
      <c r="B287" s="2" t="s">
        <v>2926</v>
      </c>
      <c r="C287" s="2" t="s">
        <v>2927</v>
      </c>
      <c r="D287" s="2" t="s">
        <v>2928</v>
      </c>
      <c r="E287" s="2">
        <v>72</v>
      </c>
      <c r="F287" s="32" t="s">
        <v>1</v>
      </c>
      <c r="G287" s="93">
        <v>1744861.92</v>
      </c>
      <c r="H287" s="2">
        <v>3</v>
      </c>
      <c r="I287" s="7">
        <f t="shared" si="12"/>
        <v>5234585.76</v>
      </c>
      <c r="J287" s="7">
        <f t="shared" si="13"/>
        <v>942225.43679999991</v>
      </c>
      <c r="K287" s="7">
        <f t="shared" si="14"/>
        <v>6176811.1968</v>
      </c>
    </row>
    <row r="288" spans="1:11" x14ac:dyDescent="0.3">
      <c r="A288" s="35">
        <v>273</v>
      </c>
      <c r="B288" s="2" t="s">
        <v>963</v>
      </c>
      <c r="C288" s="2" t="s">
        <v>964</v>
      </c>
      <c r="D288" s="2" t="s">
        <v>965</v>
      </c>
      <c r="E288" s="2">
        <v>64</v>
      </c>
      <c r="F288" s="32" t="s">
        <v>1</v>
      </c>
      <c r="G288" s="93">
        <v>1744861.92</v>
      </c>
      <c r="H288" s="2">
        <v>3</v>
      </c>
      <c r="I288" s="7">
        <f t="shared" si="12"/>
        <v>5234585.76</v>
      </c>
      <c r="J288" s="7">
        <f t="shared" si="13"/>
        <v>942225.43679999991</v>
      </c>
      <c r="K288" s="7">
        <f t="shared" si="14"/>
        <v>6176811.1968</v>
      </c>
    </row>
    <row r="289" spans="1:11" x14ac:dyDescent="0.3">
      <c r="A289" s="35">
        <v>274</v>
      </c>
      <c r="B289" s="2" t="s">
        <v>1064</v>
      </c>
      <c r="C289" s="2" t="s">
        <v>1065</v>
      </c>
      <c r="D289" s="2" t="s">
        <v>1066</v>
      </c>
      <c r="E289" s="2">
        <v>52</v>
      </c>
      <c r="F289" s="32" t="s">
        <v>1</v>
      </c>
      <c r="G289" s="93">
        <v>1744861.92</v>
      </c>
      <c r="H289" s="2">
        <v>3</v>
      </c>
      <c r="I289" s="7">
        <f t="shared" si="12"/>
        <v>5234585.76</v>
      </c>
      <c r="J289" s="7">
        <f t="shared" si="13"/>
        <v>942225.43679999991</v>
      </c>
      <c r="K289" s="7">
        <f t="shared" si="14"/>
        <v>6176811.1968</v>
      </c>
    </row>
    <row r="290" spans="1:11" x14ac:dyDescent="0.3">
      <c r="A290" s="35">
        <v>275</v>
      </c>
      <c r="B290" s="2" t="s">
        <v>2425</v>
      </c>
      <c r="C290" s="2" t="s">
        <v>2426</v>
      </c>
      <c r="D290" s="2" t="s">
        <v>2427</v>
      </c>
      <c r="E290" s="2">
        <v>42</v>
      </c>
      <c r="F290" s="32" t="s">
        <v>1</v>
      </c>
      <c r="G290" s="93">
        <v>1435883.79</v>
      </c>
      <c r="H290" s="2">
        <v>3</v>
      </c>
      <c r="I290" s="7">
        <f t="shared" si="12"/>
        <v>4307651.37</v>
      </c>
      <c r="J290" s="7">
        <f t="shared" si="13"/>
        <v>775377.24659999995</v>
      </c>
      <c r="K290" s="7">
        <f t="shared" si="14"/>
        <v>5083028.6166000003</v>
      </c>
    </row>
    <row r="291" spans="1:11" x14ac:dyDescent="0.3">
      <c r="A291" s="35">
        <v>276</v>
      </c>
      <c r="B291" s="2" t="s">
        <v>2899</v>
      </c>
      <c r="C291" s="2" t="s">
        <v>2900</v>
      </c>
      <c r="D291" s="2" t="s">
        <v>2901</v>
      </c>
      <c r="E291" s="2">
        <v>50</v>
      </c>
      <c r="F291" s="32" t="s">
        <v>1</v>
      </c>
      <c r="G291" s="93">
        <v>1744861.92</v>
      </c>
      <c r="H291" s="2">
        <v>3</v>
      </c>
      <c r="I291" s="7">
        <f t="shared" si="12"/>
        <v>5234585.76</v>
      </c>
      <c r="J291" s="7">
        <f t="shared" si="13"/>
        <v>942225.43679999991</v>
      </c>
      <c r="K291" s="7">
        <f t="shared" si="14"/>
        <v>6176811.1968</v>
      </c>
    </row>
    <row r="292" spans="1:11" x14ac:dyDescent="0.3">
      <c r="A292" s="35">
        <v>277</v>
      </c>
      <c r="B292" s="2" t="s">
        <v>2554</v>
      </c>
      <c r="C292" s="2" t="s">
        <v>2555</v>
      </c>
      <c r="D292" s="2" t="s">
        <v>2556</v>
      </c>
      <c r="E292" s="2">
        <v>30</v>
      </c>
      <c r="F292" s="32" t="s">
        <v>1</v>
      </c>
      <c r="G292" s="93">
        <v>1215614.7</v>
      </c>
      <c r="H292" s="2">
        <v>3</v>
      </c>
      <c r="I292" s="7">
        <f t="shared" si="12"/>
        <v>3646844.0999999996</v>
      </c>
      <c r="J292" s="7">
        <f t="shared" si="13"/>
        <v>656431.93799999997</v>
      </c>
      <c r="K292" s="7">
        <f t="shared" si="14"/>
        <v>4303276.0379999997</v>
      </c>
    </row>
    <row r="293" spans="1:11" x14ac:dyDescent="0.3">
      <c r="A293" s="35">
        <v>278</v>
      </c>
      <c r="B293" s="2" t="s">
        <v>3037</v>
      </c>
      <c r="C293" s="2" t="s">
        <v>3038</v>
      </c>
      <c r="D293" s="2" t="s">
        <v>3039</v>
      </c>
      <c r="E293" s="2">
        <v>31</v>
      </c>
      <c r="F293" s="32" t="s">
        <v>1</v>
      </c>
      <c r="G293" s="93">
        <v>1215614.7</v>
      </c>
      <c r="H293" s="2">
        <v>3</v>
      </c>
      <c r="I293" s="7">
        <f t="shared" si="12"/>
        <v>3646844.0999999996</v>
      </c>
      <c r="J293" s="7">
        <f t="shared" si="13"/>
        <v>656431.93799999997</v>
      </c>
      <c r="K293" s="7">
        <f t="shared" si="14"/>
        <v>4303276.0379999997</v>
      </c>
    </row>
    <row r="294" spans="1:11" x14ac:dyDescent="0.3">
      <c r="A294" s="35">
        <v>279</v>
      </c>
      <c r="B294" s="2" t="s">
        <v>2938</v>
      </c>
      <c r="C294" s="2" t="s">
        <v>2939</v>
      </c>
      <c r="D294" s="2" t="s">
        <v>2940</v>
      </c>
      <c r="E294" s="2">
        <v>63</v>
      </c>
      <c r="F294" s="32" t="s">
        <v>1</v>
      </c>
      <c r="G294" s="93">
        <v>1744861.92</v>
      </c>
      <c r="H294" s="2">
        <v>3</v>
      </c>
      <c r="I294" s="7">
        <f t="shared" si="12"/>
        <v>5234585.76</v>
      </c>
      <c r="J294" s="7">
        <f t="shared" si="13"/>
        <v>942225.43679999991</v>
      </c>
      <c r="K294" s="7">
        <f t="shared" si="14"/>
        <v>6176811.1968</v>
      </c>
    </row>
    <row r="295" spans="1:11" x14ac:dyDescent="0.3">
      <c r="A295" s="35">
        <v>280</v>
      </c>
      <c r="B295" s="2" t="s">
        <v>1061</v>
      </c>
      <c r="C295" s="2" t="s">
        <v>1062</v>
      </c>
      <c r="D295" s="2" t="s">
        <v>1063</v>
      </c>
      <c r="E295" s="2">
        <v>62</v>
      </c>
      <c r="F295" s="32" t="s">
        <v>1</v>
      </c>
      <c r="G295" s="93">
        <v>1744861.92</v>
      </c>
      <c r="H295" s="2">
        <v>3</v>
      </c>
      <c r="I295" s="7">
        <f t="shared" si="12"/>
        <v>5234585.76</v>
      </c>
      <c r="J295" s="7">
        <f t="shared" si="13"/>
        <v>942225.43679999991</v>
      </c>
      <c r="K295" s="7">
        <f t="shared" si="14"/>
        <v>6176811.1968</v>
      </c>
    </row>
    <row r="296" spans="1:11" x14ac:dyDescent="0.3">
      <c r="A296" s="35">
        <v>281</v>
      </c>
      <c r="B296" s="2" t="s">
        <v>3248</v>
      </c>
      <c r="C296" s="2" t="s">
        <v>3249</v>
      </c>
      <c r="D296" s="2" t="s">
        <v>3250</v>
      </c>
      <c r="E296" s="2">
        <v>60</v>
      </c>
      <c r="F296" s="32" t="s">
        <v>1</v>
      </c>
      <c r="G296" s="93">
        <v>1744861.92</v>
      </c>
      <c r="H296" s="2">
        <v>3</v>
      </c>
      <c r="I296" s="7">
        <f t="shared" si="12"/>
        <v>5234585.76</v>
      </c>
      <c r="J296" s="7">
        <f t="shared" si="13"/>
        <v>942225.43679999991</v>
      </c>
      <c r="K296" s="7">
        <f t="shared" si="14"/>
        <v>6176811.1968</v>
      </c>
    </row>
    <row r="297" spans="1:11" x14ac:dyDescent="0.3">
      <c r="A297" s="35">
        <v>282</v>
      </c>
      <c r="B297" s="2" t="s">
        <v>2404</v>
      </c>
      <c r="C297" s="2" t="s">
        <v>2405</v>
      </c>
      <c r="D297" s="2" t="s">
        <v>2406</v>
      </c>
      <c r="E297" s="2">
        <v>24</v>
      </c>
      <c r="F297" s="32" t="s">
        <v>1</v>
      </c>
      <c r="G297" s="93">
        <v>1215614.7</v>
      </c>
      <c r="H297" s="2">
        <v>3</v>
      </c>
      <c r="I297" s="7">
        <f t="shared" si="12"/>
        <v>3646844.0999999996</v>
      </c>
      <c r="J297" s="7">
        <f t="shared" si="13"/>
        <v>656431.93799999997</v>
      </c>
      <c r="K297" s="7">
        <f t="shared" si="14"/>
        <v>4303276.0379999997</v>
      </c>
    </row>
    <row r="298" spans="1:11" x14ac:dyDescent="0.3">
      <c r="A298" s="35">
        <v>283</v>
      </c>
      <c r="B298" s="2" t="s">
        <v>2401</v>
      </c>
      <c r="C298" s="2" t="s">
        <v>2402</v>
      </c>
      <c r="D298" s="2" t="s">
        <v>2403</v>
      </c>
      <c r="E298" s="2">
        <v>41</v>
      </c>
      <c r="F298" s="32" t="s">
        <v>1</v>
      </c>
      <c r="G298" s="93">
        <v>1435883.79</v>
      </c>
      <c r="H298" s="2">
        <v>3</v>
      </c>
      <c r="I298" s="7">
        <f t="shared" si="12"/>
        <v>4307651.37</v>
      </c>
      <c r="J298" s="7">
        <f t="shared" si="13"/>
        <v>775377.24659999995</v>
      </c>
      <c r="K298" s="7">
        <f t="shared" si="14"/>
        <v>5083028.6166000003</v>
      </c>
    </row>
    <row r="299" spans="1:11" x14ac:dyDescent="0.3">
      <c r="A299" s="35">
        <v>284</v>
      </c>
      <c r="B299" s="2" t="s">
        <v>2548</v>
      </c>
      <c r="C299" s="2" t="s">
        <v>2549</v>
      </c>
      <c r="D299" s="2" t="s">
        <v>2550</v>
      </c>
      <c r="E299" s="2">
        <v>18</v>
      </c>
      <c r="F299" s="32" t="s">
        <v>1</v>
      </c>
      <c r="G299" s="93">
        <v>895360</v>
      </c>
      <c r="H299" s="2">
        <v>3</v>
      </c>
      <c r="I299" s="7">
        <f t="shared" si="12"/>
        <v>2686080</v>
      </c>
      <c r="J299" s="7">
        <f t="shared" si="13"/>
        <v>483494.39999999997</v>
      </c>
      <c r="K299" s="7">
        <f t="shared" si="14"/>
        <v>3169574.4</v>
      </c>
    </row>
    <row r="300" spans="1:11" x14ac:dyDescent="0.3">
      <c r="A300" s="35">
        <v>285</v>
      </c>
      <c r="B300" s="2" t="s">
        <v>2700</v>
      </c>
      <c r="C300" s="2" t="s">
        <v>2701</v>
      </c>
      <c r="D300" s="2" t="s">
        <v>2702</v>
      </c>
      <c r="E300" s="2">
        <v>64</v>
      </c>
      <c r="F300" s="32" t="s">
        <v>1</v>
      </c>
      <c r="G300" s="93">
        <v>1744861.92</v>
      </c>
      <c r="H300" s="2">
        <v>3</v>
      </c>
      <c r="I300" s="7">
        <f t="shared" si="12"/>
        <v>5234585.76</v>
      </c>
      <c r="J300" s="7">
        <f t="shared" si="13"/>
        <v>942225.43679999991</v>
      </c>
      <c r="K300" s="7">
        <f t="shared" si="14"/>
        <v>6176811.1968</v>
      </c>
    </row>
    <row r="301" spans="1:11" x14ac:dyDescent="0.3">
      <c r="A301" s="35">
        <v>286</v>
      </c>
      <c r="B301" s="2" t="s">
        <v>1013</v>
      </c>
      <c r="C301" s="2" t="s">
        <v>1014</v>
      </c>
      <c r="D301" s="2" t="s">
        <v>1015</v>
      </c>
      <c r="E301" s="2">
        <v>69</v>
      </c>
      <c r="F301" s="32" t="s">
        <v>1</v>
      </c>
      <c r="G301" s="93">
        <v>1744861.92</v>
      </c>
      <c r="H301" s="2">
        <v>3</v>
      </c>
      <c r="I301" s="7">
        <f t="shared" si="12"/>
        <v>5234585.76</v>
      </c>
      <c r="J301" s="7">
        <f t="shared" si="13"/>
        <v>942225.43679999991</v>
      </c>
      <c r="K301" s="7">
        <f t="shared" si="14"/>
        <v>6176811.1968</v>
      </c>
    </row>
    <row r="302" spans="1:11" x14ac:dyDescent="0.3">
      <c r="A302" s="35">
        <v>287</v>
      </c>
      <c r="B302" s="2" t="s">
        <v>905</v>
      </c>
      <c r="C302" s="2" t="s">
        <v>906</v>
      </c>
      <c r="D302" s="2" t="s">
        <v>907</v>
      </c>
      <c r="E302" s="2">
        <v>65</v>
      </c>
      <c r="F302" s="32" t="s">
        <v>1</v>
      </c>
      <c r="G302" s="93">
        <v>1744861.92</v>
      </c>
      <c r="H302" s="2">
        <v>3</v>
      </c>
      <c r="I302" s="7">
        <f t="shared" si="12"/>
        <v>5234585.76</v>
      </c>
      <c r="J302" s="7">
        <f t="shared" si="13"/>
        <v>942225.43679999991</v>
      </c>
      <c r="K302" s="7">
        <f t="shared" si="14"/>
        <v>6176811.1968</v>
      </c>
    </row>
    <row r="303" spans="1:11" x14ac:dyDescent="0.3">
      <c r="A303" s="35">
        <v>288</v>
      </c>
      <c r="B303" s="2" t="s">
        <v>846</v>
      </c>
      <c r="C303" s="2" t="s">
        <v>847</v>
      </c>
      <c r="D303" s="2" t="s">
        <v>848</v>
      </c>
      <c r="E303" s="2">
        <v>74</v>
      </c>
      <c r="F303" s="32" t="s">
        <v>1</v>
      </c>
      <c r="G303" s="93">
        <v>1744861.92</v>
      </c>
      <c r="H303" s="2">
        <v>3</v>
      </c>
      <c r="I303" s="7">
        <f t="shared" si="12"/>
        <v>5234585.76</v>
      </c>
      <c r="J303" s="7">
        <f t="shared" si="13"/>
        <v>942225.43679999991</v>
      </c>
      <c r="K303" s="7">
        <f t="shared" si="14"/>
        <v>6176811.1968</v>
      </c>
    </row>
    <row r="304" spans="1:11" x14ac:dyDescent="0.3">
      <c r="A304" s="35">
        <v>289</v>
      </c>
      <c r="B304" s="2" t="s">
        <v>2539</v>
      </c>
      <c r="C304" s="2" t="s">
        <v>2540</v>
      </c>
      <c r="D304" s="2" t="s">
        <v>2541</v>
      </c>
      <c r="E304" s="2">
        <v>27</v>
      </c>
      <c r="F304" s="32" t="s">
        <v>1</v>
      </c>
      <c r="G304" s="93">
        <v>1215614.7</v>
      </c>
      <c r="H304" s="2">
        <v>3</v>
      </c>
      <c r="I304" s="7">
        <f t="shared" si="12"/>
        <v>3646844.0999999996</v>
      </c>
      <c r="J304" s="7">
        <f t="shared" si="13"/>
        <v>656431.93799999997</v>
      </c>
      <c r="K304" s="7">
        <f t="shared" si="14"/>
        <v>4303276.0379999997</v>
      </c>
    </row>
    <row r="305" spans="1:11" x14ac:dyDescent="0.3">
      <c r="A305" s="35">
        <v>290</v>
      </c>
      <c r="B305" s="2" t="s">
        <v>2998</v>
      </c>
      <c r="C305" s="2" t="s">
        <v>2999</v>
      </c>
      <c r="D305" s="2" t="s">
        <v>3000</v>
      </c>
      <c r="E305" s="2">
        <v>24</v>
      </c>
      <c r="F305" s="32" t="s">
        <v>1</v>
      </c>
      <c r="G305" s="93">
        <v>1215614.7</v>
      </c>
      <c r="H305" s="2">
        <v>3</v>
      </c>
      <c r="I305" s="7">
        <f t="shared" si="12"/>
        <v>3646844.0999999996</v>
      </c>
      <c r="J305" s="7">
        <f t="shared" si="13"/>
        <v>656431.93799999997</v>
      </c>
      <c r="K305" s="7">
        <f t="shared" si="14"/>
        <v>4303276.0379999997</v>
      </c>
    </row>
    <row r="306" spans="1:11" x14ac:dyDescent="0.3">
      <c r="A306" s="35">
        <v>291</v>
      </c>
      <c r="B306" s="2" t="s">
        <v>2667</v>
      </c>
      <c r="C306" s="2" t="s">
        <v>2668</v>
      </c>
      <c r="D306" s="2" t="s">
        <v>2669</v>
      </c>
      <c r="E306" s="2">
        <v>69</v>
      </c>
      <c r="F306" s="32" t="s">
        <v>1</v>
      </c>
      <c r="G306" s="93">
        <v>1744861.92</v>
      </c>
      <c r="H306" s="2">
        <v>3</v>
      </c>
      <c r="I306" s="7">
        <f t="shared" si="12"/>
        <v>5234585.76</v>
      </c>
      <c r="J306" s="7">
        <f t="shared" si="13"/>
        <v>942225.43679999991</v>
      </c>
      <c r="K306" s="7">
        <f t="shared" si="14"/>
        <v>6176811.1968</v>
      </c>
    </row>
    <row r="307" spans="1:11" x14ac:dyDescent="0.3">
      <c r="A307" s="35">
        <v>292</v>
      </c>
      <c r="B307" s="2" t="s">
        <v>2560</v>
      </c>
      <c r="C307" s="2" t="s">
        <v>2561</v>
      </c>
      <c r="D307" s="2" t="s">
        <v>2562</v>
      </c>
      <c r="E307" s="2">
        <v>26</v>
      </c>
      <c r="F307" s="32" t="s">
        <v>1</v>
      </c>
      <c r="G307" s="93">
        <v>1215614.7</v>
      </c>
      <c r="H307" s="2">
        <v>3</v>
      </c>
      <c r="I307" s="7">
        <f t="shared" si="12"/>
        <v>3646844.0999999996</v>
      </c>
      <c r="J307" s="7">
        <f t="shared" si="13"/>
        <v>656431.93799999997</v>
      </c>
      <c r="K307" s="7">
        <f t="shared" si="14"/>
        <v>4303276.0379999997</v>
      </c>
    </row>
    <row r="308" spans="1:11" x14ac:dyDescent="0.3">
      <c r="A308" s="35">
        <v>293</v>
      </c>
      <c r="B308" s="2" t="s">
        <v>983</v>
      </c>
      <c r="C308" s="2" t="s">
        <v>984</v>
      </c>
      <c r="D308" s="2" t="s">
        <v>985</v>
      </c>
      <c r="E308" s="2">
        <v>52</v>
      </c>
      <c r="F308" s="32" t="s">
        <v>1</v>
      </c>
      <c r="G308" s="93">
        <v>1744861.92</v>
      </c>
      <c r="H308" s="2">
        <v>3</v>
      </c>
      <c r="I308" s="7">
        <f t="shared" si="12"/>
        <v>5234585.76</v>
      </c>
      <c r="J308" s="7">
        <f t="shared" si="13"/>
        <v>942225.43679999991</v>
      </c>
      <c r="K308" s="7">
        <f t="shared" si="14"/>
        <v>6176811.1968</v>
      </c>
    </row>
    <row r="309" spans="1:11" x14ac:dyDescent="0.3">
      <c r="A309" s="35">
        <v>294</v>
      </c>
      <c r="B309" s="2" t="s">
        <v>2398</v>
      </c>
      <c r="C309" s="2" t="s">
        <v>2399</v>
      </c>
      <c r="D309" s="2" t="s">
        <v>2400</v>
      </c>
      <c r="E309" s="2">
        <v>21</v>
      </c>
      <c r="F309" s="32" t="s">
        <v>1</v>
      </c>
      <c r="G309" s="93">
        <v>1215614.7</v>
      </c>
      <c r="H309" s="2">
        <v>3</v>
      </c>
      <c r="I309" s="7">
        <f t="shared" si="12"/>
        <v>3646844.0999999996</v>
      </c>
      <c r="J309" s="7">
        <f t="shared" si="13"/>
        <v>656431.93799999997</v>
      </c>
      <c r="K309" s="7">
        <f t="shared" si="14"/>
        <v>4303276.0379999997</v>
      </c>
    </row>
    <row r="310" spans="1:11" x14ac:dyDescent="0.3">
      <c r="A310" s="35">
        <v>295</v>
      </c>
      <c r="B310" s="2" t="s">
        <v>2896</v>
      </c>
      <c r="C310" s="2" t="s">
        <v>2897</v>
      </c>
      <c r="D310" s="2" t="s">
        <v>2898</v>
      </c>
      <c r="E310" s="2">
        <v>20</v>
      </c>
      <c r="F310" s="32" t="s">
        <v>1</v>
      </c>
      <c r="G310" s="93">
        <v>1215614.7</v>
      </c>
      <c r="H310" s="2">
        <v>3</v>
      </c>
      <c r="I310" s="7">
        <f t="shared" si="12"/>
        <v>3646844.0999999996</v>
      </c>
      <c r="J310" s="7">
        <f t="shared" si="13"/>
        <v>656431.93799999997</v>
      </c>
      <c r="K310" s="7">
        <f t="shared" si="14"/>
        <v>4303276.0379999997</v>
      </c>
    </row>
    <row r="311" spans="1:11" x14ac:dyDescent="0.3">
      <c r="A311" s="35">
        <v>296</v>
      </c>
      <c r="B311" s="2" t="s">
        <v>2545</v>
      </c>
      <c r="C311" s="2" t="s">
        <v>2546</v>
      </c>
      <c r="D311" s="2" t="s">
        <v>2547</v>
      </c>
      <c r="E311" s="2">
        <v>37</v>
      </c>
      <c r="F311" s="32" t="s">
        <v>1</v>
      </c>
      <c r="G311" s="93">
        <v>1435883.79</v>
      </c>
      <c r="H311" s="2">
        <v>3</v>
      </c>
      <c r="I311" s="7">
        <f t="shared" si="12"/>
        <v>4307651.37</v>
      </c>
      <c r="J311" s="7">
        <f t="shared" si="13"/>
        <v>775377.24659999995</v>
      </c>
      <c r="K311" s="7">
        <f t="shared" si="14"/>
        <v>5083028.6166000003</v>
      </c>
    </row>
    <row r="312" spans="1:11" x14ac:dyDescent="0.3">
      <c r="A312" s="35">
        <v>297</v>
      </c>
      <c r="B312" s="2" t="s">
        <v>3058</v>
      </c>
      <c r="C312" s="2" t="s">
        <v>3059</v>
      </c>
      <c r="D312" s="2" t="s">
        <v>3060</v>
      </c>
      <c r="E312" s="2">
        <v>38</v>
      </c>
      <c r="F312" s="32" t="s">
        <v>1</v>
      </c>
      <c r="G312" s="93">
        <v>1435883.79</v>
      </c>
      <c r="H312" s="2">
        <v>3</v>
      </c>
      <c r="I312" s="7">
        <f t="shared" si="12"/>
        <v>4307651.37</v>
      </c>
      <c r="J312" s="7">
        <f t="shared" si="13"/>
        <v>775377.24659999995</v>
      </c>
      <c r="K312" s="7">
        <f t="shared" si="14"/>
        <v>5083028.6166000003</v>
      </c>
    </row>
    <row r="313" spans="1:11" x14ac:dyDescent="0.3">
      <c r="A313" s="35">
        <v>298</v>
      </c>
      <c r="B313" s="2" t="s">
        <v>1043</v>
      </c>
      <c r="C313" s="2" t="s">
        <v>1044</v>
      </c>
      <c r="D313" s="2" t="s">
        <v>1045</v>
      </c>
      <c r="E313" s="2">
        <v>48</v>
      </c>
      <c r="F313" s="32" t="s">
        <v>1</v>
      </c>
      <c r="G313" s="93">
        <v>1435883.79</v>
      </c>
      <c r="H313" s="2">
        <v>3</v>
      </c>
      <c r="I313" s="7">
        <f t="shared" si="12"/>
        <v>4307651.37</v>
      </c>
      <c r="J313" s="7">
        <f t="shared" si="13"/>
        <v>775377.24659999995</v>
      </c>
      <c r="K313" s="7">
        <f t="shared" si="14"/>
        <v>5083028.6166000003</v>
      </c>
    </row>
    <row r="314" spans="1:11" x14ac:dyDescent="0.3">
      <c r="A314" s="35">
        <v>299</v>
      </c>
      <c r="B314" s="2" t="s">
        <v>2706</v>
      </c>
      <c r="C314" s="2" t="s">
        <v>2707</v>
      </c>
      <c r="D314" s="2" t="s">
        <v>2708</v>
      </c>
      <c r="E314" s="2">
        <v>58</v>
      </c>
      <c r="F314" s="32" t="s">
        <v>1</v>
      </c>
      <c r="G314" s="93">
        <v>1744861.92</v>
      </c>
      <c r="H314" s="2">
        <v>3</v>
      </c>
      <c r="I314" s="7">
        <f t="shared" si="12"/>
        <v>5234585.76</v>
      </c>
      <c r="J314" s="7">
        <f t="shared" si="13"/>
        <v>942225.43679999991</v>
      </c>
      <c r="K314" s="7">
        <f t="shared" si="14"/>
        <v>6176811.1968</v>
      </c>
    </row>
    <row r="315" spans="1:11" x14ac:dyDescent="0.3">
      <c r="A315" s="35">
        <v>300</v>
      </c>
      <c r="B315" s="2" t="s">
        <v>998</v>
      </c>
      <c r="C315" s="2" t="s">
        <v>999</v>
      </c>
      <c r="D315" s="2" t="s">
        <v>1000</v>
      </c>
      <c r="E315" s="2">
        <v>50</v>
      </c>
      <c r="F315" s="32" t="s">
        <v>1</v>
      </c>
      <c r="G315" s="93">
        <v>1744861.92</v>
      </c>
      <c r="H315" s="2">
        <v>3</v>
      </c>
      <c r="I315" s="7">
        <f t="shared" si="12"/>
        <v>5234585.76</v>
      </c>
      <c r="J315" s="7">
        <f t="shared" si="13"/>
        <v>942225.43679999991</v>
      </c>
      <c r="K315" s="7">
        <f t="shared" si="14"/>
        <v>6176811.1968</v>
      </c>
    </row>
    <row r="316" spans="1:11" x14ac:dyDescent="0.3">
      <c r="A316" s="35">
        <v>301</v>
      </c>
      <c r="B316" s="2" t="s">
        <v>3416</v>
      </c>
      <c r="C316" s="2" t="s">
        <v>3417</v>
      </c>
      <c r="D316" s="2" t="s">
        <v>3418</v>
      </c>
      <c r="E316" s="2">
        <v>35</v>
      </c>
      <c r="F316" s="32" t="s">
        <v>1</v>
      </c>
      <c r="G316" s="93">
        <v>1435883.79</v>
      </c>
      <c r="H316" s="2">
        <v>3</v>
      </c>
      <c r="I316" s="7">
        <f t="shared" si="12"/>
        <v>4307651.37</v>
      </c>
      <c r="J316" s="7">
        <f t="shared" si="13"/>
        <v>775377.24659999995</v>
      </c>
      <c r="K316" s="7">
        <f t="shared" si="14"/>
        <v>5083028.6166000003</v>
      </c>
    </row>
    <row r="317" spans="1:11" x14ac:dyDescent="0.3">
      <c r="A317" s="35">
        <v>302</v>
      </c>
      <c r="B317" s="2" t="s">
        <v>2240</v>
      </c>
      <c r="C317" s="2" t="s">
        <v>2241</v>
      </c>
      <c r="D317" s="2" t="s">
        <v>2242</v>
      </c>
      <c r="E317" s="2">
        <v>21</v>
      </c>
      <c r="F317" s="32" t="s">
        <v>1</v>
      </c>
      <c r="G317" s="93">
        <v>1215614.7</v>
      </c>
      <c r="H317" s="2">
        <v>3</v>
      </c>
      <c r="I317" s="7">
        <f t="shared" si="12"/>
        <v>3646844.0999999996</v>
      </c>
      <c r="J317" s="7">
        <f t="shared" si="13"/>
        <v>656431.93799999997</v>
      </c>
      <c r="K317" s="7">
        <f t="shared" si="14"/>
        <v>4303276.0379999997</v>
      </c>
    </row>
    <row r="318" spans="1:11" x14ac:dyDescent="0.3">
      <c r="A318" s="35">
        <v>303</v>
      </c>
      <c r="B318" s="2" t="s">
        <v>3218</v>
      </c>
      <c r="C318" s="2" t="s">
        <v>3219</v>
      </c>
      <c r="D318" s="2" t="s">
        <v>3220</v>
      </c>
      <c r="E318" s="2">
        <v>42</v>
      </c>
      <c r="F318" s="32" t="s">
        <v>1</v>
      </c>
      <c r="G318" s="93">
        <v>1435883.79</v>
      </c>
      <c r="H318" s="2">
        <v>3</v>
      </c>
      <c r="I318" s="7">
        <f t="shared" si="12"/>
        <v>4307651.37</v>
      </c>
      <c r="J318" s="7">
        <f t="shared" si="13"/>
        <v>775377.24659999995</v>
      </c>
      <c r="K318" s="7">
        <f t="shared" si="14"/>
        <v>5083028.6166000003</v>
      </c>
    </row>
    <row r="319" spans="1:11" x14ac:dyDescent="0.3">
      <c r="A319" s="35">
        <v>304</v>
      </c>
      <c r="B319" s="2" t="s">
        <v>2739</v>
      </c>
      <c r="C319" s="2" t="s">
        <v>2740</v>
      </c>
      <c r="D319" s="2" t="s">
        <v>2741</v>
      </c>
      <c r="E319" s="2">
        <v>69</v>
      </c>
      <c r="F319" s="32" t="s">
        <v>1</v>
      </c>
      <c r="G319" s="93">
        <v>1744861.92</v>
      </c>
      <c r="H319" s="2">
        <v>3</v>
      </c>
      <c r="I319" s="7">
        <f t="shared" si="12"/>
        <v>5234585.76</v>
      </c>
      <c r="J319" s="7">
        <f t="shared" si="13"/>
        <v>942225.43679999991</v>
      </c>
      <c r="K319" s="7">
        <f t="shared" si="14"/>
        <v>6176811.1968</v>
      </c>
    </row>
    <row r="320" spans="1:11" x14ac:dyDescent="0.3">
      <c r="A320" s="35">
        <v>305</v>
      </c>
      <c r="B320" s="2" t="s">
        <v>2243</v>
      </c>
      <c r="C320" s="2" t="s">
        <v>2244</v>
      </c>
      <c r="D320" s="2" t="s">
        <v>2245</v>
      </c>
      <c r="E320" s="2">
        <v>16</v>
      </c>
      <c r="F320" s="32" t="s">
        <v>1</v>
      </c>
      <c r="G320" s="93">
        <v>895360</v>
      </c>
      <c r="H320" s="2">
        <v>3</v>
      </c>
      <c r="I320" s="7">
        <f t="shared" si="12"/>
        <v>2686080</v>
      </c>
      <c r="J320" s="7">
        <f t="shared" si="13"/>
        <v>483494.39999999997</v>
      </c>
      <c r="K320" s="7">
        <f t="shared" si="14"/>
        <v>3169574.4</v>
      </c>
    </row>
    <row r="321" spans="1:11" x14ac:dyDescent="0.3">
      <c r="A321" s="35">
        <v>306</v>
      </c>
      <c r="B321" s="2" t="s">
        <v>2962</v>
      </c>
      <c r="C321" s="2" t="s">
        <v>2963</v>
      </c>
      <c r="D321" s="2" t="s">
        <v>2964</v>
      </c>
      <c r="E321" s="2">
        <v>25</v>
      </c>
      <c r="F321" s="32" t="s">
        <v>1</v>
      </c>
      <c r="G321" s="93">
        <v>1215614.7</v>
      </c>
      <c r="H321" s="2">
        <v>3</v>
      </c>
      <c r="I321" s="7">
        <f t="shared" si="12"/>
        <v>3646844.0999999996</v>
      </c>
      <c r="J321" s="7">
        <f t="shared" si="13"/>
        <v>656431.93799999997</v>
      </c>
      <c r="K321" s="7">
        <f t="shared" si="14"/>
        <v>4303276.0379999997</v>
      </c>
    </row>
    <row r="322" spans="1:11" x14ac:dyDescent="0.3">
      <c r="A322" s="35">
        <v>307</v>
      </c>
      <c r="B322" s="2" t="s">
        <v>2917</v>
      </c>
      <c r="C322" s="2" t="s">
        <v>2918</v>
      </c>
      <c r="D322" s="2" t="s">
        <v>2919</v>
      </c>
      <c r="E322" s="2">
        <v>54</v>
      </c>
      <c r="F322" s="32" t="s">
        <v>1</v>
      </c>
      <c r="G322" s="93">
        <v>1744861.92</v>
      </c>
      <c r="H322" s="2">
        <v>3</v>
      </c>
      <c r="I322" s="7">
        <f t="shared" si="12"/>
        <v>5234585.76</v>
      </c>
      <c r="J322" s="7">
        <f t="shared" si="13"/>
        <v>942225.43679999991</v>
      </c>
      <c r="K322" s="7">
        <f t="shared" si="14"/>
        <v>6176811.1968</v>
      </c>
    </row>
    <row r="323" spans="1:11" x14ac:dyDescent="0.3">
      <c r="A323" s="35">
        <v>308</v>
      </c>
      <c r="B323" s="2" t="s">
        <v>986</v>
      </c>
      <c r="C323" s="2" t="s">
        <v>987</v>
      </c>
      <c r="D323" s="2" t="s">
        <v>988</v>
      </c>
      <c r="E323" s="2">
        <v>55</v>
      </c>
      <c r="F323" s="32" t="s">
        <v>1</v>
      </c>
      <c r="G323" s="93">
        <v>1744861.92</v>
      </c>
      <c r="H323" s="2">
        <v>3</v>
      </c>
      <c r="I323" s="7">
        <f t="shared" si="12"/>
        <v>5234585.76</v>
      </c>
      <c r="J323" s="7">
        <f t="shared" si="13"/>
        <v>942225.43679999991</v>
      </c>
      <c r="K323" s="7">
        <f t="shared" si="14"/>
        <v>6176811.1968</v>
      </c>
    </row>
    <row r="324" spans="1:11" x14ac:dyDescent="0.3">
      <c r="A324" s="35">
        <v>309</v>
      </c>
      <c r="B324" s="2" t="s">
        <v>3197</v>
      </c>
      <c r="C324" s="2" t="s">
        <v>3198</v>
      </c>
      <c r="D324" s="2" t="s">
        <v>3199</v>
      </c>
      <c r="E324" s="2">
        <v>54</v>
      </c>
      <c r="F324" s="32" t="s">
        <v>1</v>
      </c>
      <c r="G324" s="93">
        <v>1744861.92</v>
      </c>
      <c r="H324" s="2">
        <v>3</v>
      </c>
      <c r="I324" s="7">
        <f t="shared" si="12"/>
        <v>5234585.76</v>
      </c>
      <c r="J324" s="7">
        <f t="shared" si="13"/>
        <v>942225.43679999991</v>
      </c>
      <c r="K324" s="7">
        <f t="shared" si="14"/>
        <v>6176811.1968</v>
      </c>
    </row>
    <row r="325" spans="1:11" x14ac:dyDescent="0.3">
      <c r="A325" s="35">
        <v>310</v>
      </c>
      <c r="B325" s="2" t="s">
        <v>1049</v>
      </c>
      <c r="C325" s="2" t="s">
        <v>1050</v>
      </c>
      <c r="D325" s="2" t="s">
        <v>1051</v>
      </c>
      <c r="E325" s="2">
        <v>53</v>
      </c>
      <c r="F325" s="32" t="s">
        <v>1</v>
      </c>
      <c r="G325" s="93">
        <v>1744861.92</v>
      </c>
      <c r="H325" s="2">
        <v>3</v>
      </c>
      <c r="I325" s="7">
        <f t="shared" si="12"/>
        <v>5234585.76</v>
      </c>
      <c r="J325" s="7">
        <f t="shared" si="13"/>
        <v>942225.43679999991</v>
      </c>
      <c r="K325" s="7">
        <f t="shared" si="14"/>
        <v>6176811.1968</v>
      </c>
    </row>
    <row r="326" spans="1:11" x14ac:dyDescent="0.3">
      <c r="A326" s="35">
        <v>311</v>
      </c>
      <c r="B326" s="2" t="s">
        <v>2670</v>
      </c>
      <c r="C326" s="2" t="s">
        <v>2671</v>
      </c>
      <c r="D326" s="2" t="s">
        <v>2672</v>
      </c>
      <c r="E326" s="2">
        <v>55</v>
      </c>
      <c r="F326" s="32" t="s">
        <v>1</v>
      </c>
      <c r="G326" s="93">
        <v>1744861.92</v>
      </c>
      <c r="H326" s="2">
        <v>3</v>
      </c>
      <c r="I326" s="7">
        <f t="shared" si="12"/>
        <v>5234585.76</v>
      </c>
      <c r="J326" s="7">
        <f t="shared" si="13"/>
        <v>942225.43679999991</v>
      </c>
      <c r="K326" s="7">
        <f t="shared" si="14"/>
        <v>6176811.1968</v>
      </c>
    </row>
    <row r="327" spans="1:11" x14ac:dyDescent="0.3">
      <c r="A327" s="35">
        <v>312</v>
      </c>
      <c r="B327" s="2" t="s">
        <v>1037</v>
      </c>
      <c r="C327" s="2" t="s">
        <v>1038</v>
      </c>
      <c r="D327" s="2" t="s">
        <v>1039</v>
      </c>
      <c r="E327" s="2">
        <v>64</v>
      </c>
      <c r="F327" s="32" t="s">
        <v>1</v>
      </c>
      <c r="G327" s="93">
        <v>1744861.92</v>
      </c>
      <c r="H327" s="2">
        <v>3</v>
      </c>
      <c r="I327" s="7">
        <f t="shared" si="12"/>
        <v>5234585.76</v>
      </c>
      <c r="J327" s="7">
        <f t="shared" si="13"/>
        <v>942225.43679999991</v>
      </c>
      <c r="K327" s="7">
        <f t="shared" si="14"/>
        <v>6176811.1968</v>
      </c>
    </row>
    <row r="328" spans="1:11" x14ac:dyDescent="0.3">
      <c r="A328" s="35">
        <v>313</v>
      </c>
      <c r="B328" s="2" t="s">
        <v>1010</v>
      </c>
      <c r="C328" s="2" t="s">
        <v>1011</v>
      </c>
      <c r="D328" s="2" t="s">
        <v>1012</v>
      </c>
      <c r="E328" s="2">
        <v>65</v>
      </c>
      <c r="F328" s="32" t="s">
        <v>1</v>
      </c>
      <c r="G328" s="93">
        <v>1744861.92</v>
      </c>
      <c r="H328" s="2">
        <v>3</v>
      </c>
      <c r="I328" s="7">
        <f t="shared" si="12"/>
        <v>5234585.76</v>
      </c>
      <c r="J328" s="7">
        <f t="shared" si="13"/>
        <v>942225.43679999991</v>
      </c>
      <c r="K328" s="7">
        <f t="shared" si="14"/>
        <v>6176811.1968</v>
      </c>
    </row>
    <row r="329" spans="1:11" x14ac:dyDescent="0.3">
      <c r="A329" s="35">
        <v>314</v>
      </c>
      <c r="B329" s="2" t="s">
        <v>2905</v>
      </c>
      <c r="C329" s="2" t="s">
        <v>2906</v>
      </c>
      <c r="D329" s="2" t="s">
        <v>2907</v>
      </c>
      <c r="E329" s="2">
        <v>48</v>
      </c>
      <c r="F329" s="32" t="s">
        <v>1</v>
      </c>
      <c r="G329" s="93">
        <v>1435883.79</v>
      </c>
      <c r="H329" s="2">
        <v>3</v>
      </c>
      <c r="I329" s="7">
        <f t="shared" si="12"/>
        <v>4307651.37</v>
      </c>
      <c r="J329" s="7">
        <f t="shared" si="13"/>
        <v>775377.24659999995</v>
      </c>
      <c r="K329" s="7">
        <f t="shared" si="14"/>
        <v>5083028.6166000003</v>
      </c>
    </row>
    <row r="330" spans="1:11" x14ac:dyDescent="0.3">
      <c r="A330" s="35">
        <v>315</v>
      </c>
      <c r="B330" s="2" t="s">
        <v>2652</v>
      </c>
      <c r="C330" s="2" t="s">
        <v>2653</v>
      </c>
      <c r="D330" s="2" t="s">
        <v>2654</v>
      </c>
      <c r="E330" s="2">
        <v>59</v>
      </c>
      <c r="F330" s="32" t="s">
        <v>1</v>
      </c>
      <c r="G330" s="93">
        <v>1744861.92</v>
      </c>
      <c r="H330" s="2">
        <v>3</v>
      </c>
      <c r="I330" s="7">
        <f t="shared" si="12"/>
        <v>5234585.76</v>
      </c>
      <c r="J330" s="7">
        <f t="shared" si="13"/>
        <v>942225.43679999991</v>
      </c>
      <c r="K330" s="7">
        <f t="shared" si="14"/>
        <v>6176811.1968</v>
      </c>
    </row>
    <row r="331" spans="1:11" x14ac:dyDescent="0.3">
      <c r="A331" s="35">
        <v>316</v>
      </c>
      <c r="B331" s="2" t="s">
        <v>1004</v>
      </c>
      <c r="C331" s="2" t="s">
        <v>1005</v>
      </c>
      <c r="D331" s="2" t="s">
        <v>1006</v>
      </c>
      <c r="E331" s="2">
        <v>72</v>
      </c>
      <c r="F331" s="32" t="s">
        <v>1</v>
      </c>
      <c r="G331" s="93">
        <v>1744861.92</v>
      </c>
      <c r="H331" s="2">
        <v>3</v>
      </c>
      <c r="I331" s="7">
        <f t="shared" si="12"/>
        <v>5234585.76</v>
      </c>
      <c r="J331" s="7">
        <f t="shared" si="13"/>
        <v>942225.43679999991</v>
      </c>
      <c r="K331" s="7">
        <f t="shared" si="14"/>
        <v>6176811.1968</v>
      </c>
    </row>
    <row r="332" spans="1:11" x14ac:dyDescent="0.3">
      <c r="A332" s="35">
        <v>317</v>
      </c>
      <c r="B332" s="2" t="s">
        <v>2664</v>
      </c>
      <c r="C332" s="2" t="s">
        <v>2665</v>
      </c>
      <c r="D332" s="2" t="s">
        <v>2666</v>
      </c>
      <c r="E332" s="2">
        <v>63</v>
      </c>
      <c r="F332" s="32" t="s">
        <v>1</v>
      </c>
      <c r="G332" s="93">
        <v>1744861.92</v>
      </c>
      <c r="H332" s="2">
        <v>3</v>
      </c>
      <c r="I332" s="7">
        <f t="shared" si="12"/>
        <v>5234585.76</v>
      </c>
      <c r="J332" s="7">
        <f t="shared" si="13"/>
        <v>942225.43679999991</v>
      </c>
      <c r="K332" s="7">
        <f t="shared" si="14"/>
        <v>6176811.1968</v>
      </c>
    </row>
    <row r="333" spans="1:11" x14ac:dyDescent="0.3">
      <c r="A333" s="35">
        <v>318</v>
      </c>
      <c r="B333" s="2" t="s">
        <v>1001</v>
      </c>
      <c r="C333" s="2" t="s">
        <v>1002</v>
      </c>
      <c r="D333" s="2" t="s">
        <v>1003</v>
      </c>
      <c r="E333" s="2">
        <v>56</v>
      </c>
      <c r="F333" s="32" t="s">
        <v>1</v>
      </c>
      <c r="G333" s="93">
        <v>1744861.92</v>
      </c>
      <c r="H333" s="2">
        <v>3</v>
      </c>
      <c r="I333" s="7">
        <f t="shared" si="12"/>
        <v>5234585.76</v>
      </c>
      <c r="J333" s="7">
        <f t="shared" si="13"/>
        <v>942225.43679999991</v>
      </c>
      <c r="K333" s="7">
        <f t="shared" si="14"/>
        <v>6176811.1968</v>
      </c>
    </row>
    <row r="334" spans="1:11" x14ac:dyDescent="0.3">
      <c r="A334" s="35">
        <v>319</v>
      </c>
      <c r="B334" s="2" t="s">
        <v>926</v>
      </c>
      <c r="C334" s="2" t="s">
        <v>927</v>
      </c>
      <c r="D334" s="2" t="s">
        <v>928</v>
      </c>
      <c r="E334" s="2">
        <v>40</v>
      </c>
      <c r="F334" s="32" t="s">
        <v>1</v>
      </c>
      <c r="G334" s="93">
        <v>1435883.79</v>
      </c>
      <c r="H334" s="2">
        <v>3</v>
      </c>
      <c r="I334" s="7">
        <f t="shared" si="12"/>
        <v>4307651.37</v>
      </c>
      <c r="J334" s="7">
        <f t="shared" si="13"/>
        <v>775377.24659999995</v>
      </c>
      <c r="K334" s="7">
        <f t="shared" si="14"/>
        <v>5083028.6166000003</v>
      </c>
    </row>
    <row r="335" spans="1:11" x14ac:dyDescent="0.3">
      <c r="A335" s="35">
        <v>320</v>
      </c>
      <c r="B335" s="2" t="s">
        <v>3010</v>
      </c>
      <c r="C335" s="2" t="s">
        <v>3011</v>
      </c>
      <c r="D335" s="2" t="s">
        <v>3012</v>
      </c>
      <c r="E335" s="2">
        <v>44</v>
      </c>
      <c r="F335" s="32" t="s">
        <v>1</v>
      </c>
      <c r="G335" s="93">
        <v>1435883.79</v>
      </c>
      <c r="H335" s="2">
        <v>3</v>
      </c>
      <c r="I335" s="7">
        <f t="shared" si="12"/>
        <v>4307651.37</v>
      </c>
      <c r="J335" s="7">
        <f t="shared" si="13"/>
        <v>775377.24659999995</v>
      </c>
      <c r="K335" s="7">
        <f t="shared" si="14"/>
        <v>5083028.6166000003</v>
      </c>
    </row>
    <row r="336" spans="1:11" x14ac:dyDescent="0.3">
      <c r="A336" s="35">
        <v>321</v>
      </c>
      <c r="B336" s="2" t="s">
        <v>3287</v>
      </c>
      <c r="C336" s="2" t="s">
        <v>3288</v>
      </c>
      <c r="D336" s="2" t="s">
        <v>3289</v>
      </c>
      <c r="E336" s="2">
        <v>40</v>
      </c>
      <c r="F336" s="32" t="s">
        <v>1</v>
      </c>
      <c r="G336" s="93">
        <v>1435883.79</v>
      </c>
      <c r="H336" s="2">
        <v>3</v>
      </c>
      <c r="I336" s="7">
        <f t="shared" si="12"/>
        <v>4307651.37</v>
      </c>
      <c r="J336" s="7">
        <f t="shared" si="13"/>
        <v>775377.24659999995</v>
      </c>
      <c r="K336" s="7">
        <f t="shared" si="14"/>
        <v>5083028.6166000003</v>
      </c>
    </row>
    <row r="337" spans="1:13" x14ac:dyDescent="0.3">
      <c r="A337" s="35">
        <v>322</v>
      </c>
      <c r="B337" s="2" t="s">
        <v>960</v>
      </c>
      <c r="C337" s="2" t="s">
        <v>961</v>
      </c>
      <c r="D337" s="2" t="s">
        <v>962</v>
      </c>
      <c r="E337" s="2">
        <v>66</v>
      </c>
      <c r="F337" s="32" t="s">
        <v>1</v>
      </c>
      <c r="G337" s="93">
        <v>1744861.92</v>
      </c>
      <c r="H337" s="2">
        <v>3</v>
      </c>
      <c r="I337" s="7">
        <f t="shared" ref="I337:I400" si="15">+G337*H337</f>
        <v>5234585.76</v>
      </c>
      <c r="J337" s="7">
        <f t="shared" ref="J337:J400" si="16">+I337*0.18</f>
        <v>942225.43679999991</v>
      </c>
      <c r="K337" s="7">
        <f t="shared" ref="K337:K400" si="17">+I337+J337</f>
        <v>6176811.1968</v>
      </c>
    </row>
    <row r="338" spans="1:13" x14ac:dyDescent="0.3">
      <c r="A338" s="35">
        <v>323</v>
      </c>
      <c r="B338" s="2" t="s">
        <v>966</v>
      </c>
      <c r="C338" s="2" t="s">
        <v>967</v>
      </c>
      <c r="D338" s="2" t="s">
        <v>968</v>
      </c>
      <c r="E338" s="2">
        <v>49</v>
      </c>
      <c r="F338" s="32" t="s">
        <v>1</v>
      </c>
      <c r="G338" s="93">
        <v>1435883.79</v>
      </c>
      <c r="H338" s="2">
        <v>3</v>
      </c>
      <c r="I338" s="7">
        <f t="shared" si="15"/>
        <v>4307651.37</v>
      </c>
      <c r="J338" s="7">
        <f t="shared" si="16"/>
        <v>775377.24659999995</v>
      </c>
      <c r="K338" s="7">
        <f t="shared" si="17"/>
        <v>5083028.6166000003</v>
      </c>
    </row>
    <row r="339" spans="1:13" x14ac:dyDescent="0.3">
      <c r="A339" s="35">
        <v>324</v>
      </c>
      <c r="B339" s="2" t="s">
        <v>3341</v>
      </c>
      <c r="C339" s="2" t="s">
        <v>3342</v>
      </c>
      <c r="D339" s="2" t="s">
        <v>3343</v>
      </c>
      <c r="E339" s="2">
        <v>45</v>
      </c>
      <c r="F339" s="32" t="s">
        <v>1</v>
      </c>
      <c r="G339" s="93">
        <v>1435883.79</v>
      </c>
      <c r="H339" s="2">
        <v>3</v>
      </c>
      <c r="I339" s="7">
        <f t="shared" si="15"/>
        <v>4307651.37</v>
      </c>
      <c r="J339" s="7">
        <f t="shared" si="16"/>
        <v>775377.24659999995</v>
      </c>
      <c r="K339" s="7">
        <f t="shared" si="17"/>
        <v>5083028.6166000003</v>
      </c>
    </row>
    <row r="340" spans="1:13" x14ac:dyDescent="0.3">
      <c r="A340" s="35">
        <v>325</v>
      </c>
      <c r="B340" s="2" t="s">
        <v>1040</v>
      </c>
      <c r="C340" s="2" t="s">
        <v>1041</v>
      </c>
      <c r="D340" s="2" t="s">
        <v>1042</v>
      </c>
      <c r="E340" s="2">
        <v>65</v>
      </c>
      <c r="F340" s="32" t="s">
        <v>1</v>
      </c>
      <c r="G340" s="93">
        <v>1744861.92</v>
      </c>
      <c r="H340" s="2">
        <v>3</v>
      </c>
      <c r="I340" s="7">
        <f t="shared" si="15"/>
        <v>5234585.76</v>
      </c>
      <c r="J340" s="7">
        <f t="shared" si="16"/>
        <v>942225.43679999991</v>
      </c>
      <c r="K340" s="7">
        <f t="shared" si="17"/>
        <v>6176811.1968</v>
      </c>
    </row>
    <row r="341" spans="1:13" x14ac:dyDescent="0.3">
      <c r="A341" s="35">
        <v>326</v>
      </c>
      <c r="B341" s="2" t="s">
        <v>3323</v>
      </c>
      <c r="C341" s="2" t="s">
        <v>3324</v>
      </c>
      <c r="D341" s="2" t="s">
        <v>3325</v>
      </c>
      <c r="E341" s="2">
        <v>33</v>
      </c>
      <c r="F341" s="32" t="s">
        <v>1</v>
      </c>
      <c r="G341" s="93">
        <v>1435883.79</v>
      </c>
      <c r="H341" s="2">
        <v>3</v>
      </c>
      <c r="I341" s="7">
        <f t="shared" si="15"/>
        <v>4307651.37</v>
      </c>
      <c r="J341" s="7">
        <f t="shared" si="16"/>
        <v>775377.24659999995</v>
      </c>
      <c r="K341" s="7">
        <f t="shared" si="17"/>
        <v>5083028.6166000003</v>
      </c>
    </row>
    <row r="342" spans="1:13" x14ac:dyDescent="0.3">
      <c r="A342" s="35">
        <v>327</v>
      </c>
      <c r="B342" s="2" t="s">
        <v>2715</v>
      </c>
      <c r="C342" s="2" t="s">
        <v>2716</v>
      </c>
      <c r="D342" s="2" t="s">
        <v>2717</v>
      </c>
      <c r="E342" s="2">
        <v>57</v>
      </c>
      <c r="F342" s="32" t="s">
        <v>1</v>
      </c>
      <c r="G342" s="93">
        <v>1744861.92</v>
      </c>
      <c r="H342" s="2">
        <v>3</v>
      </c>
      <c r="I342" s="7">
        <f t="shared" si="15"/>
        <v>5234585.76</v>
      </c>
      <c r="J342" s="7">
        <f t="shared" si="16"/>
        <v>942225.43679999991</v>
      </c>
      <c r="K342" s="7">
        <f t="shared" si="17"/>
        <v>6176811.1968</v>
      </c>
    </row>
    <row r="343" spans="1:13" x14ac:dyDescent="0.3">
      <c r="A343" s="35">
        <v>328</v>
      </c>
      <c r="B343" s="2" t="s">
        <v>2228</v>
      </c>
      <c r="C343" s="2" t="s">
        <v>2229</v>
      </c>
      <c r="D343" s="2" t="s">
        <v>2230</v>
      </c>
      <c r="E343" s="2">
        <v>40</v>
      </c>
      <c r="F343" s="32" t="s">
        <v>1</v>
      </c>
      <c r="G343" s="93">
        <v>1435883.79</v>
      </c>
      <c r="H343" s="2">
        <v>3</v>
      </c>
      <c r="I343" s="7">
        <f t="shared" si="15"/>
        <v>4307651.37</v>
      </c>
      <c r="J343" s="7">
        <f t="shared" si="16"/>
        <v>775377.24659999995</v>
      </c>
      <c r="K343" s="7">
        <f t="shared" si="17"/>
        <v>5083028.6166000003</v>
      </c>
    </row>
    <row r="344" spans="1:13" x14ac:dyDescent="0.3">
      <c r="A344" s="35">
        <v>329</v>
      </c>
      <c r="B344" s="2" t="s">
        <v>3001</v>
      </c>
      <c r="C344" s="2" t="s">
        <v>3002</v>
      </c>
      <c r="D344" s="2" t="s">
        <v>3003</v>
      </c>
      <c r="E344" s="2">
        <v>35</v>
      </c>
      <c r="F344" s="32" t="s">
        <v>1</v>
      </c>
      <c r="G344" s="93">
        <v>1435883.79</v>
      </c>
      <c r="H344" s="2">
        <v>3</v>
      </c>
      <c r="I344" s="7">
        <f t="shared" si="15"/>
        <v>4307651.37</v>
      </c>
      <c r="J344" s="7">
        <f t="shared" si="16"/>
        <v>775377.24659999995</v>
      </c>
      <c r="K344" s="7">
        <f t="shared" si="17"/>
        <v>5083028.6166000003</v>
      </c>
    </row>
    <row r="345" spans="1:13" x14ac:dyDescent="0.3">
      <c r="A345" s="35">
        <v>330</v>
      </c>
      <c r="B345" s="2" t="s">
        <v>3332</v>
      </c>
      <c r="C345" s="2" t="s">
        <v>3333</v>
      </c>
      <c r="D345" s="2" t="s">
        <v>3334</v>
      </c>
      <c r="E345" s="2">
        <v>50</v>
      </c>
      <c r="F345" s="32" t="s">
        <v>1</v>
      </c>
      <c r="G345" s="93">
        <v>1744861.92</v>
      </c>
      <c r="H345" s="2">
        <v>3</v>
      </c>
      <c r="I345" s="7">
        <f t="shared" si="15"/>
        <v>5234585.76</v>
      </c>
      <c r="J345" s="7">
        <f t="shared" si="16"/>
        <v>942225.43679999991</v>
      </c>
      <c r="K345" s="7">
        <f t="shared" si="17"/>
        <v>6176811.1968</v>
      </c>
    </row>
    <row r="346" spans="1:13" x14ac:dyDescent="0.3">
      <c r="A346" s="35">
        <v>331</v>
      </c>
      <c r="B346" s="2" t="s">
        <v>3320</v>
      </c>
      <c r="C346" s="2" t="s">
        <v>3321</v>
      </c>
      <c r="D346" s="2" t="s">
        <v>3322</v>
      </c>
      <c r="E346" s="2">
        <v>28</v>
      </c>
      <c r="F346" s="32" t="s">
        <v>1</v>
      </c>
      <c r="G346" s="93">
        <v>1215614.7</v>
      </c>
      <c r="H346" s="2">
        <v>3</v>
      </c>
      <c r="I346" s="7">
        <f t="shared" si="15"/>
        <v>3646844.0999999996</v>
      </c>
      <c r="J346" s="7">
        <f t="shared" si="16"/>
        <v>656431.93799999997</v>
      </c>
      <c r="K346" s="7">
        <f t="shared" si="17"/>
        <v>4303276.0379999997</v>
      </c>
    </row>
    <row r="347" spans="1:13" x14ac:dyDescent="0.3">
      <c r="A347" s="35">
        <v>332</v>
      </c>
      <c r="B347" s="2" t="s">
        <v>2968</v>
      </c>
      <c r="C347" s="2" t="s">
        <v>2969</v>
      </c>
      <c r="D347" s="2" t="s">
        <v>2970</v>
      </c>
      <c r="E347" s="2">
        <v>34</v>
      </c>
      <c r="F347" s="32" t="s">
        <v>1</v>
      </c>
      <c r="G347" s="93">
        <v>1435883.79</v>
      </c>
      <c r="H347" s="2">
        <v>3</v>
      </c>
      <c r="I347" s="7">
        <f t="shared" si="15"/>
        <v>4307651.37</v>
      </c>
      <c r="J347" s="7">
        <f t="shared" si="16"/>
        <v>775377.24659999995</v>
      </c>
      <c r="K347" s="7">
        <f t="shared" si="17"/>
        <v>5083028.6166000003</v>
      </c>
    </row>
    <row r="348" spans="1:13" x14ac:dyDescent="0.3">
      <c r="A348" s="35">
        <v>333</v>
      </c>
      <c r="B348" s="2" t="s">
        <v>668</v>
      </c>
      <c r="C348" s="2" t="s">
        <v>669</v>
      </c>
      <c r="D348" s="2" t="s">
        <v>670</v>
      </c>
      <c r="E348" s="2">
        <v>50</v>
      </c>
      <c r="F348" s="32" t="s">
        <v>1</v>
      </c>
      <c r="G348" s="93">
        <v>1744861.92</v>
      </c>
      <c r="H348" s="2">
        <v>3</v>
      </c>
      <c r="I348" s="7">
        <f t="shared" si="15"/>
        <v>5234585.76</v>
      </c>
      <c r="J348" s="7">
        <f t="shared" si="16"/>
        <v>942225.43679999991</v>
      </c>
      <c r="K348" s="7">
        <f t="shared" si="17"/>
        <v>6176811.1968</v>
      </c>
    </row>
    <row r="349" spans="1:13" x14ac:dyDescent="0.3">
      <c r="A349" s="35">
        <v>334</v>
      </c>
      <c r="B349" s="2" t="s">
        <v>3302</v>
      </c>
      <c r="C349" s="2" t="s">
        <v>3303</v>
      </c>
      <c r="D349" s="2" t="s">
        <v>3304</v>
      </c>
      <c r="E349" s="2">
        <v>30</v>
      </c>
      <c r="F349" s="32" t="s">
        <v>1</v>
      </c>
      <c r="G349" s="93">
        <v>1215614.7</v>
      </c>
      <c r="H349" s="2">
        <v>3</v>
      </c>
      <c r="I349" s="7">
        <f t="shared" si="15"/>
        <v>3646844.0999999996</v>
      </c>
      <c r="J349" s="7">
        <f t="shared" si="16"/>
        <v>656431.93799999997</v>
      </c>
      <c r="K349" s="7">
        <f t="shared" si="17"/>
        <v>4303276.0379999997</v>
      </c>
    </row>
    <row r="350" spans="1:13" x14ac:dyDescent="0.3">
      <c r="A350" s="35">
        <v>335</v>
      </c>
      <c r="B350" s="2" t="s">
        <v>2629</v>
      </c>
      <c r="C350" s="2" t="s">
        <v>2630</v>
      </c>
      <c r="D350" s="2" t="s">
        <v>2631</v>
      </c>
      <c r="E350" s="2">
        <v>24</v>
      </c>
      <c r="F350" s="32" t="s">
        <v>1</v>
      </c>
      <c r="G350" s="93">
        <v>1215614.7</v>
      </c>
      <c r="H350" s="2">
        <v>3</v>
      </c>
      <c r="I350" s="7">
        <f t="shared" si="15"/>
        <v>3646844.0999999996</v>
      </c>
      <c r="J350" s="7">
        <f t="shared" si="16"/>
        <v>656431.93799999997</v>
      </c>
      <c r="K350" s="7">
        <f t="shared" si="17"/>
        <v>4303276.0379999997</v>
      </c>
    </row>
    <row r="351" spans="1:13" s="57" customFormat="1" x14ac:dyDescent="0.3">
      <c r="A351" s="35">
        <v>336</v>
      </c>
      <c r="B351" s="55" t="s">
        <v>2632</v>
      </c>
      <c r="C351" s="55" t="s">
        <v>2633</v>
      </c>
      <c r="D351" s="55" t="s">
        <v>2634</v>
      </c>
      <c r="E351" s="55">
        <v>28</v>
      </c>
      <c r="F351" s="94" t="s">
        <v>1</v>
      </c>
      <c r="G351" s="93">
        <v>1215614.7</v>
      </c>
      <c r="H351" s="55">
        <v>3</v>
      </c>
      <c r="I351" s="7">
        <f t="shared" si="15"/>
        <v>3646844.0999999996</v>
      </c>
      <c r="J351" s="7">
        <f t="shared" si="16"/>
        <v>656431.93799999997</v>
      </c>
      <c r="K351" s="7">
        <f t="shared" si="17"/>
        <v>4303276.0379999997</v>
      </c>
      <c r="M351" s="95"/>
    </row>
    <row r="352" spans="1:13" x14ac:dyDescent="0.3">
      <c r="A352" s="35">
        <v>337</v>
      </c>
      <c r="B352" s="2" t="s">
        <v>2252</v>
      </c>
      <c r="C352" s="2" t="s">
        <v>2253</v>
      </c>
      <c r="D352" s="2" t="s">
        <v>2254</v>
      </c>
      <c r="E352" s="2">
        <v>8</v>
      </c>
      <c r="F352" s="32" t="s">
        <v>1</v>
      </c>
      <c r="G352" s="93">
        <v>895360</v>
      </c>
      <c r="H352" s="2">
        <v>3</v>
      </c>
      <c r="I352" s="7">
        <f t="shared" si="15"/>
        <v>2686080</v>
      </c>
      <c r="J352" s="7">
        <f t="shared" si="16"/>
        <v>483494.39999999997</v>
      </c>
      <c r="K352" s="7">
        <f t="shared" si="17"/>
        <v>3169574.4</v>
      </c>
    </row>
    <row r="353" spans="1:11" x14ac:dyDescent="0.3">
      <c r="A353" s="35">
        <v>338</v>
      </c>
      <c r="B353" s="2" t="s">
        <v>3043</v>
      </c>
      <c r="C353" s="2" t="s">
        <v>3044</v>
      </c>
      <c r="D353" s="2" t="s">
        <v>3045</v>
      </c>
      <c r="E353" s="2">
        <v>26</v>
      </c>
      <c r="F353" s="32" t="s">
        <v>1</v>
      </c>
      <c r="G353" s="93">
        <v>1215614.7</v>
      </c>
      <c r="H353" s="2">
        <v>3</v>
      </c>
      <c r="I353" s="7">
        <f t="shared" si="15"/>
        <v>3646844.0999999996</v>
      </c>
      <c r="J353" s="7">
        <f t="shared" si="16"/>
        <v>656431.93799999997</v>
      </c>
      <c r="K353" s="7">
        <f t="shared" si="17"/>
        <v>4303276.0379999997</v>
      </c>
    </row>
    <row r="354" spans="1:11" x14ac:dyDescent="0.3">
      <c r="A354" s="35">
        <v>339</v>
      </c>
      <c r="B354" s="2" t="s">
        <v>3040</v>
      </c>
      <c r="C354" s="2" t="s">
        <v>3041</v>
      </c>
      <c r="D354" s="2" t="s">
        <v>3042</v>
      </c>
      <c r="E354" s="2">
        <v>20</v>
      </c>
      <c r="F354" s="32" t="s">
        <v>1</v>
      </c>
      <c r="G354" s="93">
        <v>1215614.7</v>
      </c>
      <c r="H354" s="2">
        <v>3</v>
      </c>
      <c r="I354" s="7">
        <f t="shared" si="15"/>
        <v>3646844.0999999996</v>
      </c>
      <c r="J354" s="7">
        <f t="shared" si="16"/>
        <v>656431.93799999997</v>
      </c>
      <c r="K354" s="7">
        <f t="shared" si="17"/>
        <v>4303276.0379999997</v>
      </c>
    </row>
    <row r="355" spans="1:11" x14ac:dyDescent="0.3">
      <c r="A355" s="35">
        <v>340</v>
      </c>
      <c r="B355" s="2" t="s">
        <v>3099</v>
      </c>
      <c r="C355" s="2" t="s">
        <v>3100</v>
      </c>
      <c r="D355" s="2" t="s">
        <v>3101</v>
      </c>
      <c r="E355" s="2">
        <v>64</v>
      </c>
      <c r="F355" s="32" t="s">
        <v>1</v>
      </c>
      <c r="G355" s="93">
        <v>1744861.92</v>
      </c>
      <c r="H355" s="2">
        <v>3</v>
      </c>
      <c r="I355" s="7">
        <f t="shared" si="15"/>
        <v>5234585.76</v>
      </c>
      <c r="J355" s="7">
        <f t="shared" si="16"/>
        <v>942225.43679999991</v>
      </c>
      <c r="K355" s="7">
        <f t="shared" si="17"/>
        <v>6176811.1968</v>
      </c>
    </row>
    <row r="356" spans="1:11" x14ac:dyDescent="0.3">
      <c r="A356" s="35">
        <v>341</v>
      </c>
      <c r="B356" s="2" t="s">
        <v>2878</v>
      </c>
      <c r="C356" s="2" t="s">
        <v>2879</v>
      </c>
      <c r="D356" s="2" t="s">
        <v>2880</v>
      </c>
      <c r="E356" s="2">
        <v>63</v>
      </c>
      <c r="F356" s="32" t="s">
        <v>1</v>
      </c>
      <c r="G356" s="93">
        <v>1744861.92</v>
      </c>
      <c r="H356" s="2">
        <v>3</v>
      </c>
      <c r="I356" s="7">
        <f t="shared" si="15"/>
        <v>5234585.76</v>
      </c>
      <c r="J356" s="7">
        <f t="shared" si="16"/>
        <v>942225.43679999991</v>
      </c>
      <c r="K356" s="7">
        <f t="shared" si="17"/>
        <v>6176811.1968</v>
      </c>
    </row>
    <row r="357" spans="1:11" x14ac:dyDescent="0.3">
      <c r="A357" s="35">
        <v>342</v>
      </c>
      <c r="B357" s="2" t="s">
        <v>2947</v>
      </c>
      <c r="C357" s="2" t="s">
        <v>2948</v>
      </c>
      <c r="D357" s="2" t="s">
        <v>2949</v>
      </c>
      <c r="E357" s="2">
        <v>67</v>
      </c>
      <c r="F357" s="32" t="s">
        <v>1</v>
      </c>
      <c r="G357" s="93">
        <v>1744861.92</v>
      </c>
      <c r="H357" s="2">
        <v>3</v>
      </c>
      <c r="I357" s="7">
        <f t="shared" si="15"/>
        <v>5234585.76</v>
      </c>
      <c r="J357" s="7">
        <f t="shared" si="16"/>
        <v>942225.43679999991</v>
      </c>
      <c r="K357" s="7">
        <f t="shared" si="17"/>
        <v>6176811.1968</v>
      </c>
    </row>
    <row r="358" spans="1:11" x14ac:dyDescent="0.3">
      <c r="A358" s="35">
        <v>343</v>
      </c>
      <c r="B358" s="2" t="s">
        <v>2854</v>
      </c>
      <c r="C358" s="2" t="s">
        <v>2855</v>
      </c>
      <c r="D358" s="2" t="s">
        <v>2856</v>
      </c>
      <c r="E358" s="2">
        <v>70</v>
      </c>
      <c r="F358" s="32" t="s">
        <v>1</v>
      </c>
      <c r="G358" s="93">
        <v>1744861.92</v>
      </c>
      <c r="H358" s="2">
        <v>3</v>
      </c>
      <c r="I358" s="7">
        <f t="shared" si="15"/>
        <v>5234585.76</v>
      </c>
      <c r="J358" s="7">
        <f t="shared" si="16"/>
        <v>942225.43679999991</v>
      </c>
      <c r="K358" s="7">
        <f t="shared" si="17"/>
        <v>6176811.1968</v>
      </c>
    </row>
    <row r="359" spans="1:11" x14ac:dyDescent="0.3">
      <c r="A359" s="35">
        <v>344</v>
      </c>
      <c r="B359" s="2" t="s">
        <v>995</v>
      </c>
      <c r="C359" s="2" t="s">
        <v>996</v>
      </c>
      <c r="D359" s="2" t="s">
        <v>997</v>
      </c>
      <c r="E359" s="2">
        <v>70</v>
      </c>
      <c r="F359" s="32" t="s">
        <v>1</v>
      </c>
      <c r="G359" s="93">
        <v>1744861.92</v>
      </c>
      <c r="H359" s="2">
        <v>3</v>
      </c>
      <c r="I359" s="7">
        <f t="shared" si="15"/>
        <v>5234585.76</v>
      </c>
      <c r="J359" s="7">
        <f t="shared" si="16"/>
        <v>942225.43679999991</v>
      </c>
      <c r="K359" s="7">
        <f t="shared" si="17"/>
        <v>6176811.1968</v>
      </c>
    </row>
    <row r="360" spans="1:11" x14ac:dyDescent="0.3">
      <c r="A360" s="35">
        <v>345</v>
      </c>
      <c r="B360" s="2" t="s">
        <v>3185</v>
      </c>
      <c r="C360" s="2" t="s">
        <v>3186</v>
      </c>
      <c r="D360" s="2" t="s">
        <v>3187</v>
      </c>
      <c r="E360" s="2">
        <v>45</v>
      </c>
      <c r="F360" s="32" t="s">
        <v>1</v>
      </c>
      <c r="G360" s="93">
        <v>1435883.79</v>
      </c>
      <c r="H360" s="2">
        <v>3</v>
      </c>
      <c r="I360" s="7">
        <f t="shared" si="15"/>
        <v>4307651.37</v>
      </c>
      <c r="J360" s="7">
        <f t="shared" si="16"/>
        <v>775377.24659999995</v>
      </c>
      <c r="K360" s="7">
        <f t="shared" si="17"/>
        <v>5083028.6166000003</v>
      </c>
    </row>
    <row r="361" spans="1:11" x14ac:dyDescent="0.3">
      <c r="A361" s="35">
        <v>346</v>
      </c>
      <c r="B361" s="2" t="s">
        <v>3344</v>
      </c>
      <c r="C361" s="2" t="s">
        <v>3345</v>
      </c>
      <c r="D361" s="2" t="s">
        <v>3346</v>
      </c>
      <c r="E361" s="2">
        <v>40</v>
      </c>
      <c r="F361" s="32" t="s">
        <v>1</v>
      </c>
      <c r="G361" s="93">
        <v>1435883.79</v>
      </c>
      <c r="H361" s="2">
        <v>3</v>
      </c>
      <c r="I361" s="7">
        <f t="shared" si="15"/>
        <v>4307651.37</v>
      </c>
      <c r="J361" s="7">
        <f t="shared" si="16"/>
        <v>775377.24659999995</v>
      </c>
      <c r="K361" s="7">
        <f t="shared" si="17"/>
        <v>5083028.6166000003</v>
      </c>
    </row>
    <row r="362" spans="1:11" x14ac:dyDescent="0.3">
      <c r="A362" s="35">
        <v>347</v>
      </c>
      <c r="B362" s="2" t="s">
        <v>1016</v>
      </c>
      <c r="C362" s="2" t="s">
        <v>1017</v>
      </c>
      <c r="D362" s="2" t="s">
        <v>1018</v>
      </c>
      <c r="E362" s="2">
        <v>57</v>
      </c>
      <c r="F362" s="32" t="s">
        <v>1</v>
      </c>
      <c r="G362" s="93">
        <v>1744861.92</v>
      </c>
      <c r="H362" s="2">
        <v>3</v>
      </c>
      <c r="I362" s="7">
        <f t="shared" si="15"/>
        <v>5234585.76</v>
      </c>
      <c r="J362" s="7">
        <f t="shared" si="16"/>
        <v>942225.43679999991</v>
      </c>
      <c r="K362" s="7">
        <f t="shared" si="17"/>
        <v>6176811.1968</v>
      </c>
    </row>
    <row r="363" spans="1:11" x14ac:dyDescent="0.3">
      <c r="A363" s="35">
        <v>348</v>
      </c>
      <c r="B363" s="2" t="s">
        <v>3230</v>
      </c>
      <c r="C363" s="2" t="s">
        <v>3231</v>
      </c>
      <c r="D363" s="2" t="s">
        <v>3232</v>
      </c>
      <c r="E363" s="2">
        <v>52</v>
      </c>
      <c r="F363" s="32" t="s">
        <v>1</v>
      </c>
      <c r="G363" s="93">
        <v>1744861.92</v>
      </c>
      <c r="H363" s="2">
        <v>3</v>
      </c>
      <c r="I363" s="7">
        <f t="shared" si="15"/>
        <v>5234585.76</v>
      </c>
      <c r="J363" s="7">
        <f t="shared" si="16"/>
        <v>942225.43679999991</v>
      </c>
      <c r="K363" s="7">
        <f t="shared" si="17"/>
        <v>6176811.1968</v>
      </c>
    </row>
    <row r="364" spans="1:11" x14ac:dyDescent="0.3">
      <c r="A364" s="35">
        <v>349</v>
      </c>
      <c r="B364" s="2" t="s">
        <v>3129</v>
      </c>
      <c r="C364" s="2" t="s">
        <v>3130</v>
      </c>
      <c r="D364" s="2" t="s">
        <v>3131</v>
      </c>
      <c r="E364" s="2">
        <v>48</v>
      </c>
      <c r="F364" s="32" t="s">
        <v>1</v>
      </c>
      <c r="G364" s="93">
        <v>1435883.79</v>
      </c>
      <c r="H364" s="2">
        <v>3</v>
      </c>
      <c r="I364" s="7">
        <f t="shared" si="15"/>
        <v>4307651.37</v>
      </c>
      <c r="J364" s="7">
        <f t="shared" si="16"/>
        <v>775377.24659999995</v>
      </c>
      <c r="K364" s="7">
        <f t="shared" si="17"/>
        <v>5083028.6166000003</v>
      </c>
    </row>
    <row r="365" spans="1:11" x14ac:dyDescent="0.3">
      <c r="A365" s="35">
        <v>350</v>
      </c>
      <c r="B365" s="2" t="s">
        <v>3102</v>
      </c>
      <c r="C365" s="2" t="s">
        <v>3103</v>
      </c>
      <c r="D365" s="2" t="s">
        <v>3104</v>
      </c>
      <c r="E365" s="2">
        <v>67</v>
      </c>
      <c r="F365" s="32" t="s">
        <v>1</v>
      </c>
      <c r="G365" s="93">
        <v>1744861.92</v>
      </c>
      <c r="H365" s="2">
        <v>3</v>
      </c>
      <c r="I365" s="7">
        <f t="shared" si="15"/>
        <v>5234585.76</v>
      </c>
      <c r="J365" s="7">
        <f t="shared" si="16"/>
        <v>942225.43679999991</v>
      </c>
      <c r="K365" s="7">
        <f t="shared" si="17"/>
        <v>6176811.1968</v>
      </c>
    </row>
    <row r="366" spans="1:11" x14ac:dyDescent="0.3">
      <c r="A366" s="35">
        <v>351</v>
      </c>
      <c r="B366" s="2" t="s">
        <v>932</v>
      </c>
      <c r="C366" s="2" t="s">
        <v>933</v>
      </c>
      <c r="D366" s="2" t="s">
        <v>934</v>
      </c>
      <c r="E366" s="2">
        <v>47</v>
      </c>
      <c r="F366" s="32" t="s">
        <v>1</v>
      </c>
      <c r="G366" s="93">
        <v>1435883.79</v>
      </c>
      <c r="H366" s="2">
        <v>3</v>
      </c>
      <c r="I366" s="7">
        <f t="shared" si="15"/>
        <v>4307651.37</v>
      </c>
      <c r="J366" s="7">
        <f t="shared" si="16"/>
        <v>775377.24659999995</v>
      </c>
      <c r="K366" s="7">
        <f t="shared" si="17"/>
        <v>5083028.6166000003</v>
      </c>
    </row>
    <row r="367" spans="1:11" x14ac:dyDescent="0.3">
      <c r="A367" s="35">
        <v>352</v>
      </c>
      <c r="B367" s="2" t="s">
        <v>929</v>
      </c>
      <c r="C367" s="2" t="s">
        <v>930</v>
      </c>
      <c r="D367" s="2" t="s">
        <v>931</v>
      </c>
      <c r="E367" s="2">
        <v>30</v>
      </c>
      <c r="F367" s="32" t="s">
        <v>1</v>
      </c>
      <c r="G367" s="93">
        <v>1215614.7</v>
      </c>
      <c r="H367" s="2">
        <v>3</v>
      </c>
      <c r="I367" s="7">
        <f t="shared" si="15"/>
        <v>3646844.0999999996</v>
      </c>
      <c r="J367" s="7">
        <f t="shared" si="16"/>
        <v>656431.93799999997</v>
      </c>
      <c r="K367" s="7">
        <f t="shared" si="17"/>
        <v>4303276.0379999997</v>
      </c>
    </row>
    <row r="368" spans="1:11" x14ac:dyDescent="0.3">
      <c r="A368" s="35">
        <v>353</v>
      </c>
      <c r="B368" s="2" t="s">
        <v>828</v>
      </c>
      <c r="C368" s="2" t="s">
        <v>829</v>
      </c>
      <c r="D368" s="2" t="s">
        <v>830</v>
      </c>
      <c r="E368" s="2">
        <v>60</v>
      </c>
      <c r="F368" s="32" t="s">
        <v>1</v>
      </c>
      <c r="G368" s="93">
        <v>1744861.92</v>
      </c>
      <c r="H368" s="2">
        <v>3</v>
      </c>
      <c r="I368" s="7">
        <f t="shared" si="15"/>
        <v>5234585.76</v>
      </c>
      <c r="J368" s="7">
        <f t="shared" si="16"/>
        <v>942225.43679999991</v>
      </c>
      <c r="K368" s="7">
        <f t="shared" si="17"/>
        <v>6176811.1968</v>
      </c>
    </row>
    <row r="369" spans="1:11" x14ac:dyDescent="0.3">
      <c r="A369" s="35">
        <v>354</v>
      </c>
      <c r="B369" s="2" t="s">
        <v>696</v>
      </c>
      <c r="C369" s="2" t="s">
        <v>697</v>
      </c>
      <c r="D369" s="2" t="s">
        <v>698</v>
      </c>
      <c r="E369" s="2">
        <v>60</v>
      </c>
      <c r="F369" s="32" t="s">
        <v>1</v>
      </c>
      <c r="G369" s="93">
        <v>1744861.92</v>
      </c>
      <c r="H369" s="2">
        <v>3</v>
      </c>
      <c r="I369" s="7">
        <f t="shared" si="15"/>
        <v>5234585.76</v>
      </c>
      <c r="J369" s="7">
        <f t="shared" si="16"/>
        <v>942225.43679999991</v>
      </c>
      <c r="K369" s="7">
        <f t="shared" si="17"/>
        <v>6176811.1968</v>
      </c>
    </row>
    <row r="370" spans="1:11" x14ac:dyDescent="0.3">
      <c r="A370" s="35">
        <v>355</v>
      </c>
      <c r="B370" s="2" t="s">
        <v>868</v>
      </c>
      <c r="C370" s="2" t="s">
        <v>869</v>
      </c>
      <c r="D370" s="2" t="s">
        <v>870</v>
      </c>
      <c r="E370" s="2">
        <v>77</v>
      </c>
      <c r="F370" s="32" t="s">
        <v>1</v>
      </c>
      <c r="G370" s="93">
        <v>2446709.4300000002</v>
      </c>
      <c r="H370" s="2">
        <v>3</v>
      </c>
      <c r="I370" s="7">
        <f t="shared" si="15"/>
        <v>7340128.290000001</v>
      </c>
      <c r="J370" s="7">
        <f t="shared" si="16"/>
        <v>1321223.0922000001</v>
      </c>
      <c r="K370" s="7">
        <f t="shared" si="17"/>
        <v>8661351.3822000008</v>
      </c>
    </row>
    <row r="371" spans="1:11" x14ac:dyDescent="0.3">
      <c r="A371" s="35">
        <v>356</v>
      </c>
      <c r="B371" s="2" t="s">
        <v>3413</v>
      </c>
      <c r="C371" s="2" t="s">
        <v>3414</v>
      </c>
      <c r="D371" s="2" t="s">
        <v>3415</v>
      </c>
      <c r="E371" s="2">
        <v>31</v>
      </c>
      <c r="F371" s="32" t="s">
        <v>1</v>
      </c>
      <c r="G371" s="93">
        <v>1215614.7</v>
      </c>
      <c r="H371" s="2">
        <v>3</v>
      </c>
      <c r="I371" s="7">
        <f t="shared" si="15"/>
        <v>3646844.0999999996</v>
      </c>
      <c r="J371" s="7">
        <f t="shared" si="16"/>
        <v>656431.93799999997</v>
      </c>
      <c r="K371" s="7">
        <f t="shared" si="17"/>
        <v>4303276.0379999997</v>
      </c>
    </row>
    <row r="372" spans="1:11" x14ac:dyDescent="0.3">
      <c r="A372" s="35">
        <v>357</v>
      </c>
      <c r="B372" s="2" t="s">
        <v>2626</v>
      </c>
      <c r="C372" s="2" t="s">
        <v>2627</v>
      </c>
      <c r="D372" s="2" t="s">
        <v>2628</v>
      </c>
      <c r="E372" s="2">
        <v>30</v>
      </c>
      <c r="F372" s="32" t="s">
        <v>1</v>
      </c>
      <c r="G372" s="93">
        <v>1215614.7</v>
      </c>
      <c r="H372" s="2">
        <v>3</v>
      </c>
      <c r="I372" s="7">
        <f t="shared" si="15"/>
        <v>3646844.0999999996</v>
      </c>
      <c r="J372" s="7">
        <f t="shared" si="16"/>
        <v>656431.93799999997</v>
      </c>
      <c r="K372" s="7">
        <f t="shared" si="17"/>
        <v>4303276.0379999997</v>
      </c>
    </row>
    <row r="373" spans="1:11" x14ac:dyDescent="0.3">
      <c r="A373" s="35">
        <v>358</v>
      </c>
      <c r="B373" s="2" t="s">
        <v>2989</v>
      </c>
      <c r="C373" s="2" t="s">
        <v>2990</v>
      </c>
      <c r="D373" s="2" t="s">
        <v>2991</v>
      </c>
      <c r="E373" s="2">
        <v>24</v>
      </c>
      <c r="F373" s="32" t="s">
        <v>1</v>
      </c>
      <c r="G373" s="93">
        <v>1215614.7</v>
      </c>
      <c r="H373" s="2">
        <v>3</v>
      </c>
      <c r="I373" s="7">
        <f t="shared" si="15"/>
        <v>3646844.0999999996</v>
      </c>
      <c r="J373" s="7">
        <f t="shared" si="16"/>
        <v>656431.93799999997</v>
      </c>
      <c r="K373" s="7">
        <f t="shared" si="17"/>
        <v>4303276.0379999997</v>
      </c>
    </row>
    <row r="374" spans="1:11" x14ac:dyDescent="0.3">
      <c r="A374" s="35">
        <v>359</v>
      </c>
      <c r="B374" s="2" t="s">
        <v>2234</v>
      </c>
      <c r="C374" s="2" t="s">
        <v>2235</v>
      </c>
      <c r="D374" s="2" t="s">
        <v>2236</v>
      </c>
      <c r="E374" s="2">
        <v>28</v>
      </c>
      <c r="F374" s="32" t="s">
        <v>1</v>
      </c>
      <c r="G374" s="93">
        <v>1215614.7</v>
      </c>
      <c r="H374" s="2">
        <v>3</v>
      </c>
      <c r="I374" s="7">
        <f t="shared" si="15"/>
        <v>3646844.0999999996</v>
      </c>
      <c r="J374" s="7">
        <f t="shared" si="16"/>
        <v>656431.93799999997</v>
      </c>
      <c r="K374" s="7">
        <f t="shared" si="17"/>
        <v>4303276.0379999997</v>
      </c>
    </row>
    <row r="375" spans="1:11" x14ac:dyDescent="0.3">
      <c r="A375" s="35">
        <v>360</v>
      </c>
      <c r="B375" s="2" t="s">
        <v>2956</v>
      </c>
      <c r="C375" s="2" t="s">
        <v>2957</v>
      </c>
      <c r="D375" s="2" t="s">
        <v>2958</v>
      </c>
      <c r="E375" s="2">
        <v>28</v>
      </c>
      <c r="F375" s="32" t="s">
        <v>1</v>
      </c>
      <c r="G375" s="93">
        <v>1215614.7</v>
      </c>
      <c r="H375" s="2">
        <v>3</v>
      </c>
      <c r="I375" s="7">
        <f t="shared" si="15"/>
        <v>3646844.0999999996</v>
      </c>
      <c r="J375" s="7">
        <f t="shared" si="16"/>
        <v>656431.93799999997</v>
      </c>
      <c r="K375" s="7">
        <f t="shared" si="17"/>
        <v>4303276.0379999997</v>
      </c>
    </row>
    <row r="376" spans="1:11" x14ac:dyDescent="0.3">
      <c r="A376" s="35">
        <v>361</v>
      </c>
      <c r="B376" s="2" t="s">
        <v>3022</v>
      </c>
      <c r="C376" s="2" t="s">
        <v>3023</v>
      </c>
      <c r="D376" s="2" t="s">
        <v>3024</v>
      </c>
      <c r="E376" s="2">
        <v>29</v>
      </c>
      <c r="F376" s="32" t="s">
        <v>1</v>
      </c>
      <c r="G376" s="93">
        <v>1215614.7</v>
      </c>
      <c r="H376" s="2">
        <v>3</v>
      </c>
      <c r="I376" s="7">
        <f t="shared" si="15"/>
        <v>3646844.0999999996</v>
      </c>
      <c r="J376" s="7">
        <f t="shared" si="16"/>
        <v>656431.93799999997</v>
      </c>
      <c r="K376" s="7">
        <f t="shared" si="17"/>
        <v>4303276.0379999997</v>
      </c>
    </row>
    <row r="377" spans="1:11" x14ac:dyDescent="0.3">
      <c r="A377" s="35">
        <v>362</v>
      </c>
      <c r="B377" s="2" t="s">
        <v>2751</v>
      </c>
      <c r="C377" s="2" t="s">
        <v>2752</v>
      </c>
      <c r="D377" s="2" t="s">
        <v>2753</v>
      </c>
      <c r="E377" s="2">
        <v>65</v>
      </c>
      <c r="F377" s="32" t="s">
        <v>1</v>
      </c>
      <c r="G377" s="93">
        <v>1744861.92</v>
      </c>
      <c r="H377" s="2">
        <v>3</v>
      </c>
      <c r="I377" s="7">
        <f t="shared" si="15"/>
        <v>5234585.76</v>
      </c>
      <c r="J377" s="7">
        <f t="shared" si="16"/>
        <v>942225.43679999991</v>
      </c>
      <c r="K377" s="7">
        <f t="shared" si="17"/>
        <v>6176811.1968</v>
      </c>
    </row>
    <row r="378" spans="1:11" x14ac:dyDescent="0.3">
      <c r="A378" s="35">
        <v>363</v>
      </c>
      <c r="B378" s="2" t="s">
        <v>2836</v>
      </c>
      <c r="C378" s="2" t="s">
        <v>2837</v>
      </c>
      <c r="D378" s="2" t="s">
        <v>2838</v>
      </c>
      <c r="E378" s="2">
        <v>63</v>
      </c>
      <c r="F378" s="32" t="s">
        <v>1</v>
      </c>
      <c r="G378" s="93">
        <v>1744861.92</v>
      </c>
      <c r="H378" s="2">
        <v>3</v>
      </c>
      <c r="I378" s="7">
        <f t="shared" si="15"/>
        <v>5234585.76</v>
      </c>
      <c r="J378" s="7">
        <f t="shared" si="16"/>
        <v>942225.43679999991</v>
      </c>
      <c r="K378" s="7">
        <f t="shared" si="17"/>
        <v>6176811.1968</v>
      </c>
    </row>
    <row r="379" spans="1:11" x14ac:dyDescent="0.3">
      <c r="A379" s="35">
        <v>364</v>
      </c>
      <c r="B379" s="2" t="s">
        <v>2727</v>
      </c>
      <c r="C379" s="2" t="s">
        <v>2728</v>
      </c>
      <c r="D379" s="2" t="s">
        <v>2729</v>
      </c>
      <c r="E379" s="2">
        <v>66</v>
      </c>
      <c r="F379" s="32" t="s">
        <v>1</v>
      </c>
      <c r="G379" s="93">
        <v>1744861.92</v>
      </c>
      <c r="H379" s="2">
        <v>3</v>
      </c>
      <c r="I379" s="7">
        <f t="shared" si="15"/>
        <v>5234585.76</v>
      </c>
      <c r="J379" s="7">
        <f t="shared" si="16"/>
        <v>942225.43679999991</v>
      </c>
      <c r="K379" s="7">
        <f t="shared" si="17"/>
        <v>6176811.1968</v>
      </c>
    </row>
    <row r="380" spans="1:11" x14ac:dyDescent="0.3">
      <c r="A380" s="35">
        <v>365</v>
      </c>
      <c r="B380" s="2" t="s">
        <v>3165</v>
      </c>
      <c r="C380" s="2" t="s">
        <v>3166</v>
      </c>
      <c r="D380" s="2" t="s">
        <v>3167</v>
      </c>
      <c r="E380" s="2">
        <v>51</v>
      </c>
      <c r="F380" s="32" t="s">
        <v>1</v>
      </c>
      <c r="G380" s="93">
        <v>1744861.92</v>
      </c>
      <c r="H380" s="2">
        <v>3</v>
      </c>
      <c r="I380" s="7">
        <f t="shared" si="15"/>
        <v>5234585.76</v>
      </c>
      <c r="J380" s="7">
        <f t="shared" si="16"/>
        <v>942225.43679999991</v>
      </c>
      <c r="K380" s="7">
        <f t="shared" si="17"/>
        <v>6176811.1968</v>
      </c>
    </row>
    <row r="381" spans="1:11" x14ac:dyDescent="0.3">
      <c r="A381" s="35">
        <v>366</v>
      </c>
      <c r="B381" s="2" t="s">
        <v>3132</v>
      </c>
      <c r="C381" s="2" t="s">
        <v>3133</v>
      </c>
      <c r="D381" s="2" t="s">
        <v>3134</v>
      </c>
      <c r="E381" s="2">
        <v>47</v>
      </c>
      <c r="F381" s="32" t="s">
        <v>1</v>
      </c>
      <c r="G381" s="93">
        <v>1435883.79</v>
      </c>
      <c r="H381" s="2">
        <v>3</v>
      </c>
      <c r="I381" s="7">
        <f t="shared" si="15"/>
        <v>4307651.37</v>
      </c>
      <c r="J381" s="7">
        <f t="shared" si="16"/>
        <v>775377.24659999995</v>
      </c>
      <c r="K381" s="7">
        <f t="shared" si="17"/>
        <v>5083028.6166000003</v>
      </c>
    </row>
    <row r="382" spans="1:11" x14ac:dyDescent="0.3">
      <c r="A382" s="35">
        <v>367</v>
      </c>
      <c r="B382" s="2" t="s">
        <v>2757</v>
      </c>
      <c r="C382" s="2" t="s">
        <v>2758</v>
      </c>
      <c r="D382" s="2" t="s">
        <v>2759</v>
      </c>
      <c r="E382" s="2">
        <v>63</v>
      </c>
      <c r="F382" s="32" t="s">
        <v>1</v>
      </c>
      <c r="G382" s="93">
        <v>1744861.92</v>
      </c>
      <c r="H382" s="2">
        <v>3</v>
      </c>
      <c r="I382" s="7">
        <f t="shared" si="15"/>
        <v>5234585.76</v>
      </c>
      <c r="J382" s="7">
        <f t="shared" si="16"/>
        <v>942225.43679999991</v>
      </c>
      <c r="K382" s="7">
        <f t="shared" si="17"/>
        <v>6176811.1968</v>
      </c>
    </row>
    <row r="383" spans="1:11" x14ac:dyDescent="0.3">
      <c r="A383" s="35">
        <v>368</v>
      </c>
      <c r="B383" s="2" t="s">
        <v>2920</v>
      </c>
      <c r="C383" s="2" t="s">
        <v>2921</v>
      </c>
      <c r="D383" s="2" t="s">
        <v>2922</v>
      </c>
      <c r="E383" s="2">
        <v>76</v>
      </c>
      <c r="F383" s="32" t="s">
        <v>1</v>
      </c>
      <c r="G383" s="93">
        <v>2446709.4300000002</v>
      </c>
      <c r="H383" s="2">
        <v>3</v>
      </c>
      <c r="I383" s="7">
        <f t="shared" si="15"/>
        <v>7340128.290000001</v>
      </c>
      <c r="J383" s="7">
        <f t="shared" si="16"/>
        <v>1321223.0922000001</v>
      </c>
      <c r="K383" s="7">
        <f t="shared" si="17"/>
        <v>8661351.3822000008</v>
      </c>
    </row>
    <row r="384" spans="1:11" x14ac:dyDescent="0.3">
      <c r="A384" s="35">
        <v>369</v>
      </c>
      <c r="B384" s="2" t="s">
        <v>2763</v>
      </c>
      <c r="C384" s="2" t="s">
        <v>2764</v>
      </c>
      <c r="D384" s="2" t="s">
        <v>2765</v>
      </c>
      <c r="E384" s="2">
        <v>61</v>
      </c>
      <c r="F384" s="32" t="s">
        <v>1</v>
      </c>
      <c r="G384" s="93">
        <v>1744861.92</v>
      </c>
      <c r="H384" s="2">
        <v>3</v>
      </c>
      <c r="I384" s="7">
        <f t="shared" si="15"/>
        <v>5234585.76</v>
      </c>
      <c r="J384" s="7">
        <f t="shared" si="16"/>
        <v>942225.43679999991</v>
      </c>
      <c r="K384" s="7">
        <f t="shared" si="17"/>
        <v>6176811.1968</v>
      </c>
    </row>
    <row r="385" spans="1:11" x14ac:dyDescent="0.3">
      <c r="A385" s="35">
        <v>370</v>
      </c>
      <c r="B385" s="2" t="s">
        <v>3135</v>
      </c>
      <c r="C385" s="2" t="s">
        <v>3136</v>
      </c>
      <c r="D385" s="2" t="s">
        <v>3137</v>
      </c>
      <c r="E385" s="2">
        <v>53</v>
      </c>
      <c r="F385" s="32" t="s">
        <v>1</v>
      </c>
      <c r="G385" s="93">
        <v>1744861.92</v>
      </c>
      <c r="H385" s="2">
        <v>3</v>
      </c>
      <c r="I385" s="7">
        <f t="shared" si="15"/>
        <v>5234585.76</v>
      </c>
      <c r="J385" s="7">
        <f t="shared" si="16"/>
        <v>942225.43679999991</v>
      </c>
      <c r="K385" s="7">
        <f t="shared" si="17"/>
        <v>6176811.1968</v>
      </c>
    </row>
    <row r="386" spans="1:11" x14ac:dyDescent="0.3">
      <c r="A386" s="35">
        <v>371</v>
      </c>
      <c r="B386" s="2" t="s">
        <v>2932</v>
      </c>
      <c r="C386" s="2" t="s">
        <v>2933</v>
      </c>
      <c r="D386" s="2" t="s">
        <v>2934</v>
      </c>
      <c r="E386" s="2">
        <v>72</v>
      </c>
      <c r="F386" s="32" t="s">
        <v>1</v>
      </c>
      <c r="G386" s="93">
        <v>1744861.92</v>
      </c>
      <c r="H386" s="2">
        <v>3</v>
      </c>
      <c r="I386" s="7">
        <f t="shared" si="15"/>
        <v>5234585.76</v>
      </c>
      <c r="J386" s="7">
        <f t="shared" si="16"/>
        <v>942225.43679999991</v>
      </c>
      <c r="K386" s="7">
        <f t="shared" si="17"/>
        <v>6176811.1968</v>
      </c>
    </row>
    <row r="387" spans="1:11" x14ac:dyDescent="0.3">
      <c r="A387" s="35">
        <v>372</v>
      </c>
      <c r="B387" s="2" t="s">
        <v>3296</v>
      </c>
      <c r="C387" s="2" t="s">
        <v>3297</v>
      </c>
      <c r="D387" s="2" t="s">
        <v>3298</v>
      </c>
      <c r="E387" s="2">
        <v>69</v>
      </c>
      <c r="F387" s="32" t="s">
        <v>1</v>
      </c>
      <c r="G387" s="93">
        <v>1744861.92</v>
      </c>
      <c r="H387" s="2">
        <v>3</v>
      </c>
      <c r="I387" s="7">
        <f t="shared" si="15"/>
        <v>5234585.76</v>
      </c>
      <c r="J387" s="7">
        <f t="shared" si="16"/>
        <v>942225.43679999991</v>
      </c>
      <c r="K387" s="7">
        <f t="shared" si="17"/>
        <v>6176811.1968</v>
      </c>
    </row>
    <row r="388" spans="1:11" x14ac:dyDescent="0.3">
      <c r="A388" s="35">
        <v>373</v>
      </c>
      <c r="B388" s="2" t="s">
        <v>2724</v>
      </c>
      <c r="C388" s="2" t="s">
        <v>2725</v>
      </c>
      <c r="D388" s="2" t="s">
        <v>2726</v>
      </c>
      <c r="E388" s="2">
        <v>81</v>
      </c>
      <c r="F388" s="32" t="s">
        <v>1</v>
      </c>
      <c r="G388" s="93">
        <v>2446709.4300000002</v>
      </c>
      <c r="H388" s="2">
        <v>3</v>
      </c>
      <c r="I388" s="7">
        <f t="shared" si="15"/>
        <v>7340128.290000001</v>
      </c>
      <c r="J388" s="7">
        <f t="shared" si="16"/>
        <v>1321223.0922000001</v>
      </c>
      <c r="K388" s="7">
        <f t="shared" si="17"/>
        <v>8661351.3822000008</v>
      </c>
    </row>
    <row r="389" spans="1:11" x14ac:dyDescent="0.3">
      <c r="A389" s="35">
        <v>374</v>
      </c>
      <c r="B389" s="2" t="s">
        <v>734</v>
      </c>
      <c r="C389" s="2" t="s">
        <v>735</v>
      </c>
      <c r="D389" s="2" t="s">
        <v>736</v>
      </c>
      <c r="E389" s="2">
        <v>46</v>
      </c>
      <c r="F389" s="32" t="s">
        <v>1</v>
      </c>
      <c r="G389" s="93">
        <v>1435883.79</v>
      </c>
      <c r="H389" s="2">
        <v>3</v>
      </c>
      <c r="I389" s="7">
        <f t="shared" si="15"/>
        <v>4307651.37</v>
      </c>
      <c r="J389" s="7">
        <f t="shared" si="16"/>
        <v>775377.24659999995</v>
      </c>
      <c r="K389" s="7">
        <f t="shared" si="17"/>
        <v>5083028.6166000003</v>
      </c>
    </row>
    <row r="390" spans="1:11" x14ac:dyDescent="0.3">
      <c r="A390" s="35">
        <v>375</v>
      </c>
      <c r="B390" s="2" t="s">
        <v>790</v>
      </c>
      <c r="C390" s="2" t="s">
        <v>791</v>
      </c>
      <c r="D390" s="2" t="s">
        <v>792</v>
      </c>
      <c r="E390" s="2">
        <v>62</v>
      </c>
      <c r="F390" s="32" t="s">
        <v>1</v>
      </c>
      <c r="G390" s="93">
        <v>1744861.92</v>
      </c>
      <c r="H390" s="2">
        <v>3</v>
      </c>
      <c r="I390" s="7">
        <f t="shared" si="15"/>
        <v>5234585.76</v>
      </c>
      <c r="J390" s="7">
        <f t="shared" si="16"/>
        <v>942225.43679999991</v>
      </c>
      <c r="K390" s="7">
        <f t="shared" si="17"/>
        <v>6176811.1968</v>
      </c>
    </row>
    <row r="391" spans="1:11" x14ac:dyDescent="0.3">
      <c r="A391" s="35">
        <v>376</v>
      </c>
      <c r="B391" s="2" t="s">
        <v>911</v>
      </c>
      <c r="C391" s="2" t="s">
        <v>912</v>
      </c>
      <c r="D391" s="2" t="s">
        <v>913</v>
      </c>
      <c r="E391" s="2">
        <v>62</v>
      </c>
      <c r="F391" s="32" t="s">
        <v>1</v>
      </c>
      <c r="G391" s="93">
        <v>1744861.92</v>
      </c>
      <c r="H391" s="2">
        <v>3</v>
      </c>
      <c r="I391" s="7">
        <f t="shared" si="15"/>
        <v>5234585.76</v>
      </c>
      <c r="J391" s="7">
        <f t="shared" si="16"/>
        <v>942225.43679999991</v>
      </c>
      <c r="K391" s="7">
        <f t="shared" si="17"/>
        <v>6176811.1968</v>
      </c>
    </row>
    <row r="392" spans="1:11" x14ac:dyDescent="0.3">
      <c r="A392" s="35">
        <v>377</v>
      </c>
      <c r="B392" s="2" t="s">
        <v>332</v>
      </c>
      <c r="C392" s="2" t="s">
        <v>333</v>
      </c>
      <c r="D392" s="2" t="s">
        <v>334</v>
      </c>
      <c r="E392" s="2">
        <v>12</v>
      </c>
      <c r="F392" s="32" t="s">
        <v>1</v>
      </c>
      <c r="G392" s="93">
        <v>895360</v>
      </c>
      <c r="H392" s="2">
        <v>3</v>
      </c>
      <c r="I392" s="7">
        <f t="shared" si="15"/>
        <v>2686080</v>
      </c>
      <c r="J392" s="7">
        <f t="shared" si="16"/>
        <v>483494.39999999997</v>
      </c>
      <c r="K392" s="7">
        <f t="shared" si="17"/>
        <v>3169574.4</v>
      </c>
    </row>
    <row r="393" spans="1:11" x14ac:dyDescent="0.3">
      <c r="A393" s="35">
        <v>378</v>
      </c>
      <c r="B393" s="2" t="s">
        <v>2911</v>
      </c>
      <c r="C393" s="2" t="s">
        <v>2912</v>
      </c>
      <c r="D393" s="2" t="s">
        <v>2913</v>
      </c>
      <c r="E393" s="2">
        <v>45</v>
      </c>
      <c r="F393" s="32" t="s">
        <v>1</v>
      </c>
      <c r="G393" s="93">
        <v>1435883.79</v>
      </c>
      <c r="H393" s="2">
        <v>3</v>
      </c>
      <c r="I393" s="7">
        <f t="shared" si="15"/>
        <v>4307651.37</v>
      </c>
      <c r="J393" s="7">
        <f t="shared" si="16"/>
        <v>775377.24659999995</v>
      </c>
      <c r="K393" s="7">
        <f t="shared" si="17"/>
        <v>5083028.6166000003</v>
      </c>
    </row>
    <row r="394" spans="1:11" x14ac:dyDescent="0.3">
      <c r="A394" s="35">
        <v>379</v>
      </c>
      <c r="B394" s="2" t="s">
        <v>2795</v>
      </c>
      <c r="C394" s="2" t="s">
        <v>2796</v>
      </c>
      <c r="D394" s="2" t="s">
        <v>2797</v>
      </c>
      <c r="E394" s="2">
        <v>67</v>
      </c>
      <c r="F394" s="32" t="s">
        <v>1</v>
      </c>
      <c r="G394" s="93">
        <v>1744861.92</v>
      </c>
      <c r="H394" s="2">
        <v>3</v>
      </c>
      <c r="I394" s="7">
        <f t="shared" si="15"/>
        <v>5234585.76</v>
      </c>
      <c r="J394" s="7">
        <f t="shared" si="16"/>
        <v>942225.43679999991</v>
      </c>
      <c r="K394" s="7">
        <f t="shared" si="17"/>
        <v>6176811.1968</v>
      </c>
    </row>
    <row r="395" spans="1:11" x14ac:dyDescent="0.3">
      <c r="A395" s="35">
        <v>380</v>
      </c>
      <c r="B395" s="2" t="s">
        <v>2851</v>
      </c>
      <c r="C395" s="2" t="s">
        <v>2852</v>
      </c>
      <c r="D395" s="2" t="s">
        <v>2853</v>
      </c>
      <c r="E395" s="2">
        <v>55</v>
      </c>
      <c r="F395" s="32" t="s">
        <v>1</v>
      </c>
      <c r="G395" s="93">
        <v>1744861.92</v>
      </c>
      <c r="H395" s="2">
        <v>3</v>
      </c>
      <c r="I395" s="7">
        <f t="shared" si="15"/>
        <v>5234585.76</v>
      </c>
      <c r="J395" s="7">
        <f t="shared" si="16"/>
        <v>942225.43679999991</v>
      </c>
      <c r="K395" s="7">
        <f t="shared" si="17"/>
        <v>6176811.1968</v>
      </c>
    </row>
    <row r="396" spans="1:11" x14ac:dyDescent="0.3">
      <c r="A396" s="35">
        <v>381</v>
      </c>
      <c r="B396" s="2" t="s">
        <v>3153</v>
      </c>
      <c r="C396" s="2" t="s">
        <v>3154</v>
      </c>
      <c r="D396" s="2" t="s">
        <v>3155</v>
      </c>
      <c r="E396" s="2">
        <v>43</v>
      </c>
      <c r="F396" s="32" t="s">
        <v>1</v>
      </c>
      <c r="G396" s="93">
        <v>1435883.79</v>
      </c>
      <c r="H396" s="2">
        <v>3</v>
      </c>
      <c r="I396" s="7">
        <f t="shared" si="15"/>
        <v>4307651.37</v>
      </c>
      <c r="J396" s="7">
        <f t="shared" si="16"/>
        <v>775377.24659999995</v>
      </c>
      <c r="K396" s="7">
        <f t="shared" si="17"/>
        <v>5083028.6166000003</v>
      </c>
    </row>
    <row r="397" spans="1:11" x14ac:dyDescent="0.3">
      <c r="A397" s="35">
        <v>382</v>
      </c>
      <c r="B397" s="2" t="s">
        <v>3105</v>
      </c>
      <c r="C397" s="2" t="s">
        <v>3106</v>
      </c>
      <c r="D397" s="2" t="s">
        <v>3107</v>
      </c>
      <c r="E397" s="2">
        <v>47</v>
      </c>
      <c r="F397" s="32" t="s">
        <v>1</v>
      </c>
      <c r="G397" s="93">
        <v>1435883.79</v>
      </c>
      <c r="H397" s="2">
        <v>3</v>
      </c>
      <c r="I397" s="7">
        <f t="shared" si="15"/>
        <v>4307651.37</v>
      </c>
      <c r="J397" s="7">
        <f t="shared" si="16"/>
        <v>775377.24659999995</v>
      </c>
      <c r="K397" s="7">
        <f t="shared" si="17"/>
        <v>5083028.6166000003</v>
      </c>
    </row>
    <row r="398" spans="1:11" x14ac:dyDescent="0.3">
      <c r="A398" s="35">
        <v>383</v>
      </c>
      <c r="B398" s="2" t="s">
        <v>2860</v>
      </c>
      <c r="C398" s="2" t="s">
        <v>2861</v>
      </c>
      <c r="D398" s="2" t="s">
        <v>2862</v>
      </c>
      <c r="E398" s="2">
        <v>64</v>
      </c>
      <c r="F398" s="32" t="s">
        <v>1</v>
      </c>
      <c r="G398" s="93">
        <v>1744861.92</v>
      </c>
      <c r="H398" s="2">
        <v>3</v>
      </c>
      <c r="I398" s="7">
        <f t="shared" si="15"/>
        <v>5234585.76</v>
      </c>
      <c r="J398" s="7">
        <f t="shared" si="16"/>
        <v>942225.43679999991</v>
      </c>
      <c r="K398" s="7">
        <f t="shared" si="17"/>
        <v>6176811.1968</v>
      </c>
    </row>
    <row r="399" spans="1:11" x14ac:dyDescent="0.3">
      <c r="A399" s="35">
        <v>384</v>
      </c>
      <c r="B399" s="2" t="s">
        <v>2392</v>
      </c>
      <c r="C399" s="2" t="s">
        <v>2393</v>
      </c>
      <c r="D399" s="2" t="s">
        <v>2394</v>
      </c>
      <c r="E399" s="2">
        <v>17.649999999999999</v>
      </c>
      <c r="F399" s="32" t="s">
        <v>1</v>
      </c>
      <c r="G399" s="93">
        <v>895360</v>
      </c>
      <c r="H399" s="2">
        <v>3</v>
      </c>
      <c r="I399" s="7">
        <f t="shared" si="15"/>
        <v>2686080</v>
      </c>
      <c r="J399" s="7">
        <f t="shared" si="16"/>
        <v>483494.39999999997</v>
      </c>
      <c r="K399" s="7">
        <f t="shared" si="17"/>
        <v>3169574.4</v>
      </c>
    </row>
    <row r="400" spans="1:11" x14ac:dyDescent="0.3">
      <c r="A400" s="35">
        <v>385</v>
      </c>
      <c r="B400" s="2" t="s">
        <v>3254</v>
      </c>
      <c r="C400" s="2" t="s">
        <v>3255</v>
      </c>
      <c r="D400" s="2" t="s">
        <v>3256</v>
      </c>
      <c r="E400" s="2">
        <v>50</v>
      </c>
      <c r="F400" s="32" t="s">
        <v>1</v>
      </c>
      <c r="G400" s="93">
        <v>1744861.92</v>
      </c>
      <c r="H400" s="2">
        <v>3</v>
      </c>
      <c r="I400" s="7">
        <f t="shared" si="15"/>
        <v>5234585.76</v>
      </c>
      <c r="J400" s="7">
        <f t="shared" si="16"/>
        <v>942225.43679999991</v>
      </c>
      <c r="K400" s="7">
        <f t="shared" si="17"/>
        <v>6176811.1968</v>
      </c>
    </row>
    <row r="401" spans="1:11" x14ac:dyDescent="0.3">
      <c r="A401" s="35">
        <v>386</v>
      </c>
      <c r="B401" s="2" t="s">
        <v>2824</v>
      </c>
      <c r="C401" s="2" t="s">
        <v>2825</v>
      </c>
      <c r="D401" s="2" t="s">
        <v>2826</v>
      </c>
      <c r="E401" s="2">
        <v>60</v>
      </c>
      <c r="F401" s="32" t="s">
        <v>1</v>
      </c>
      <c r="G401" s="93">
        <v>1744861.92</v>
      </c>
      <c r="H401" s="2">
        <v>3</v>
      </c>
      <c r="I401" s="7">
        <f t="shared" ref="I401:I414" si="18">+G401*H401</f>
        <v>5234585.76</v>
      </c>
      <c r="J401" s="7">
        <f t="shared" ref="J401:J414" si="19">+I401*0.18</f>
        <v>942225.43679999991</v>
      </c>
      <c r="K401" s="7">
        <f t="shared" ref="K401:K414" si="20">+I401+J401</f>
        <v>6176811.1968</v>
      </c>
    </row>
    <row r="402" spans="1:11" x14ac:dyDescent="0.3">
      <c r="A402" s="35">
        <v>387</v>
      </c>
      <c r="B402" s="2" t="s">
        <v>3117</v>
      </c>
      <c r="C402" s="2" t="s">
        <v>3118</v>
      </c>
      <c r="D402" s="2" t="s">
        <v>3119</v>
      </c>
      <c r="E402" s="2">
        <v>69</v>
      </c>
      <c r="F402" s="32" t="s">
        <v>1</v>
      </c>
      <c r="G402" s="93">
        <v>1744861.92</v>
      </c>
      <c r="H402" s="2">
        <v>3</v>
      </c>
      <c r="I402" s="7">
        <f t="shared" si="18"/>
        <v>5234585.76</v>
      </c>
      <c r="J402" s="7">
        <f t="shared" si="19"/>
        <v>942225.43679999991</v>
      </c>
      <c r="K402" s="7">
        <f t="shared" si="20"/>
        <v>6176811.1968</v>
      </c>
    </row>
    <row r="403" spans="1:11" x14ac:dyDescent="0.3">
      <c r="A403" s="35">
        <v>388</v>
      </c>
      <c r="B403" s="2" t="s">
        <v>3114</v>
      </c>
      <c r="C403" s="2" t="s">
        <v>3115</v>
      </c>
      <c r="D403" s="2" t="s">
        <v>3116</v>
      </c>
      <c r="E403" s="2">
        <v>57</v>
      </c>
      <c r="F403" s="32" t="s">
        <v>1</v>
      </c>
      <c r="G403" s="93">
        <v>1744861.92</v>
      </c>
      <c r="H403" s="2">
        <v>3</v>
      </c>
      <c r="I403" s="7">
        <f t="shared" si="18"/>
        <v>5234585.76</v>
      </c>
      <c r="J403" s="7">
        <f t="shared" si="19"/>
        <v>942225.43679999991</v>
      </c>
      <c r="K403" s="7">
        <f t="shared" si="20"/>
        <v>6176811.1968</v>
      </c>
    </row>
    <row r="404" spans="1:11" x14ac:dyDescent="0.3">
      <c r="A404" s="35">
        <v>389</v>
      </c>
      <c r="B404" s="2" t="s">
        <v>980</v>
      </c>
      <c r="C404" s="2" t="s">
        <v>981</v>
      </c>
      <c r="D404" s="2" t="s">
        <v>982</v>
      </c>
      <c r="E404" s="2">
        <v>52</v>
      </c>
      <c r="F404" s="32" t="s">
        <v>1</v>
      </c>
      <c r="G404" s="93">
        <v>1744861.92</v>
      </c>
      <c r="H404" s="2">
        <v>3</v>
      </c>
      <c r="I404" s="7">
        <f t="shared" si="18"/>
        <v>5234585.76</v>
      </c>
      <c r="J404" s="7">
        <f t="shared" si="19"/>
        <v>942225.43679999991</v>
      </c>
      <c r="K404" s="7">
        <f t="shared" si="20"/>
        <v>6176811.1968</v>
      </c>
    </row>
    <row r="405" spans="1:11" x14ac:dyDescent="0.3">
      <c r="A405" s="35">
        <v>390</v>
      </c>
      <c r="B405" s="2" t="s">
        <v>2818</v>
      </c>
      <c r="C405" s="2" t="s">
        <v>2819</v>
      </c>
      <c r="D405" s="2" t="s">
        <v>2820</v>
      </c>
      <c r="E405" s="2">
        <v>62</v>
      </c>
      <c r="F405" s="32" t="s">
        <v>1</v>
      </c>
      <c r="G405" s="93">
        <v>1744861.92</v>
      </c>
      <c r="H405" s="2">
        <v>3</v>
      </c>
      <c r="I405" s="7">
        <f t="shared" si="18"/>
        <v>5234585.76</v>
      </c>
      <c r="J405" s="7">
        <f t="shared" si="19"/>
        <v>942225.43679999991</v>
      </c>
      <c r="K405" s="7">
        <f t="shared" si="20"/>
        <v>6176811.1968</v>
      </c>
    </row>
    <row r="406" spans="1:11" x14ac:dyDescent="0.3">
      <c r="A406" s="35">
        <v>391</v>
      </c>
      <c r="B406" s="2" t="s">
        <v>3293</v>
      </c>
      <c r="C406" s="2" t="s">
        <v>3294</v>
      </c>
      <c r="D406" s="2" t="s">
        <v>3295</v>
      </c>
      <c r="E406" s="2">
        <v>86</v>
      </c>
      <c r="F406" s="32" t="s">
        <v>1</v>
      </c>
      <c r="G406" s="93">
        <v>2446709.4300000002</v>
      </c>
      <c r="H406" s="2">
        <v>3</v>
      </c>
      <c r="I406" s="7">
        <f t="shared" si="18"/>
        <v>7340128.290000001</v>
      </c>
      <c r="J406" s="7">
        <f t="shared" si="19"/>
        <v>1321223.0922000001</v>
      </c>
      <c r="K406" s="7">
        <f t="shared" si="20"/>
        <v>8661351.3822000008</v>
      </c>
    </row>
    <row r="407" spans="1:11" x14ac:dyDescent="0.3">
      <c r="A407" s="35">
        <v>392</v>
      </c>
      <c r="B407" s="2" t="s">
        <v>3290</v>
      </c>
      <c r="C407" s="2" t="s">
        <v>3291</v>
      </c>
      <c r="D407" s="2" t="s">
        <v>3292</v>
      </c>
      <c r="E407" s="2">
        <v>52</v>
      </c>
      <c r="F407" s="32" t="s">
        <v>1</v>
      </c>
      <c r="G407" s="93">
        <v>1744861.92</v>
      </c>
      <c r="H407" s="2">
        <v>3</v>
      </c>
      <c r="I407" s="7">
        <f t="shared" si="18"/>
        <v>5234585.76</v>
      </c>
      <c r="J407" s="7">
        <f t="shared" si="19"/>
        <v>942225.43679999991</v>
      </c>
      <c r="K407" s="7">
        <f t="shared" si="20"/>
        <v>6176811.1968</v>
      </c>
    </row>
    <row r="408" spans="1:11" x14ac:dyDescent="0.3">
      <c r="A408" s="35">
        <v>393</v>
      </c>
      <c r="B408" s="2" t="s">
        <v>3359</v>
      </c>
      <c r="C408" s="2" t="s">
        <v>3360</v>
      </c>
      <c r="D408" s="2" t="s">
        <v>3361</v>
      </c>
      <c r="E408" s="2">
        <v>66</v>
      </c>
      <c r="F408" s="32" t="s">
        <v>1</v>
      </c>
      <c r="G408" s="93">
        <v>1744861.92</v>
      </c>
      <c r="H408" s="2">
        <v>3</v>
      </c>
      <c r="I408" s="7">
        <f t="shared" si="18"/>
        <v>5234585.76</v>
      </c>
      <c r="J408" s="7">
        <f t="shared" si="19"/>
        <v>942225.43679999991</v>
      </c>
      <c r="K408" s="7">
        <f t="shared" si="20"/>
        <v>6176811.1968</v>
      </c>
    </row>
    <row r="409" spans="1:11" x14ac:dyDescent="0.3">
      <c r="A409" s="35">
        <v>394</v>
      </c>
      <c r="B409" s="2" t="s">
        <v>1070</v>
      </c>
      <c r="C409" s="2" t="s">
        <v>1071</v>
      </c>
      <c r="D409" s="2" t="s">
        <v>1072</v>
      </c>
      <c r="E409" s="2">
        <v>66</v>
      </c>
      <c r="F409" s="32" t="s">
        <v>1</v>
      </c>
      <c r="G409" s="93">
        <v>1744861.92</v>
      </c>
      <c r="H409" s="2">
        <v>3</v>
      </c>
      <c r="I409" s="7">
        <f t="shared" si="18"/>
        <v>5234585.76</v>
      </c>
      <c r="J409" s="7">
        <f t="shared" si="19"/>
        <v>942225.43679999991</v>
      </c>
      <c r="K409" s="7">
        <f t="shared" si="20"/>
        <v>6176811.1968</v>
      </c>
    </row>
    <row r="410" spans="1:11" x14ac:dyDescent="0.3">
      <c r="A410" s="35">
        <v>395</v>
      </c>
      <c r="B410" s="2" t="s">
        <v>3362</v>
      </c>
      <c r="C410" s="2" t="s">
        <v>3363</v>
      </c>
      <c r="D410" s="2" t="s">
        <v>3364</v>
      </c>
      <c r="E410" s="2">
        <v>67</v>
      </c>
      <c r="F410" s="32" t="s">
        <v>1</v>
      </c>
      <c r="G410" s="93">
        <v>1744861.92</v>
      </c>
      <c r="H410" s="2">
        <v>3</v>
      </c>
      <c r="I410" s="7">
        <f t="shared" si="18"/>
        <v>5234585.76</v>
      </c>
      <c r="J410" s="7">
        <f t="shared" si="19"/>
        <v>942225.43679999991</v>
      </c>
      <c r="K410" s="7">
        <f t="shared" si="20"/>
        <v>6176811.1968</v>
      </c>
    </row>
    <row r="411" spans="1:11" x14ac:dyDescent="0.3">
      <c r="A411" s="35">
        <v>396</v>
      </c>
      <c r="B411" s="2" t="s">
        <v>1055</v>
      </c>
      <c r="C411" s="2" t="s">
        <v>1056</v>
      </c>
      <c r="D411" s="2" t="s">
        <v>1057</v>
      </c>
      <c r="E411" s="2">
        <v>49</v>
      </c>
      <c r="F411" s="32" t="s">
        <v>1</v>
      </c>
      <c r="G411" s="93">
        <v>1435883.79</v>
      </c>
      <c r="H411" s="2">
        <v>3</v>
      </c>
      <c r="I411" s="7">
        <f t="shared" si="18"/>
        <v>4307651.37</v>
      </c>
      <c r="J411" s="7">
        <f t="shared" si="19"/>
        <v>775377.24659999995</v>
      </c>
      <c r="K411" s="7">
        <f t="shared" si="20"/>
        <v>5083028.6166000003</v>
      </c>
    </row>
    <row r="412" spans="1:11" x14ac:dyDescent="0.3">
      <c r="A412" s="35">
        <v>397</v>
      </c>
      <c r="B412" s="2" t="s">
        <v>693</v>
      </c>
      <c r="C412" s="2" t="s">
        <v>694</v>
      </c>
      <c r="D412" s="2" t="s">
        <v>695</v>
      </c>
      <c r="E412" s="2">
        <v>73</v>
      </c>
      <c r="F412" s="32" t="s">
        <v>1</v>
      </c>
      <c r="G412" s="93">
        <v>1744861.92</v>
      </c>
      <c r="H412" s="2">
        <v>3</v>
      </c>
      <c r="I412" s="7">
        <f t="shared" si="18"/>
        <v>5234585.76</v>
      </c>
      <c r="J412" s="7">
        <f t="shared" si="19"/>
        <v>942225.43679999991</v>
      </c>
      <c r="K412" s="7">
        <f t="shared" si="20"/>
        <v>6176811.1968</v>
      </c>
    </row>
    <row r="413" spans="1:11" x14ac:dyDescent="0.3">
      <c r="A413" s="35">
        <v>398</v>
      </c>
      <c r="B413" s="2" t="s">
        <v>635</v>
      </c>
      <c r="C413" s="2" t="s">
        <v>636</v>
      </c>
      <c r="D413" s="2" t="s">
        <v>637</v>
      </c>
      <c r="E413" s="2">
        <v>40</v>
      </c>
      <c r="F413" s="32" t="s">
        <v>1</v>
      </c>
      <c r="G413" s="93">
        <v>1435883.79</v>
      </c>
      <c r="H413" s="2">
        <v>3</v>
      </c>
      <c r="I413" s="7">
        <f t="shared" si="18"/>
        <v>4307651.37</v>
      </c>
      <c r="J413" s="7">
        <f t="shared" si="19"/>
        <v>775377.24659999995</v>
      </c>
      <c r="K413" s="7">
        <f t="shared" si="20"/>
        <v>5083028.6166000003</v>
      </c>
    </row>
    <row r="414" spans="1:11" x14ac:dyDescent="0.3">
      <c r="A414" s="35">
        <v>399</v>
      </c>
      <c r="B414" s="2" t="s">
        <v>5051</v>
      </c>
      <c r="C414" s="2" t="s">
        <v>5056</v>
      </c>
      <c r="D414" s="2" t="s">
        <v>5056</v>
      </c>
      <c r="E414" s="55">
        <v>9</v>
      </c>
      <c r="F414" s="32" t="s">
        <v>1</v>
      </c>
      <c r="G414" s="93">
        <v>895360</v>
      </c>
      <c r="H414" s="2">
        <v>3</v>
      </c>
      <c r="I414" s="7">
        <f t="shared" si="18"/>
        <v>2686080</v>
      </c>
      <c r="J414" s="7">
        <f t="shared" si="19"/>
        <v>483494.39999999997</v>
      </c>
      <c r="K414" s="7">
        <f t="shared" si="20"/>
        <v>3169574.4</v>
      </c>
    </row>
    <row r="415" spans="1:11" x14ac:dyDescent="0.3">
      <c r="I415" s="78"/>
    </row>
  </sheetData>
  <autoFilter ref="A15:M414" xr:uid="{00000000-0001-0000-0500-000000000000}"/>
  <conditionalFormatting sqref="B1:B1048576">
    <cfRule type="duplicateValues" dxfId="44" priority="2"/>
  </conditionalFormatting>
  <conditionalFormatting sqref="A16 A18 A20 A22 A24 A26 A28 A30 A32 A34 A36 A38 A40 A42 A44 A46 A48 A50 A52 A54 A56 A58 A60 A62 A64 A66 A68 A70 A72 A74 A76 A78 A80 A82 A84 A86 A88 A90 A92 A94 A96 A98 A100 A102 A104 A106 A108 A110 A112 A114 A116 A118 A120 A122 A124 A126 A128 A130 A132 A134 A136 A138 A140 A142 A144 A146 A148 A150 A152 A154 A156 A158 A160 A162 A164 A166 A168 A170 A172 A174 A176 A178 A180 A182 A184 A186 A188 A190 A192 A194 A196 A198 A200 A202 A204 A206 A208 A210 A212 A214 A216 A218 A220 A222 A224 A226 A228 A230 A232 A234 A236 A238 A240 A242 A244 A246 A248 A250 A252 A254 A256 A258 A260 A262 A264 A266 A268 A270 A272 A274 A276 A278 A280 A282 A284 A286 A288 A290 A292 A294 A296 A298 A300 A302 A304 A306 A308 A310 A312 A314 A316 A318 A320 A322 A324 A326 A328 A330 A332 A334 A336 A338 A340 A342 A344 A346 A348 A350 A352 A354 A356 A358 A360 A362 A364 A366 A368 A370 A372 A374 A376 A378 A380 A382 A384 A386 A388 A390 A392 A394 A396 A398 A400 A402 A404 A406 A408 A410 A412 A414">
    <cfRule type="duplicateValues" dxfId="43" priority="11309"/>
  </conditionalFormatting>
  <conditionalFormatting sqref="B1:B136">
    <cfRule type="duplicateValues" dxfId="42" priority="11626"/>
  </conditionalFormatting>
  <conditionalFormatting sqref="B1:B136">
    <cfRule type="duplicateValues" dxfId="41" priority="11628"/>
    <cfRule type="duplicateValues" dxfId="40" priority="11629"/>
  </conditionalFormatting>
  <conditionalFormatting sqref="C1:C136">
    <cfRule type="duplicateValues" dxfId="39" priority="11632"/>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09"/>
  <sheetViews>
    <sheetView topLeftCell="C1" zoomScale="81" zoomScaleNormal="80" workbookViewId="0">
      <selection activeCell="D27" sqref="D27"/>
    </sheetView>
  </sheetViews>
  <sheetFormatPr baseColWidth="10" defaultColWidth="9.109375" defaultRowHeight="14.4" x14ac:dyDescent="0.3"/>
  <cols>
    <col min="2" max="2" width="21.44140625" bestFit="1" customWidth="1"/>
    <col min="3" max="3" width="30.33203125" bestFit="1" customWidth="1"/>
    <col min="4" max="4" width="53.5546875" customWidth="1"/>
    <col min="5" max="5" width="17.44140625" bestFit="1" customWidth="1"/>
    <col min="6" max="6" width="21.88671875" customWidth="1"/>
    <col min="7" max="7" width="25.5546875" bestFit="1" customWidth="1"/>
    <col min="8" max="8" width="17.6640625" bestFit="1" customWidth="1"/>
    <col min="9" max="9" width="24.6640625" customWidth="1"/>
    <col min="10" max="10" width="18.44140625" customWidth="1"/>
    <col min="11" max="11" width="31.109375" customWidth="1"/>
  </cols>
  <sheetData>
    <row r="1" spans="1:11" x14ac:dyDescent="0.3">
      <c r="G1" s="10"/>
    </row>
    <row r="2" spans="1:11" x14ac:dyDescent="0.3">
      <c r="F2" s="2"/>
      <c r="G2" s="2">
        <f>COUNTIF(F$17:F$209,$G$1)</f>
        <v>0</v>
      </c>
    </row>
    <row r="3" spans="1:11" x14ac:dyDescent="0.3">
      <c r="F3" s="19" t="s">
        <v>4508</v>
      </c>
      <c r="G3" s="3">
        <f>SUMIF($F$17:$F$209,"ATHENA 1",$G$17:$G$209)</f>
        <v>246669475.64999935</v>
      </c>
    </row>
    <row r="4" spans="1:11" x14ac:dyDescent="0.3">
      <c r="G4" s="4"/>
    </row>
    <row r="5" spans="1:11" x14ac:dyDescent="0.3">
      <c r="F5" s="5" t="s">
        <v>4</v>
      </c>
      <c r="G5" s="6"/>
    </row>
    <row r="6" spans="1:11" x14ac:dyDescent="0.3">
      <c r="F6" s="2" t="s">
        <v>4958</v>
      </c>
      <c r="G6" s="7">
        <v>805824</v>
      </c>
    </row>
    <row r="7" spans="1:11" x14ac:dyDescent="0.3">
      <c r="F7" s="2" t="s">
        <v>4952</v>
      </c>
      <c r="G7" s="7">
        <v>960335.62</v>
      </c>
    </row>
    <row r="8" spans="1:11" x14ac:dyDescent="0.3">
      <c r="F8" s="2" t="s">
        <v>4953</v>
      </c>
      <c r="G8" s="7">
        <v>1134348.19</v>
      </c>
    </row>
    <row r="9" spans="1:11" x14ac:dyDescent="0.3">
      <c r="F9" s="2" t="s">
        <v>4960</v>
      </c>
      <c r="G9" s="7">
        <v>1378440.92</v>
      </c>
    </row>
    <row r="10" spans="1:11" x14ac:dyDescent="0.3">
      <c r="E10" s="6"/>
      <c r="F10" s="7" t="s">
        <v>4955</v>
      </c>
      <c r="G10" s="7">
        <v>1932900.45</v>
      </c>
    </row>
    <row r="11" spans="1:11" x14ac:dyDescent="0.3">
      <c r="E11" s="6"/>
      <c r="F11" s="36" t="s">
        <v>4957</v>
      </c>
      <c r="G11" s="7">
        <v>2364908.14</v>
      </c>
    </row>
    <row r="12" spans="1:11" x14ac:dyDescent="0.3">
      <c r="D12" s="21" t="s">
        <v>5256</v>
      </c>
      <c r="E12" s="6"/>
      <c r="F12" s="6"/>
      <c r="G12" s="6"/>
      <c r="H12" s="9"/>
    </row>
    <row r="13" spans="1:11" x14ac:dyDescent="0.3">
      <c r="E13" s="6"/>
      <c r="F13" s="6"/>
      <c r="G13" s="6"/>
      <c r="H13" s="9"/>
    </row>
    <row r="14" spans="1:11" x14ac:dyDescent="0.3">
      <c r="G14" s="9"/>
    </row>
    <row r="15" spans="1:11" s="6" customFormat="1" ht="16.5" customHeight="1" x14ac:dyDescent="0.3">
      <c r="G15" s="16">
        <f>SUBTOTAL(9,G17:G209)</f>
        <v>246669475.64999935</v>
      </c>
      <c r="I15" s="17">
        <f>SUBTOTAL(9,I17:I209)</f>
        <v>740008426.95000005</v>
      </c>
      <c r="J15" s="17">
        <f>SUBTOTAL(9,J17:J209)</f>
        <v>133201516.85099986</v>
      </c>
      <c r="K15" s="17">
        <f>SUBTOTAL(9,K17:K209)</f>
        <v>873209943.80099761</v>
      </c>
    </row>
    <row r="16" spans="1:11" s="5" customFormat="1" ht="16.5" customHeight="1" x14ac:dyDescent="0.3">
      <c r="A16" s="10" t="s">
        <v>5</v>
      </c>
      <c r="B16" s="10" t="s">
        <v>6</v>
      </c>
      <c r="C16" s="10" t="s">
        <v>7</v>
      </c>
      <c r="D16" s="10" t="s">
        <v>8</v>
      </c>
      <c r="E16" s="10" t="s">
        <v>9</v>
      </c>
      <c r="F16" s="10" t="s">
        <v>10</v>
      </c>
      <c r="G16" s="10" t="s">
        <v>4518</v>
      </c>
      <c r="H16" s="10" t="s">
        <v>4504</v>
      </c>
      <c r="I16" s="24" t="s">
        <v>4505</v>
      </c>
      <c r="J16" s="24" t="s">
        <v>4506</v>
      </c>
      <c r="K16" s="14" t="s">
        <v>5272</v>
      </c>
    </row>
    <row r="17" spans="1:11" ht="15" customHeight="1" x14ac:dyDescent="0.3">
      <c r="A17" s="2">
        <v>1</v>
      </c>
      <c r="B17" s="2" t="s">
        <v>908</v>
      </c>
      <c r="C17" s="2" t="s">
        <v>909</v>
      </c>
      <c r="D17" s="2" t="s">
        <v>910</v>
      </c>
      <c r="E17" s="11">
        <v>70</v>
      </c>
      <c r="F17" s="2" t="s">
        <v>4518</v>
      </c>
      <c r="G17" s="7">
        <v>1378440.92</v>
      </c>
      <c r="H17" s="2">
        <v>3</v>
      </c>
      <c r="I17" s="7">
        <f>+G17*H17</f>
        <v>4135322.76</v>
      </c>
      <c r="J17" s="7">
        <f>+I17*0.18</f>
        <v>744358.09679999994</v>
      </c>
      <c r="K17" s="7">
        <f>+I17+J17</f>
        <v>4879680.8567999993</v>
      </c>
    </row>
    <row r="18" spans="1:11" ht="15" customHeight="1" x14ac:dyDescent="0.3">
      <c r="A18" s="2">
        <v>2</v>
      </c>
      <c r="B18" s="2" t="s">
        <v>683</v>
      </c>
      <c r="C18" s="2" t="s">
        <v>684</v>
      </c>
      <c r="D18" s="2" t="s">
        <v>685</v>
      </c>
      <c r="E18" s="11">
        <v>67</v>
      </c>
      <c r="F18" s="2" t="s">
        <v>4518</v>
      </c>
      <c r="G18" s="7">
        <v>1378440.92</v>
      </c>
      <c r="H18" s="2">
        <v>3</v>
      </c>
      <c r="I18" s="7">
        <f t="shared" ref="I18:I81" si="0">+G18*H18</f>
        <v>4135322.76</v>
      </c>
      <c r="J18" s="7">
        <f t="shared" ref="J18:J81" si="1">+I18*0.18</f>
        <v>744358.09679999994</v>
      </c>
      <c r="K18" s="7">
        <f t="shared" ref="K18:K81" si="2">+I18+J18</f>
        <v>4879680.8567999993</v>
      </c>
    </row>
    <row r="19" spans="1:11" ht="15" customHeight="1" x14ac:dyDescent="0.3">
      <c r="A19" s="2">
        <v>3</v>
      </c>
      <c r="B19" s="2" t="s">
        <v>713</v>
      </c>
      <c r="C19" s="2" t="s">
        <v>714</v>
      </c>
      <c r="D19" s="2" t="s">
        <v>715</v>
      </c>
      <c r="E19" s="11">
        <v>78.599999999999994</v>
      </c>
      <c r="F19" s="2" t="s">
        <v>4518</v>
      </c>
      <c r="G19" s="7">
        <v>1932900.45</v>
      </c>
      <c r="H19" s="2">
        <v>3</v>
      </c>
      <c r="I19" s="7">
        <f t="shared" si="0"/>
        <v>5798701.3499999996</v>
      </c>
      <c r="J19" s="7">
        <f t="shared" si="1"/>
        <v>1043766.2429999999</v>
      </c>
      <c r="K19" s="7">
        <f t="shared" si="2"/>
        <v>6842467.5929999994</v>
      </c>
    </row>
    <row r="20" spans="1:11" ht="15" customHeight="1" x14ac:dyDescent="0.3">
      <c r="A20" s="2">
        <v>4</v>
      </c>
      <c r="B20" s="2" t="s">
        <v>793</v>
      </c>
      <c r="C20" s="2" t="s">
        <v>794</v>
      </c>
      <c r="D20" s="2" t="s">
        <v>795</v>
      </c>
      <c r="E20" s="11">
        <v>66</v>
      </c>
      <c r="F20" s="2" t="s">
        <v>4518</v>
      </c>
      <c r="G20" s="7">
        <v>1378440.92</v>
      </c>
      <c r="H20" s="2">
        <v>3</v>
      </c>
      <c r="I20" s="7">
        <f t="shared" si="0"/>
        <v>4135322.76</v>
      </c>
      <c r="J20" s="7">
        <f t="shared" si="1"/>
        <v>744358.09679999994</v>
      </c>
      <c r="K20" s="7">
        <f t="shared" si="2"/>
        <v>4879680.8567999993</v>
      </c>
    </row>
    <row r="21" spans="1:11" ht="15" customHeight="1" x14ac:dyDescent="0.3">
      <c r="A21" s="2">
        <v>5</v>
      </c>
      <c r="B21" s="2" t="s">
        <v>787</v>
      </c>
      <c r="C21" s="2" t="s">
        <v>788</v>
      </c>
      <c r="D21" s="2" t="s">
        <v>789</v>
      </c>
      <c r="E21" s="11">
        <v>75</v>
      </c>
      <c r="F21" s="2" t="s">
        <v>4518</v>
      </c>
      <c r="G21" s="7">
        <v>1378440.92</v>
      </c>
      <c r="H21" s="2">
        <v>3</v>
      </c>
      <c r="I21" s="7">
        <f t="shared" si="0"/>
        <v>4135322.76</v>
      </c>
      <c r="J21" s="7">
        <f t="shared" si="1"/>
        <v>744358.09679999994</v>
      </c>
      <c r="K21" s="7">
        <f t="shared" si="2"/>
        <v>4879680.8567999993</v>
      </c>
    </row>
    <row r="22" spans="1:11" ht="15" customHeight="1" x14ac:dyDescent="0.3">
      <c r="A22" s="2">
        <v>6</v>
      </c>
      <c r="B22" s="2" t="s">
        <v>271</v>
      </c>
      <c r="C22" s="2" t="s">
        <v>272</v>
      </c>
      <c r="D22" s="2" t="s">
        <v>273</v>
      </c>
      <c r="E22" s="11">
        <v>65</v>
      </c>
      <c r="F22" s="2" t="s">
        <v>4518</v>
      </c>
      <c r="G22" s="7">
        <v>1378440.92</v>
      </c>
      <c r="H22" s="2">
        <v>3</v>
      </c>
      <c r="I22" s="7">
        <f t="shared" si="0"/>
        <v>4135322.76</v>
      </c>
      <c r="J22" s="7">
        <f t="shared" si="1"/>
        <v>744358.09679999994</v>
      </c>
      <c r="K22" s="7">
        <f t="shared" si="2"/>
        <v>4879680.8567999993</v>
      </c>
    </row>
    <row r="23" spans="1:11" ht="15" customHeight="1" x14ac:dyDescent="0.3">
      <c r="A23" s="2">
        <v>7</v>
      </c>
      <c r="B23" s="2" t="s">
        <v>138</v>
      </c>
      <c r="C23" s="2" t="s">
        <v>139</v>
      </c>
      <c r="D23" s="2" t="s">
        <v>140</v>
      </c>
      <c r="E23" s="11">
        <v>78</v>
      </c>
      <c r="F23" s="2" t="s">
        <v>4518</v>
      </c>
      <c r="G23" s="7">
        <v>1932900.45</v>
      </c>
      <c r="H23" s="2">
        <v>3</v>
      </c>
      <c r="I23" s="7">
        <f t="shared" si="0"/>
        <v>5798701.3499999996</v>
      </c>
      <c r="J23" s="7">
        <f t="shared" si="1"/>
        <v>1043766.2429999999</v>
      </c>
      <c r="K23" s="7">
        <f t="shared" si="2"/>
        <v>6842467.5929999994</v>
      </c>
    </row>
    <row r="24" spans="1:11" ht="15" customHeight="1" x14ac:dyDescent="0.3">
      <c r="A24" s="2">
        <v>8</v>
      </c>
      <c r="B24" s="2" t="s">
        <v>496</v>
      </c>
      <c r="C24" s="2" t="s">
        <v>497</v>
      </c>
      <c r="D24" s="2" t="s">
        <v>498</v>
      </c>
      <c r="E24" s="11">
        <v>48</v>
      </c>
      <c r="F24" s="2" t="s">
        <v>4518</v>
      </c>
      <c r="G24" s="7">
        <v>1134348.19</v>
      </c>
      <c r="H24" s="2">
        <v>3</v>
      </c>
      <c r="I24" s="7">
        <f t="shared" si="0"/>
        <v>3403044.57</v>
      </c>
      <c r="J24" s="7">
        <f t="shared" si="1"/>
        <v>612548.02259999991</v>
      </c>
      <c r="K24" s="7">
        <f t="shared" si="2"/>
        <v>4015592.5925999996</v>
      </c>
    </row>
    <row r="25" spans="1:11" ht="15" customHeight="1" x14ac:dyDescent="0.3">
      <c r="A25" s="2">
        <v>9</v>
      </c>
      <c r="B25" s="2" t="s">
        <v>499</v>
      </c>
      <c r="C25" s="2" t="s">
        <v>500</v>
      </c>
      <c r="D25" s="2" t="s">
        <v>501</v>
      </c>
      <c r="E25" s="11">
        <v>48</v>
      </c>
      <c r="F25" s="2" t="s">
        <v>4518</v>
      </c>
      <c r="G25" s="7">
        <v>1134348.19</v>
      </c>
      <c r="H25" s="2">
        <v>3</v>
      </c>
      <c r="I25" s="7">
        <f t="shared" si="0"/>
        <v>3403044.57</v>
      </c>
      <c r="J25" s="7">
        <f t="shared" si="1"/>
        <v>612548.02259999991</v>
      </c>
      <c r="K25" s="7">
        <f t="shared" si="2"/>
        <v>4015592.5925999996</v>
      </c>
    </row>
    <row r="26" spans="1:11" ht="15" customHeight="1" x14ac:dyDescent="0.3">
      <c r="A26" s="2">
        <v>10</v>
      </c>
      <c r="B26" s="2" t="s">
        <v>135</v>
      </c>
      <c r="C26" s="2" t="s">
        <v>136</v>
      </c>
      <c r="D26" s="2" t="s">
        <v>137</v>
      </c>
      <c r="E26" s="11">
        <v>78</v>
      </c>
      <c r="F26" s="2" t="s">
        <v>4518</v>
      </c>
      <c r="G26" s="7">
        <v>1932900.45</v>
      </c>
      <c r="H26" s="2">
        <v>3</v>
      </c>
      <c r="I26" s="7">
        <f t="shared" si="0"/>
        <v>5798701.3499999996</v>
      </c>
      <c r="J26" s="7">
        <f t="shared" si="1"/>
        <v>1043766.2429999999</v>
      </c>
      <c r="K26" s="7">
        <f t="shared" si="2"/>
        <v>6842467.5929999994</v>
      </c>
    </row>
    <row r="27" spans="1:11" ht="15" customHeight="1" x14ac:dyDescent="0.3">
      <c r="A27" s="2">
        <v>11</v>
      </c>
      <c r="B27" s="2" t="s">
        <v>740</v>
      </c>
      <c r="C27" s="2" t="s">
        <v>741</v>
      </c>
      <c r="D27" s="2" t="s">
        <v>742</v>
      </c>
      <c r="E27" s="11">
        <v>76</v>
      </c>
      <c r="F27" s="2" t="s">
        <v>4518</v>
      </c>
      <c r="G27" s="7">
        <v>1932900.45</v>
      </c>
      <c r="H27" s="2">
        <v>3</v>
      </c>
      <c r="I27" s="7">
        <f t="shared" si="0"/>
        <v>5798701.3499999996</v>
      </c>
      <c r="J27" s="7">
        <f t="shared" si="1"/>
        <v>1043766.2429999999</v>
      </c>
      <c r="K27" s="7">
        <f t="shared" si="2"/>
        <v>6842467.5929999994</v>
      </c>
    </row>
    <row r="28" spans="1:11" ht="15" customHeight="1" x14ac:dyDescent="0.3">
      <c r="A28" s="2">
        <v>12</v>
      </c>
      <c r="B28" s="2" t="s">
        <v>716</v>
      </c>
      <c r="C28" s="2" t="s">
        <v>717</v>
      </c>
      <c r="D28" s="2" t="s">
        <v>718</v>
      </c>
      <c r="E28" s="11">
        <v>77</v>
      </c>
      <c r="F28" s="2" t="s">
        <v>4518</v>
      </c>
      <c r="G28" s="7">
        <v>1932900.45</v>
      </c>
      <c r="H28" s="2">
        <v>3</v>
      </c>
      <c r="I28" s="7">
        <f t="shared" si="0"/>
        <v>5798701.3499999996</v>
      </c>
      <c r="J28" s="7">
        <f t="shared" si="1"/>
        <v>1043766.2429999999</v>
      </c>
      <c r="K28" s="7">
        <f t="shared" si="2"/>
        <v>6842467.5929999994</v>
      </c>
    </row>
    <row r="29" spans="1:11" ht="15" customHeight="1" x14ac:dyDescent="0.3">
      <c r="A29" s="2">
        <v>13</v>
      </c>
      <c r="B29" s="2" t="s">
        <v>865</v>
      </c>
      <c r="C29" s="2" t="s">
        <v>866</v>
      </c>
      <c r="D29" s="2" t="s">
        <v>867</v>
      </c>
      <c r="E29" s="11">
        <v>75</v>
      </c>
      <c r="F29" s="2" t="s">
        <v>4518</v>
      </c>
      <c r="G29" s="7">
        <v>1378440.92</v>
      </c>
      <c r="H29" s="2">
        <v>3</v>
      </c>
      <c r="I29" s="7">
        <f t="shared" si="0"/>
        <v>4135322.76</v>
      </c>
      <c r="J29" s="7">
        <f t="shared" si="1"/>
        <v>744358.09679999994</v>
      </c>
      <c r="K29" s="7">
        <f t="shared" si="2"/>
        <v>4879680.8567999993</v>
      </c>
    </row>
    <row r="30" spans="1:11" ht="15" customHeight="1" x14ac:dyDescent="0.3">
      <c r="A30" s="2">
        <v>14</v>
      </c>
      <c r="B30" s="2" t="s">
        <v>743</v>
      </c>
      <c r="C30" s="2" t="s">
        <v>744</v>
      </c>
      <c r="D30" s="2" t="s">
        <v>745</v>
      </c>
      <c r="E30" s="11">
        <v>68</v>
      </c>
      <c r="F30" s="2" t="s">
        <v>4518</v>
      </c>
      <c r="G30" s="7">
        <v>1378440.92</v>
      </c>
      <c r="H30" s="2">
        <v>3</v>
      </c>
      <c r="I30" s="7">
        <f t="shared" si="0"/>
        <v>4135322.76</v>
      </c>
      <c r="J30" s="7">
        <f t="shared" si="1"/>
        <v>744358.09679999994</v>
      </c>
      <c r="K30" s="7">
        <f t="shared" si="2"/>
        <v>4879680.8567999993</v>
      </c>
    </row>
    <row r="31" spans="1:11" ht="15" customHeight="1" x14ac:dyDescent="0.3">
      <c r="A31" s="2">
        <v>15</v>
      </c>
      <c r="B31" s="2" t="s">
        <v>551</v>
      </c>
      <c r="C31" s="2" t="s">
        <v>552</v>
      </c>
      <c r="D31" s="2" t="s">
        <v>553</v>
      </c>
      <c r="E31" s="11">
        <v>68</v>
      </c>
      <c r="F31" s="2" t="s">
        <v>4518</v>
      </c>
      <c r="G31" s="7">
        <v>1378440.92</v>
      </c>
      <c r="H31" s="2">
        <v>3</v>
      </c>
      <c r="I31" s="7">
        <f t="shared" si="0"/>
        <v>4135322.76</v>
      </c>
      <c r="J31" s="7">
        <f t="shared" si="1"/>
        <v>744358.09679999994</v>
      </c>
      <c r="K31" s="7">
        <f t="shared" si="2"/>
        <v>4879680.8567999993</v>
      </c>
    </row>
    <row r="32" spans="1:11" ht="15" customHeight="1" x14ac:dyDescent="0.3">
      <c r="A32" s="2">
        <v>16</v>
      </c>
      <c r="B32" s="2" t="s">
        <v>470</v>
      </c>
      <c r="C32" s="2" t="s">
        <v>471</v>
      </c>
      <c r="D32" s="2" t="s">
        <v>472</v>
      </c>
      <c r="E32" s="11">
        <v>40</v>
      </c>
      <c r="F32" s="2" t="s">
        <v>4518</v>
      </c>
      <c r="G32" s="7">
        <v>1134348.19</v>
      </c>
      <c r="H32" s="2">
        <v>3</v>
      </c>
      <c r="I32" s="7">
        <f t="shared" si="0"/>
        <v>3403044.57</v>
      </c>
      <c r="J32" s="7">
        <f t="shared" si="1"/>
        <v>612548.02259999991</v>
      </c>
      <c r="K32" s="7">
        <f t="shared" si="2"/>
        <v>4015592.5925999996</v>
      </c>
    </row>
    <row r="33" spans="1:11" ht="15" customHeight="1" x14ac:dyDescent="0.3">
      <c r="A33" s="2">
        <v>17</v>
      </c>
      <c r="B33" s="2" t="s">
        <v>283</v>
      </c>
      <c r="C33" s="2" t="s">
        <v>284</v>
      </c>
      <c r="D33" s="2" t="s">
        <v>285</v>
      </c>
      <c r="E33" s="11">
        <v>66.099999999999994</v>
      </c>
      <c r="F33" s="2" t="s">
        <v>4518</v>
      </c>
      <c r="G33" s="7">
        <v>1378440.92</v>
      </c>
      <c r="H33" s="2">
        <v>3</v>
      </c>
      <c r="I33" s="7">
        <f t="shared" si="0"/>
        <v>4135322.76</v>
      </c>
      <c r="J33" s="7">
        <f t="shared" si="1"/>
        <v>744358.09679999994</v>
      </c>
      <c r="K33" s="7">
        <f t="shared" si="2"/>
        <v>4879680.8567999993</v>
      </c>
    </row>
    <row r="34" spans="1:11" ht="15" customHeight="1" x14ac:dyDescent="0.3">
      <c r="A34" s="2">
        <v>18</v>
      </c>
      <c r="B34" s="2" t="s">
        <v>488</v>
      </c>
      <c r="C34" s="2" t="s">
        <v>489</v>
      </c>
      <c r="D34" s="2" t="s">
        <v>490</v>
      </c>
      <c r="E34" s="11">
        <v>48</v>
      </c>
      <c r="F34" s="2" t="s">
        <v>4518</v>
      </c>
      <c r="G34" s="7">
        <v>1134348.19</v>
      </c>
      <c r="H34" s="2">
        <v>3</v>
      </c>
      <c r="I34" s="7">
        <f t="shared" si="0"/>
        <v>3403044.57</v>
      </c>
      <c r="J34" s="7">
        <f t="shared" si="1"/>
        <v>612548.02259999991</v>
      </c>
      <c r="K34" s="7">
        <f t="shared" si="2"/>
        <v>4015592.5925999996</v>
      </c>
    </row>
    <row r="35" spans="1:11" ht="15" customHeight="1" x14ac:dyDescent="0.3">
      <c r="A35" s="2">
        <v>19</v>
      </c>
      <c r="B35" s="2" t="s">
        <v>29</v>
      </c>
      <c r="C35" s="2" t="s">
        <v>30</v>
      </c>
      <c r="D35" s="2" t="s">
        <v>31</v>
      </c>
      <c r="E35" s="11">
        <v>68</v>
      </c>
      <c r="F35" s="2" t="s">
        <v>4518</v>
      </c>
      <c r="G35" s="7">
        <v>1378440.92</v>
      </c>
      <c r="H35" s="2">
        <v>3</v>
      </c>
      <c r="I35" s="7">
        <f t="shared" si="0"/>
        <v>4135322.76</v>
      </c>
      <c r="J35" s="7">
        <f t="shared" si="1"/>
        <v>744358.09679999994</v>
      </c>
      <c r="K35" s="7">
        <f t="shared" si="2"/>
        <v>4879680.8567999993</v>
      </c>
    </row>
    <row r="36" spans="1:11" ht="15" customHeight="1" x14ac:dyDescent="0.3">
      <c r="A36" s="2">
        <v>20</v>
      </c>
      <c r="B36" s="2" t="s">
        <v>117</v>
      </c>
      <c r="C36" s="2" t="s">
        <v>118</v>
      </c>
      <c r="D36" s="2" t="s">
        <v>119</v>
      </c>
      <c r="E36" s="11">
        <v>73.25</v>
      </c>
      <c r="F36" s="2" t="s">
        <v>4518</v>
      </c>
      <c r="G36" s="7">
        <v>1378440.92</v>
      </c>
      <c r="H36" s="2">
        <v>3</v>
      </c>
      <c r="I36" s="7">
        <f t="shared" si="0"/>
        <v>4135322.76</v>
      </c>
      <c r="J36" s="7">
        <f t="shared" si="1"/>
        <v>744358.09679999994</v>
      </c>
      <c r="K36" s="7">
        <f t="shared" si="2"/>
        <v>4879680.8567999993</v>
      </c>
    </row>
    <row r="37" spans="1:11" ht="15" customHeight="1" x14ac:dyDescent="0.3">
      <c r="A37" s="2">
        <v>21</v>
      </c>
      <c r="B37" s="2" t="s">
        <v>154</v>
      </c>
      <c r="C37" s="2" t="s">
        <v>155</v>
      </c>
      <c r="D37" s="2" t="s">
        <v>156</v>
      </c>
      <c r="E37" s="11">
        <v>64</v>
      </c>
      <c r="F37" s="2" t="s">
        <v>4518</v>
      </c>
      <c r="G37" s="7">
        <v>1378440.92</v>
      </c>
      <c r="H37" s="2">
        <v>3</v>
      </c>
      <c r="I37" s="7">
        <f t="shared" si="0"/>
        <v>4135322.76</v>
      </c>
      <c r="J37" s="7">
        <f t="shared" si="1"/>
        <v>744358.09679999994</v>
      </c>
      <c r="K37" s="7">
        <f t="shared" si="2"/>
        <v>4879680.8567999993</v>
      </c>
    </row>
    <row r="38" spans="1:11" ht="15" customHeight="1" x14ac:dyDescent="0.3">
      <c r="A38" s="2">
        <v>22</v>
      </c>
      <c r="B38" s="2" t="s">
        <v>292</v>
      </c>
      <c r="C38" s="2" t="s">
        <v>293</v>
      </c>
      <c r="D38" s="2" t="s">
        <v>294</v>
      </c>
      <c r="E38" s="11">
        <v>47</v>
      </c>
      <c r="F38" s="2" t="s">
        <v>4518</v>
      </c>
      <c r="G38" s="7">
        <v>1134348.19</v>
      </c>
      <c r="H38" s="2">
        <v>3</v>
      </c>
      <c r="I38" s="7">
        <f t="shared" si="0"/>
        <v>3403044.57</v>
      </c>
      <c r="J38" s="7">
        <f t="shared" si="1"/>
        <v>612548.02259999991</v>
      </c>
      <c r="K38" s="7">
        <f t="shared" si="2"/>
        <v>4015592.5925999996</v>
      </c>
    </row>
    <row r="39" spans="1:11" ht="15" customHeight="1" x14ac:dyDescent="0.3">
      <c r="A39" s="2">
        <v>23</v>
      </c>
      <c r="B39" s="2" t="s">
        <v>338</v>
      </c>
      <c r="C39" s="2" t="s">
        <v>339</v>
      </c>
      <c r="D39" s="2" t="s">
        <v>340</v>
      </c>
      <c r="E39" s="11">
        <v>68.400000000000006</v>
      </c>
      <c r="F39" s="2" t="s">
        <v>4518</v>
      </c>
      <c r="G39" s="7">
        <v>1378440.92</v>
      </c>
      <c r="H39" s="2">
        <v>3</v>
      </c>
      <c r="I39" s="7">
        <f t="shared" si="0"/>
        <v>4135322.76</v>
      </c>
      <c r="J39" s="7">
        <f t="shared" si="1"/>
        <v>744358.09679999994</v>
      </c>
      <c r="K39" s="7">
        <f t="shared" si="2"/>
        <v>4879680.8567999993</v>
      </c>
    </row>
    <row r="40" spans="1:11" ht="15" customHeight="1" x14ac:dyDescent="0.3">
      <c r="A40" s="2">
        <v>24</v>
      </c>
      <c r="B40" s="2" t="s">
        <v>565</v>
      </c>
      <c r="C40" s="2" t="s">
        <v>566</v>
      </c>
      <c r="D40" s="2" t="s">
        <v>567</v>
      </c>
      <c r="E40" s="11">
        <v>65</v>
      </c>
      <c r="F40" s="2" t="s">
        <v>4518</v>
      </c>
      <c r="G40" s="7">
        <v>1378440.92</v>
      </c>
      <c r="H40" s="2">
        <v>3</v>
      </c>
      <c r="I40" s="7">
        <f t="shared" si="0"/>
        <v>4135322.76</v>
      </c>
      <c r="J40" s="7">
        <f t="shared" si="1"/>
        <v>744358.09679999994</v>
      </c>
      <c r="K40" s="7">
        <f t="shared" si="2"/>
        <v>4879680.8567999993</v>
      </c>
    </row>
    <row r="41" spans="1:11" ht="15" customHeight="1" x14ac:dyDescent="0.3">
      <c r="A41" s="2">
        <v>25</v>
      </c>
      <c r="B41" s="2" t="s">
        <v>400</v>
      </c>
      <c r="C41" s="2" t="s">
        <v>401</v>
      </c>
      <c r="D41" s="2" t="s">
        <v>402</v>
      </c>
      <c r="E41" s="11">
        <v>58.5</v>
      </c>
      <c r="F41" s="2" t="s">
        <v>4518</v>
      </c>
      <c r="G41" s="7">
        <v>1378440.92</v>
      </c>
      <c r="H41" s="2">
        <v>3</v>
      </c>
      <c r="I41" s="7">
        <f t="shared" si="0"/>
        <v>4135322.76</v>
      </c>
      <c r="J41" s="7">
        <f t="shared" si="1"/>
        <v>744358.09679999994</v>
      </c>
      <c r="K41" s="7">
        <f t="shared" si="2"/>
        <v>4879680.8567999993</v>
      </c>
    </row>
    <row r="42" spans="1:11" ht="15" customHeight="1" x14ac:dyDescent="0.3">
      <c r="A42" s="2">
        <v>26</v>
      </c>
      <c r="B42" s="2" t="s">
        <v>445</v>
      </c>
      <c r="C42" s="2" t="s">
        <v>446</v>
      </c>
      <c r="D42" s="2" t="s">
        <v>447</v>
      </c>
      <c r="E42" s="11">
        <v>55.8</v>
      </c>
      <c r="F42" s="2" t="s">
        <v>4518</v>
      </c>
      <c r="G42" s="7">
        <v>1378440.92</v>
      </c>
      <c r="H42" s="2">
        <v>3</v>
      </c>
      <c r="I42" s="7">
        <f t="shared" si="0"/>
        <v>4135322.76</v>
      </c>
      <c r="J42" s="7">
        <f t="shared" si="1"/>
        <v>744358.09679999994</v>
      </c>
      <c r="K42" s="7">
        <f t="shared" si="2"/>
        <v>4879680.8567999993</v>
      </c>
    </row>
    <row r="43" spans="1:11" ht="15" customHeight="1" x14ac:dyDescent="0.3">
      <c r="A43" s="2">
        <v>27</v>
      </c>
      <c r="B43" s="2" t="s">
        <v>274</v>
      </c>
      <c r="C43" s="2" t="s">
        <v>275</v>
      </c>
      <c r="D43" s="2" t="s">
        <v>276</v>
      </c>
      <c r="E43" s="11">
        <v>69</v>
      </c>
      <c r="F43" s="2" t="s">
        <v>4518</v>
      </c>
      <c r="G43" s="7">
        <v>1378440.92</v>
      </c>
      <c r="H43" s="2">
        <v>3</v>
      </c>
      <c r="I43" s="7">
        <f t="shared" si="0"/>
        <v>4135322.76</v>
      </c>
      <c r="J43" s="7">
        <f t="shared" si="1"/>
        <v>744358.09679999994</v>
      </c>
      <c r="K43" s="7">
        <f t="shared" si="2"/>
        <v>4879680.8567999993</v>
      </c>
    </row>
    <row r="44" spans="1:11" ht="15" customHeight="1" x14ac:dyDescent="0.3">
      <c r="A44" s="2">
        <v>28</v>
      </c>
      <c r="B44" s="2" t="s">
        <v>430</v>
      </c>
      <c r="C44" s="2" t="s">
        <v>431</v>
      </c>
      <c r="D44" s="2" t="s">
        <v>432</v>
      </c>
      <c r="E44" s="11">
        <v>68</v>
      </c>
      <c r="F44" s="2" t="s">
        <v>4518</v>
      </c>
      <c r="G44" s="7">
        <v>1378440.92</v>
      </c>
      <c r="H44" s="2">
        <v>3</v>
      </c>
      <c r="I44" s="7">
        <f t="shared" si="0"/>
        <v>4135322.76</v>
      </c>
      <c r="J44" s="7">
        <f t="shared" si="1"/>
        <v>744358.09679999994</v>
      </c>
      <c r="K44" s="7">
        <f t="shared" si="2"/>
        <v>4879680.8567999993</v>
      </c>
    </row>
    <row r="45" spans="1:11" ht="15" customHeight="1" x14ac:dyDescent="0.3">
      <c r="A45" s="2">
        <v>29</v>
      </c>
      <c r="B45" s="2" t="s">
        <v>298</v>
      </c>
      <c r="C45" s="2" t="s">
        <v>299</v>
      </c>
      <c r="D45" s="2" t="s">
        <v>300</v>
      </c>
      <c r="E45" s="11">
        <v>58</v>
      </c>
      <c r="F45" s="2" t="s">
        <v>4518</v>
      </c>
      <c r="G45" s="7">
        <v>1378440.92</v>
      </c>
      <c r="H45" s="2">
        <v>3</v>
      </c>
      <c r="I45" s="7">
        <f t="shared" si="0"/>
        <v>4135322.76</v>
      </c>
      <c r="J45" s="7">
        <f t="shared" si="1"/>
        <v>744358.09679999994</v>
      </c>
      <c r="K45" s="7">
        <f t="shared" si="2"/>
        <v>4879680.8567999993</v>
      </c>
    </row>
    <row r="46" spans="1:11" ht="15" customHeight="1" x14ac:dyDescent="0.3">
      <c r="A46" s="2">
        <v>30</v>
      </c>
      <c r="B46" s="2" t="s">
        <v>356</v>
      </c>
      <c r="C46" s="2" t="s">
        <v>357</v>
      </c>
      <c r="D46" s="2" t="s">
        <v>358</v>
      </c>
      <c r="E46" s="11">
        <v>50</v>
      </c>
      <c r="F46" s="2" t="s">
        <v>4518</v>
      </c>
      <c r="G46" s="7">
        <v>1378440.92</v>
      </c>
      <c r="H46" s="2">
        <v>3</v>
      </c>
      <c r="I46" s="7">
        <f t="shared" si="0"/>
        <v>4135322.76</v>
      </c>
      <c r="J46" s="7">
        <f t="shared" si="1"/>
        <v>744358.09679999994</v>
      </c>
      <c r="K46" s="7">
        <f t="shared" si="2"/>
        <v>4879680.8567999993</v>
      </c>
    </row>
    <row r="47" spans="1:11" ht="15" customHeight="1" x14ac:dyDescent="0.3">
      <c r="A47" s="2">
        <v>31</v>
      </c>
      <c r="B47" s="2" t="s">
        <v>108</v>
      </c>
      <c r="C47" s="2" t="s">
        <v>109</v>
      </c>
      <c r="D47" s="2" t="s">
        <v>110</v>
      </c>
      <c r="E47" s="11">
        <v>76</v>
      </c>
      <c r="F47" s="2" t="s">
        <v>4518</v>
      </c>
      <c r="G47" s="7">
        <v>1932900.45</v>
      </c>
      <c r="H47" s="2">
        <v>3</v>
      </c>
      <c r="I47" s="7">
        <f t="shared" si="0"/>
        <v>5798701.3499999996</v>
      </c>
      <c r="J47" s="7">
        <f t="shared" si="1"/>
        <v>1043766.2429999999</v>
      </c>
      <c r="K47" s="7">
        <f t="shared" si="2"/>
        <v>6842467.5929999994</v>
      </c>
    </row>
    <row r="48" spans="1:11" ht="15" customHeight="1" x14ac:dyDescent="0.3">
      <c r="A48" s="2">
        <v>32</v>
      </c>
      <c r="B48" s="2" t="s">
        <v>132</v>
      </c>
      <c r="C48" s="2" t="s">
        <v>133</v>
      </c>
      <c r="D48" s="2" t="s">
        <v>134</v>
      </c>
      <c r="E48" s="11">
        <v>72</v>
      </c>
      <c r="F48" s="2" t="s">
        <v>4518</v>
      </c>
      <c r="G48" s="7">
        <v>1378440.92</v>
      </c>
      <c r="H48" s="2">
        <v>3</v>
      </c>
      <c r="I48" s="7">
        <f t="shared" si="0"/>
        <v>4135322.76</v>
      </c>
      <c r="J48" s="7">
        <f t="shared" si="1"/>
        <v>744358.09679999994</v>
      </c>
      <c r="K48" s="7">
        <f t="shared" si="2"/>
        <v>4879680.8567999993</v>
      </c>
    </row>
    <row r="49" spans="1:11" ht="15" customHeight="1" x14ac:dyDescent="0.3">
      <c r="A49" s="2">
        <v>33</v>
      </c>
      <c r="B49" s="2" t="s">
        <v>232</v>
      </c>
      <c r="C49" s="2" t="s">
        <v>233</v>
      </c>
      <c r="D49" s="2" t="s">
        <v>234</v>
      </c>
      <c r="E49" s="11">
        <v>49</v>
      </c>
      <c r="F49" s="2" t="s">
        <v>4518</v>
      </c>
      <c r="G49" s="7">
        <v>1134348.19</v>
      </c>
      <c r="H49" s="2">
        <v>3</v>
      </c>
      <c r="I49" s="7">
        <f t="shared" si="0"/>
        <v>3403044.57</v>
      </c>
      <c r="J49" s="7">
        <f t="shared" si="1"/>
        <v>612548.02259999991</v>
      </c>
      <c r="K49" s="7">
        <f t="shared" si="2"/>
        <v>4015592.5925999996</v>
      </c>
    </row>
    <row r="50" spans="1:11" ht="15" customHeight="1" x14ac:dyDescent="0.3">
      <c r="A50" s="2">
        <v>34</v>
      </c>
      <c r="B50" s="2" t="s">
        <v>35</v>
      </c>
      <c r="C50" s="2" t="s">
        <v>36</v>
      </c>
      <c r="D50" s="2" t="s">
        <v>37</v>
      </c>
      <c r="E50" s="11">
        <v>45</v>
      </c>
      <c r="F50" s="2" t="s">
        <v>4518</v>
      </c>
      <c r="G50" s="7">
        <v>1134348.19</v>
      </c>
      <c r="H50" s="2">
        <v>3</v>
      </c>
      <c r="I50" s="7">
        <f t="shared" si="0"/>
        <v>3403044.57</v>
      </c>
      <c r="J50" s="7">
        <f t="shared" si="1"/>
        <v>612548.02259999991</v>
      </c>
      <c r="K50" s="7">
        <f t="shared" si="2"/>
        <v>4015592.5925999996</v>
      </c>
    </row>
    <row r="51" spans="1:11" ht="15" customHeight="1" x14ac:dyDescent="0.3">
      <c r="A51" s="2">
        <v>35</v>
      </c>
      <c r="B51" s="2" t="s">
        <v>3123</v>
      </c>
      <c r="C51" s="2" t="s">
        <v>3124</v>
      </c>
      <c r="D51" s="2" t="s">
        <v>3125</v>
      </c>
      <c r="E51" s="11">
        <v>50</v>
      </c>
      <c r="F51" s="2" t="s">
        <v>4518</v>
      </c>
      <c r="G51" s="7">
        <v>1378440.92</v>
      </c>
      <c r="H51" s="2">
        <v>3</v>
      </c>
      <c r="I51" s="7">
        <f t="shared" si="0"/>
        <v>4135322.76</v>
      </c>
      <c r="J51" s="7">
        <f t="shared" si="1"/>
        <v>744358.09679999994</v>
      </c>
      <c r="K51" s="7">
        <f t="shared" si="2"/>
        <v>4879680.8567999993</v>
      </c>
    </row>
    <row r="52" spans="1:11" ht="15" customHeight="1" x14ac:dyDescent="0.3">
      <c r="A52" s="2">
        <v>36</v>
      </c>
      <c r="B52" s="2" t="s">
        <v>427</v>
      </c>
      <c r="C52" s="2" t="s">
        <v>428</v>
      </c>
      <c r="D52" s="2" t="s">
        <v>429</v>
      </c>
      <c r="E52" s="11">
        <v>67</v>
      </c>
      <c r="F52" s="2" t="s">
        <v>4518</v>
      </c>
      <c r="G52" s="7">
        <v>1378440.92</v>
      </c>
      <c r="H52" s="2">
        <v>3</v>
      </c>
      <c r="I52" s="7">
        <f t="shared" si="0"/>
        <v>4135322.76</v>
      </c>
      <c r="J52" s="7">
        <f t="shared" si="1"/>
        <v>744358.09679999994</v>
      </c>
      <c r="K52" s="7">
        <f t="shared" si="2"/>
        <v>4879680.8567999993</v>
      </c>
    </row>
    <row r="53" spans="1:11" ht="15" customHeight="1" x14ac:dyDescent="0.3">
      <c r="A53" s="2">
        <v>37</v>
      </c>
      <c r="B53" s="2" t="s">
        <v>289</v>
      </c>
      <c r="C53" s="2" t="s">
        <v>290</v>
      </c>
      <c r="D53" s="2" t="s">
        <v>291</v>
      </c>
      <c r="E53" s="11">
        <v>65</v>
      </c>
      <c r="F53" s="2" t="s">
        <v>4518</v>
      </c>
      <c r="G53" s="7">
        <v>1378440.92</v>
      </c>
      <c r="H53" s="2">
        <v>3</v>
      </c>
      <c r="I53" s="7">
        <f t="shared" si="0"/>
        <v>4135322.76</v>
      </c>
      <c r="J53" s="7">
        <f t="shared" si="1"/>
        <v>744358.09679999994</v>
      </c>
      <c r="K53" s="7">
        <f t="shared" si="2"/>
        <v>4879680.8567999993</v>
      </c>
    </row>
    <row r="54" spans="1:11" ht="15" customHeight="1" x14ac:dyDescent="0.3">
      <c r="A54" s="2">
        <v>38</v>
      </c>
      <c r="B54" s="2" t="s">
        <v>326</v>
      </c>
      <c r="C54" s="2" t="s">
        <v>327</v>
      </c>
      <c r="D54" s="2" t="s">
        <v>328</v>
      </c>
      <c r="E54" s="11">
        <v>53</v>
      </c>
      <c r="F54" s="2" t="s">
        <v>4518</v>
      </c>
      <c r="G54" s="7">
        <v>1378440.92</v>
      </c>
      <c r="H54" s="2">
        <v>3</v>
      </c>
      <c r="I54" s="7">
        <f t="shared" si="0"/>
        <v>4135322.76</v>
      </c>
      <c r="J54" s="7">
        <f t="shared" si="1"/>
        <v>744358.09679999994</v>
      </c>
      <c r="K54" s="7">
        <f t="shared" si="2"/>
        <v>4879680.8567999993</v>
      </c>
    </row>
    <row r="55" spans="1:11" ht="15" customHeight="1" x14ac:dyDescent="0.3">
      <c r="A55" s="2">
        <v>39</v>
      </c>
      <c r="B55" s="2" t="s">
        <v>344</v>
      </c>
      <c r="C55" s="2" t="s">
        <v>345</v>
      </c>
      <c r="D55" s="2" t="s">
        <v>346</v>
      </c>
      <c r="E55" s="11">
        <v>67</v>
      </c>
      <c r="F55" s="2" t="s">
        <v>4518</v>
      </c>
      <c r="G55" s="7">
        <v>1378440.92</v>
      </c>
      <c r="H55" s="2">
        <v>3</v>
      </c>
      <c r="I55" s="7">
        <f t="shared" si="0"/>
        <v>4135322.76</v>
      </c>
      <c r="J55" s="7">
        <f t="shared" si="1"/>
        <v>744358.09679999994</v>
      </c>
      <c r="K55" s="7">
        <f t="shared" si="2"/>
        <v>4879680.8567999993</v>
      </c>
    </row>
    <row r="56" spans="1:11" ht="15" customHeight="1" x14ac:dyDescent="0.3">
      <c r="A56" s="2">
        <v>40</v>
      </c>
      <c r="B56" s="2" t="s">
        <v>262</v>
      </c>
      <c r="C56" s="2" t="s">
        <v>263</v>
      </c>
      <c r="D56" s="2" t="s">
        <v>264</v>
      </c>
      <c r="E56" s="11">
        <v>75</v>
      </c>
      <c r="F56" s="2" t="s">
        <v>4518</v>
      </c>
      <c r="G56" s="7">
        <v>1378440.92</v>
      </c>
      <c r="H56" s="2">
        <v>3</v>
      </c>
      <c r="I56" s="7">
        <f t="shared" si="0"/>
        <v>4135322.76</v>
      </c>
      <c r="J56" s="7">
        <f t="shared" si="1"/>
        <v>744358.09679999994</v>
      </c>
      <c r="K56" s="7">
        <f t="shared" si="2"/>
        <v>4879680.8567999993</v>
      </c>
    </row>
    <row r="57" spans="1:11" ht="15" customHeight="1" x14ac:dyDescent="0.3">
      <c r="A57" s="2">
        <v>41</v>
      </c>
      <c r="B57" s="2" t="s">
        <v>265</v>
      </c>
      <c r="C57" s="2" t="s">
        <v>266</v>
      </c>
      <c r="D57" s="2" t="s">
        <v>267</v>
      </c>
      <c r="E57" s="11">
        <v>47</v>
      </c>
      <c r="F57" s="2" t="s">
        <v>4518</v>
      </c>
      <c r="G57" s="7">
        <v>1134348.19</v>
      </c>
      <c r="H57" s="2">
        <v>3</v>
      </c>
      <c r="I57" s="7">
        <f t="shared" si="0"/>
        <v>3403044.57</v>
      </c>
      <c r="J57" s="7">
        <f t="shared" si="1"/>
        <v>612548.02259999991</v>
      </c>
      <c r="K57" s="7">
        <f t="shared" si="2"/>
        <v>4015592.5925999996</v>
      </c>
    </row>
    <row r="58" spans="1:11" ht="15" customHeight="1" x14ac:dyDescent="0.3">
      <c r="A58" s="2">
        <v>42</v>
      </c>
      <c r="B58" s="2" t="s">
        <v>295</v>
      </c>
      <c r="C58" s="2" t="s">
        <v>296</v>
      </c>
      <c r="D58" s="2" t="s">
        <v>297</v>
      </c>
      <c r="E58" s="11">
        <v>58</v>
      </c>
      <c r="F58" s="2" t="s">
        <v>4518</v>
      </c>
      <c r="G58" s="7">
        <v>1378440.92</v>
      </c>
      <c r="H58" s="2">
        <v>3</v>
      </c>
      <c r="I58" s="7">
        <f t="shared" si="0"/>
        <v>4135322.76</v>
      </c>
      <c r="J58" s="7">
        <f t="shared" si="1"/>
        <v>744358.09679999994</v>
      </c>
      <c r="K58" s="7">
        <f t="shared" si="2"/>
        <v>4879680.8567999993</v>
      </c>
    </row>
    <row r="59" spans="1:11" ht="15" customHeight="1" x14ac:dyDescent="0.3">
      <c r="A59" s="2">
        <v>43</v>
      </c>
      <c r="B59" s="2" t="s">
        <v>680</v>
      </c>
      <c r="C59" s="2" t="s">
        <v>681</v>
      </c>
      <c r="D59" s="2" t="s">
        <v>682</v>
      </c>
      <c r="E59" s="11">
        <v>70</v>
      </c>
      <c r="F59" s="2" t="s">
        <v>4518</v>
      </c>
      <c r="G59" s="7">
        <v>1378440.92</v>
      </c>
      <c r="H59" s="2">
        <v>3</v>
      </c>
      <c r="I59" s="7">
        <f t="shared" si="0"/>
        <v>4135322.76</v>
      </c>
      <c r="J59" s="7">
        <f t="shared" si="1"/>
        <v>744358.09679999994</v>
      </c>
      <c r="K59" s="7">
        <f t="shared" si="2"/>
        <v>4879680.8567999993</v>
      </c>
    </row>
    <row r="60" spans="1:11" ht="15" customHeight="1" x14ac:dyDescent="0.3">
      <c r="A60" s="2">
        <v>44</v>
      </c>
      <c r="B60" s="2" t="s">
        <v>562</v>
      </c>
      <c r="C60" s="2" t="s">
        <v>563</v>
      </c>
      <c r="D60" s="2" t="s">
        <v>564</v>
      </c>
      <c r="E60" s="11">
        <v>68</v>
      </c>
      <c r="F60" s="2" t="s">
        <v>4518</v>
      </c>
      <c r="G60" s="7">
        <v>1378440.92</v>
      </c>
      <c r="H60" s="2">
        <v>3</v>
      </c>
      <c r="I60" s="7">
        <f t="shared" si="0"/>
        <v>4135322.76</v>
      </c>
      <c r="J60" s="7">
        <f t="shared" si="1"/>
        <v>744358.09679999994</v>
      </c>
      <c r="K60" s="7">
        <f t="shared" si="2"/>
        <v>4879680.8567999993</v>
      </c>
    </row>
    <row r="61" spans="1:11" ht="15" customHeight="1" x14ac:dyDescent="0.3">
      <c r="A61" s="2">
        <v>45</v>
      </c>
      <c r="B61" s="2" t="s">
        <v>464</v>
      </c>
      <c r="C61" s="2" t="s">
        <v>465</v>
      </c>
      <c r="D61" s="2" t="s">
        <v>466</v>
      </c>
      <c r="E61" s="11">
        <v>41</v>
      </c>
      <c r="F61" s="2" t="s">
        <v>4518</v>
      </c>
      <c r="G61" s="7">
        <v>1134348.19</v>
      </c>
      <c r="H61" s="2">
        <v>3</v>
      </c>
      <c r="I61" s="7">
        <f t="shared" si="0"/>
        <v>3403044.57</v>
      </c>
      <c r="J61" s="7">
        <f t="shared" si="1"/>
        <v>612548.02259999991</v>
      </c>
      <c r="K61" s="7">
        <f t="shared" si="2"/>
        <v>4015592.5925999996</v>
      </c>
    </row>
    <row r="62" spans="1:11" ht="15" customHeight="1" x14ac:dyDescent="0.3">
      <c r="A62" s="2">
        <v>46</v>
      </c>
      <c r="B62" s="2" t="s">
        <v>458</v>
      </c>
      <c r="C62" s="2" t="s">
        <v>459</v>
      </c>
      <c r="D62" s="2" t="s">
        <v>460</v>
      </c>
      <c r="E62" s="11">
        <v>51</v>
      </c>
      <c r="F62" s="2" t="s">
        <v>4518</v>
      </c>
      <c r="G62" s="7">
        <v>1378440.92</v>
      </c>
      <c r="H62" s="2">
        <v>3</v>
      </c>
      <c r="I62" s="7">
        <f t="shared" si="0"/>
        <v>4135322.76</v>
      </c>
      <c r="J62" s="7">
        <f t="shared" si="1"/>
        <v>744358.09679999994</v>
      </c>
      <c r="K62" s="7">
        <f t="shared" si="2"/>
        <v>4879680.8567999993</v>
      </c>
    </row>
    <row r="63" spans="1:11" ht="15" customHeight="1" x14ac:dyDescent="0.3">
      <c r="A63" s="2">
        <v>47</v>
      </c>
      <c r="B63" s="2" t="s">
        <v>461</v>
      </c>
      <c r="C63" s="2" t="s">
        <v>462</v>
      </c>
      <c r="D63" s="2" t="s">
        <v>463</v>
      </c>
      <c r="E63" s="11">
        <v>27</v>
      </c>
      <c r="F63" s="2" t="s">
        <v>4518</v>
      </c>
      <c r="G63" s="7">
        <v>960335.62</v>
      </c>
      <c r="H63" s="2">
        <v>3</v>
      </c>
      <c r="I63" s="7">
        <f t="shared" si="0"/>
        <v>2881006.86</v>
      </c>
      <c r="J63" s="7">
        <f t="shared" si="1"/>
        <v>518581.23479999998</v>
      </c>
      <c r="K63" s="7">
        <f t="shared" si="2"/>
        <v>3399588.0948000001</v>
      </c>
    </row>
    <row r="64" spans="1:11" ht="15" customHeight="1" x14ac:dyDescent="0.3">
      <c r="A64" s="2">
        <v>48</v>
      </c>
      <c r="B64" s="2" t="s">
        <v>382</v>
      </c>
      <c r="C64" s="2" t="s">
        <v>383</v>
      </c>
      <c r="D64" s="2" t="s">
        <v>384</v>
      </c>
      <c r="E64" s="11">
        <v>62</v>
      </c>
      <c r="F64" s="2" t="s">
        <v>4518</v>
      </c>
      <c r="G64" s="7">
        <v>1378440.92</v>
      </c>
      <c r="H64" s="2">
        <v>3</v>
      </c>
      <c r="I64" s="7">
        <f t="shared" si="0"/>
        <v>4135322.76</v>
      </c>
      <c r="J64" s="7">
        <f t="shared" si="1"/>
        <v>744358.09679999994</v>
      </c>
      <c r="K64" s="7">
        <f t="shared" si="2"/>
        <v>4879680.8567999993</v>
      </c>
    </row>
    <row r="65" spans="1:11" ht="15" customHeight="1" x14ac:dyDescent="0.3">
      <c r="A65" s="2">
        <v>49</v>
      </c>
      <c r="B65" s="2" t="s">
        <v>286</v>
      </c>
      <c r="C65" s="2" t="s">
        <v>287</v>
      </c>
      <c r="D65" s="2" t="s">
        <v>288</v>
      </c>
      <c r="E65" s="11">
        <v>50</v>
      </c>
      <c r="F65" s="2" t="s">
        <v>4518</v>
      </c>
      <c r="G65" s="7">
        <v>1378440.92</v>
      </c>
      <c r="H65" s="2">
        <v>3</v>
      </c>
      <c r="I65" s="7">
        <f t="shared" si="0"/>
        <v>4135322.76</v>
      </c>
      <c r="J65" s="7">
        <f t="shared" si="1"/>
        <v>744358.09679999994</v>
      </c>
      <c r="K65" s="7">
        <f t="shared" si="2"/>
        <v>4879680.8567999993</v>
      </c>
    </row>
    <row r="66" spans="1:11" ht="15" customHeight="1" x14ac:dyDescent="0.3">
      <c r="A66" s="2">
        <v>50</v>
      </c>
      <c r="B66" s="2" t="s">
        <v>217</v>
      </c>
      <c r="C66" s="2" t="s">
        <v>218</v>
      </c>
      <c r="D66" s="2" t="s">
        <v>219</v>
      </c>
      <c r="E66" s="11">
        <v>53</v>
      </c>
      <c r="F66" s="2" t="s">
        <v>4518</v>
      </c>
      <c r="G66" s="7">
        <v>1378440.92</v>
      </c>
      <c r="H66" s="2">
        <v>3</v>
      </c>
      <c r="I66" s="7">
        <f t="shared" si="0"/>
        <v>4135322.76</v>
      </c>
      <c r="J66" s="7">
        <f t="shared" si="1"/>
        <v>744358.09679999994</v>
      </c>
      <c r="K66" s="7">
        <f t="shared" si="2"/>
        <v>4879680.8567999993</v>
      </c>
    </row>
    <row r="67" spans="1:11" ht="15" customHeight="1" x14ac:dyDescent="0.3">
      <c r="A67" s="2">
        <v>51</v>
      </c>
      <c r="B67" s="2" t="s">
        <v>202</v>
      </c>
      <c r="C67" s="2" t="s">
        <v>203</v>
      </c>
      <c r="D67" s="2" t="s">
        <v>204</v>
      </c>
      <c r="E67" s="11">
        <v>48</v>
      </c>
      <c r="F67" s="2" t="s">
        <v>4518</v>
      </c>
      <c r="G67" s="7">
        <v>1134348.19</v>
      </c>
      <c r="H67" s="2">
        <v>3</v>
      </c>
      <c r="I67" s="7">
        <f t="shared" si="0"/>
        <v>3403044.57</v>
      </c>
      <c r="J67" s="7">
        <f t="shared" si="1"/>
        <v>612548.02259999991</v>
      </c>
      <c r="K67" s="7">
        <f t="shared" si="2"/>
        <v>4015592.5925999996</v>
      </c>
    </row>
    <row r="68" spans="1:11" ht="15" customHeight="1" x14ac:dyDescent="0.3">
      <c r="A68" s="2">
        <v>52</v>
      </c>
      <c r="B68" s="2" t="s">
        <v>301</v>
      </c>
      <c r="C68" s="2" t="s">
        <v>302</v>
      </c>
      <c r="D68" s="2" t="s">
        <v>303</v>
      </c>
      <c r="E68" s="11">
        <v>53</v>
      </c>
      <c r="F68" s="2" t="s">
        <v>4518</v>
      </c>
      <c r="G68" s="7">
        <v>1378440.92</v>
      </c>
      <c r="H68" s="2">
        <v>3</v>
      </c>
      <c r="I68" s="7">
        <f t="shared" si="0"/>
        <v>4135322.76</v>
      </c>
      <c r="J68" s="7">
        <f t="shared" si="1"/>
        <v>744358.09679999994</v>
      </c>
      <c r="K68" s="7">
        <f t="shared" si="2"/>
        <v>4879680.8567999993</v>
      </c>
    </row>
    <row r="69" spans="1:11" ht="15" customHeight="1" x14ac:dyDescent="0.3">
      <c r="A69" s="2">
        <v>53</v>
      </c>
      <c r="B69" s="2" t="s">
        <v>920</v>
      </c>
      <c r="C69" s="2" t="s">
        <v>921</v>
      </c>
      <c r="D69" s="2" t="s">
        <v>922</v>
      </c>
      <c r="E69" s="11">
        <v>72</v>
      </c>
      <c r="F69" s="2" t="s">
        <v>4518</v>
      </c>
      <c r="G69" s="7">
        <v>1378440.92</v>
      </c>
      <c r="H69" s="2">
        <v>3</v>
      </c>
      <c r="I69" s="7">
        <f t="shared" si="0"/>
        <v>4135322.76</v>
      </c>
      <c r="J69" s="7">
        <f t="shared" si="1"/>
        <v>744358.09679999994</v>
      </c>
      <c r="K69" s="7">
        <f t="shared" si="2"/>
        <v>4879680.8567999993</v>
      </c>
    </row>
    <row r="70" spans="1:11" ht="15" customHeight="1" x14ac:dyDescent="0.3">
      <c r="A70" s="2">
        <v>54</v>
      </c>
      <c r="B70" s="2" t="s">
        <v>746</v>
      </c>
      <c r="C70" s="2" t="s">
        <v>747</v>
      </c>
      <c r="D70" s="2" t="s">
        <v>748</v>
      </c>
      <c r="E70" s="11">
        <v>75</v>
      </c>
      <c r="F70" s="2" t="s">
        <v>4518</v>
      </c>
      <c r="G70" s="7">
        <v>1378440.92</v>
      </c>
      <c r="H70" s="2">
        <v>3</v>
      </c>
      <c r="I70" s="7">
        <f t="shared" si="0"/>
        <v>4135322.76</v>
      </c>
      <c r="J70" s="7">
        <f t="shared" si="1"/>
        <v>744358.09679999994</v>
      </c>
      <c r="K70" s="7">
        <f t="shared" si="2"/>
        <v>4879680.8567999993</v>
      </c>
    </row>
    <row r="71" spans="1:11" ht="15" customHeight="1" x14ac:dyDescent="0.3">
      <c r="A71" s="2">
        <v>55</v>
      </c>
      <c r="B71" s="2" t="s">
        <v>403</v>
      </c>
      <c r="C71" s="2" t="s">
        <v>404</v>
      </c>
      <c r="D71" s="2" t="s">
        <v>405</v>
      </c>
      <c r="E71" s="11">
        <v>59</v>
      </c>
      <c r="F71" s="2" t="s">
        <v>4518</v>
      </c>
      <c r="G71" s="7">
        <v>1378440.92</v>
      </c>
      <c r="H71" s="2">
        <v>3</v>
      </c>
      <c r="I71" s="7">
        <f t="shared" si="0"/>
        <v>4135322.76</v>
      </c>
      <c r="J71" s="7">
        <f t="shared" si="1"/>
        <v>744358.09679999994</v>
      </c>
      <c r="K71" s="7">
        <f t="shared" si="2"/>
        <v>4879680.8567999993</v>
      </c>
    </row>
    <row r="72" spans="1:11" ht="15" customHeight="1" x14ac:dyDescent="0.3">
      <c r="A72" s="2">
        <v>56</v>
      </c>
      <c r="B72" s="2" t="s">
        <v>329</v>
      </c>
      <c r="C72" s="2" t="s">
        <v>330</v>
      </c>
      <c r="D72" s="2" t="s">
        <v>331</v>
      </c>
      <c r="E72" s="11">
        <v>66.5</v>
      </c>
      <c r="F72" s="2" t="s">
        <v>4518</v>
      </c>
      <c r="G72" s="7">
        <v>1378440.92</v>
      </c>
      <c r="H72" s="2">
        <v>3</v>
      </c>
      <c r="I72" s="7">
        <f t="shared" si="0"/>
        <v>4135322.76</v>
      </c>
      <c r="J72" s="7">
        <f t="shared" si="1"/>
        <v>744358.09679999994</v>
      </c>
      <c r="K72" s="7">
        <f t="shared" si="2"/>
        <v>4879680.8567999993</v>
      </c>
    </row>
    <row r="73" spans="1:11" ht="15" customHeight="1" x14ac:dyDescent="0.3">
      <c r="A73" s="2">
        <v>57</v>
      </c>
      <c r="B73" s="2" t="s">
        <v>89</v>
      </c>
      <c r="C73" s="2" t="s">
        <v>90</v>
      </c>
      <c r="D73" s="2" t="s">
        <v>91</v>
      </c>
      <c r="E73" s="11">
        <v>71</v>
      </c>
      <c r="F73" s="2" t="s">
        <v>4518</v>
      </c>
      <c r="G73" s="7">
        <v>1378440.92</v>
      </c>
      <c r="H73" s="2">
        <v>3</v>
      </c>
      <c r="I73" s="7">
        <f t="shared" si="0"/>
        <v>4135322.76</v>
      </c>
      <c r="J73" s="7">
        <f t="shared" si="1"/>
        <v>744358.09679999994</v>
      </c>
      <c r="K73" s="7">
        <f t="shared" si="2"/>
        <v>4879680.8567999993</v>
      </c>
    </row>
    <row r="74" spans="1:11" ht="15" customHeight="1" x14ac:dyDescent="0.3">
      <c r="A74" s="2">
        <v>58</v>
      </c>
      <c r="B74" s="2" t="s">
        <v>268</v>
      </c>
      <c r="C74" s="2" t="s">
        <v>269</v>
      </c>
      <c r="D74" s="2" t="s">
        <v>270</v>
      </c>
      <c r="E74" s="11">
        <v>65</v>
      </c>
      <c r="F74" s="2" t="s">
        <v>4518</v>
      </c>
      <c r="G74" s="7">
        <v>1378440.92</v>
      </c>
      <c r="H74" s="2">
        <v>3</v>
      </c>
      <c r="I74" s="7">
        <f t="shared" si="0"/>
        <v>4135322.76</v>
      </c>
      <c r="J74" s="7">
        <f t="shared" si="1"/>
        <v>744358.09679999994</v>
      </c>
      <c r="K74" s="7">
        <f t="shared" si="2"/>
        <v>4879680.8567999993</v>
      </c>
    </row>
    <row r="75" spans="1:11" ht="15" customHeight="1" x14ac:dyDescent="0.3">
      <c r="A75" s="2">
        <v>59</v>
      </c>
      <c r="B75" s="2" t="s">
        <v>141</v>
      </c>
      <c r="C75" s="2" t="s">
        <v>142</v>
      </c>
      <c r="D75" s="2" t="s">
        <v>143</v>
      </c>
      <c r="E75" s="11">
        <v>69</v>
      </c>
      <c r="F75" s="2" t="s">
        <v>4518</v>
      </c>
      <c r="G75" s="7">
        <v>1378440.92</v>
      </c>
      <c r="H75" s="2">
        <v>3</v>
      </c>
      <c r="I75" s="7">
        <f t="shared" si="0"/>
        <v>4135322.76</v>
      </c>
      <c r="J75" s="7">
        <f t="shared" si="1"/>
        <v>744358.09679999994</v>
      </c>
      <c r="K75" s="7">
        <f t="shared" si="2"/>
        <v>4879680.8567999993</v>
      </c>
    </row>
    <row r="76" spans="1:11" ht="15" customHeight="1" x14ac:dyDescent="0.3">
      <c r="A76" s="2">
        <v>60</v>
      </c>
      <c r="B76" s="2" t="s">
        <v>176</v>
      </c>
      <c r="C76" s="2" t="s">
        <v>177</v>
      </c>
      <c r="D76" s="2" t="s">
        <v>178</v>
      </c>
      <c r="E76" s="11">
        <v>52</v>
      </c>
      <c r="F76" s="2" t="s">
        <v>4518</v>
      </c>
      <c r="G76" s="7">
        <v>1378440.92</v>
      </c>
      <c r="H76" s="2">
        <v>3</v>
      </c>
      <c r="I76" s="7">
        <f t="shared" si="0"/>
        <v>4135322.76</v>
      </c>
      <c r="J76" s="7">
        <f t="shared" si="1"/>
        <v>744358.09679999994</v>
      </c>
      <c r="K76" s="7">
        <f t="shared" si="2"/>
        <v>4879680.8567999993</v>
      </c>
    </row>
    <row r="77" spans="1:11" ht="15" customHeight="1" x14ac:dyDescent="0.3">
      <c r="A77" s="2">
        <v>61</v>
      </c>
      <c r="B77" s="2" t="s">
        <v>448</v>
      </c>
      <c r="C77" s="2" t="s">
        <v>449</v>
      </c>
      <c r="D77" s="2" t="s">
        <v>450</v>
      </c>
      <c r="E77" s="11">
        <v>53</v>
      </c>
      <c r="F77" s="2" t="s">
        <v>4518</v>
      </c>
      <c r="G77" s="7">
        <v>1378440.92</v>
      </c>
      <c r="H77" s="2">
        <v>3</v>
      </c>
      <c r="I77" s="7">
        <f t="shared" si="0"/>
        <v>4135322.76</v>
      </c>
      <c r="J77" s="7">
        <f t="shared" si="1"/>
        <v>744358.09679999994</v>
      </c>
      <c r="K77" s="7">
        <f t="shared" si="2"/>
        <v>4879680.8567999993</v>
      </c>
    </row>
    <row r="78" spans="1:11" ht="15" customHeight="1" x14ac:dyDescent="0.3">
      <c r="A78" s="2">
        <v>62</v>
      </c>
      <c r="B78" s="2" t="s">
        <v>259</v>
      </c>
      <c r="C78" s="2" t="s">
        <v>260</v>
      </c>
      <c r="D78" s="2" t="s">
        <v>261</v>
      </c>
      <c r="E78" s="11">
        <v>66</v>
      </c>
      <c r="F78" s="2" t="s">
        <v>4518</v>
      </c>
      <c r="G78" s="7">
        <v>1378440.92</v>
      </c>
      <c r="H78" s="2">
        <v>3</v>
      </c>
      <c r="I78" s="7">
        <f t="shared" si="0"/>
        <v>4135322.76</v>
      </c>
      <c r="J78" s="7">
        <f t="shared" si="1"/>
        <v>744358.09679999994</v>
      </c>
      <c r="K78" s="7">
        <f t="shared" si="2"/>
        <v>4879680.8567999993</v>
      </c>
    </row>
    <row r="79" spans="1:11" ht="15" customHeight="1" x14ac:dyDescent="0.3">
      <c r="A79" s="2">
        <v>63</v>
      </c>
      <c r="B79" s="2" t="s">
        <v>111</v>
      </c>
      <c r="C79" s="2" t="s">
        <v>112</v>
      </c>
      <c r="D79" s="2" t="s">
        <v>113</v>
      </c>
      <c r="E79" s="11">
        <v>63.5</v>
      </c>
      <c r="F79" s="2" t="s">
        <v>4518</v>
      </c>
      <c r="G79" s="7">
        <v>1378440.92</v>
      </c>
      <c r="H79" s="2">
        <v>3</v>
      </c>
      <c r="I79" s="7">
        <f t="shared" si="0"/>
        <v>4135322.76</v>
      </c>
      <c r="J79" s="7">
        <f t="shared" si="1"/>
        <v>744358.09679999994</v>
      </c>
      <c r="K79" s="7">
        <f t="shared" si="2"/>
        <v>4879680.8567999993</v>
      </c>
    </row>
    <row r="80" spans="1:11" ht="15" customHeight="1" x14ac:dyDescent="0.3">
      <c r="A80" s="2">
        <v>64</v>
      </c>
      <c r="B80" s="2" t="s">
        <v>56</v>
      </c>
      <c r="C80" s="2" t="s">
        <v>57</v>
      </c>
      <c r="D80" s="2" t="s">
        <v>58</v>
      </c>
      <c r="E80" s="11">
        <v>46</v>
      </c>
      <c r="F80" s="2" t="s">
        <v>4518</v>
      </c>
      <c r="G80" s="7">
        <v>1134348.19</v>
      </c>
      <c r="H80" s="2">
        <v>3</v>
      </c>
      <c r="I80" s="7">
        <f t="shared" si="0"/>
        <v>3403044.57</v>
      </c>
      <c r="J80" s="7">
        <f t="shared" si="1"/>
        <v>612548.02259999991</v>
      </c>
      <c r="K80" s="7">
        <f t="shared" si="2"/>
        <v>4015592.5925999996</v>
      </c>
    </row>
    <row r="81" spans="1:11" ht="15" customHeight="1" x14ac:dyDescent="0.3">
      <c r="A81" s="2">
        <v>65</v>
      </c>
      <c r="B81" s="2" t="s">
        <v>412</v>
      </c>
      <c r="C81" s="2" t="s">
        <v>413</v>
      </c>
      <c r="D81" s="2" t="s">
        <v>414</v>
      </c>
      <c r="E81" s="11">
        <v>53.2</v>
      </c>
      <c r="F81" s="2" t="s">
        <v>4518</v>
      </c>
      <c r="G81" s="7">
        <v>1378440.92</v>
      </c>
      <c r="H81" s="2">
        <v>3</v>
      </c>
      <c r="I81" s="7">
        <f t="shared" si="0"/>
        <v>4135322.76</v>
      </c>
      <c r="J81" s="7">
        <f t="shared" si="1"/>
        <v>744358.09679999994</v>
      </c>
      <c r="K81" s="7">
        <f t="shared" si="2"/>
        <v>4879680.8567999993</v>
      </c>
    </row>
    <row r="82" spans="1:11" ht="15" customHeight="1" x14ac:dyDescent="0.3">
      <c r="A82" s="2">
        <v>66</v>
      </c>
      <c r="B82" s="2" t="s">
        <v>244</v>
      </c>
      <c r="C82" s="2" t="s">
        <v>245</v>
      </c>
      <c r="D82" s="2" t="s">
        <v>246</v>
      </c>
      <c r="E82" s="11">
        <v>66</v>
      </c>
      <c r="F82" s="2" t="s">
        <v>4518</v>
      </c>
      <c r="G82" s="7">
        <v>1378440.92</v>
      </c>
      <c r="H82" s="2">
        <v>3</v>
      </c>
      <c r="I82" s="7">
        <f t="shared" ref="I82:I145" si="3">+G82*H82</f>
        <v>4135322.76</v>
      </c>
      <c r="J82" s="7">
        <f t="shared" ref="J82:J145" si="4">+I82*0.18</f>
        <v>744358.09679999994</v>
      </c>
      <c r="K82" s="7">
        <f t="shared" ref="K82:K145" si="5">+I82+J82</f>
        <v>4879680.8567999993</v>
      </c>
    </row>
    <row r="83" spans="1:11" ht="15" customHeight="1" x14ac:dyDescent="0.3">
      <c r="A83" s="2">
        <v>67</v>
      </c>
      <c r="B83" s="2" t="s">
        <v>256</v>
      </c>
      <c r="C83" s="2" t="s">
        <v>257</v>
      </c>
      <c r="D83" s="2" t="s">
        <v>258</v>
      </c>
      <c r="E83" s="11">
        <v>48</v>
      </c>
      <c r="F83" s="2" t="s">
        <v>4518</v>
      </c>
      <c r="G83" s="7">
        <v>1134348.19</v>
      </c>
      <c r="H83" s="2">
        <v>3</v>
      </c>
      <c r="I83" s="7">
        <f t="shared" si="3"/>
        <v>3403044.57</v>
      </c>
      <c r="J83" s="7">
        <f t="shared" si="4"/>
        <v>612548.02259999991</v>
      </c>
      <c r="K83" s="7">
        <f t="shared" si="5"/>
        <v>4015592.5925999996</v>
      </c>
    </row>
    <row r="84" spans="1:11" ht="15" customHeight="1" x14ac:dyDescent="0.3">
      <c r="A84" s="2">
        <v>68</v>
      </c>
      <c r="B84" s="2" t="s">
        <v>247</v>
      </c>
      <c r="C84" s="2" t="s">
        <v>248</v>
      </c>
      <c r="D84" s="2" t="s">
        <v>249</v>
      </c>
      <c r="E84" s="11">
        <v>60</v>
      </c>
      <c r="F84" s="2" t="s">
        <v>4518</v>
      </c>
      <c r="G84" s="7">
        <v>1378440.92</v>
      </c>
      <c r="H84" s="2">
        <v>3</v>
      </c>
      <c r="I84" s="7">
        <f t="shared" si="3"/>
        <v>4135322.76</v>
      </c>
      <c r="J84" s="7">
        <f t="shared" si="4"/>
        <v>744358.09679999994</v>
      </c>
      <c r="K84" s="7">
        <f t="shared" si="5"/>
        <v>4879680.8567999993</v>
      </c>
    </row>
    <row r="85" spans="1:11" ht="15" customHeight="1" x14ac:dyDescent="0.3">
      <c r="A85" s="2">
        <v>69</v>
      </c>
      <c r="B85" s="2" t="s">
        <v>347</v>
      </c>
      <c r="C85" s="2" t="s">
        <v>348</v>
      </c>
      <c r="D85" s="2" t="s">
        <v>349</v>
      </c>
      <c r="E85" s="11">
        <v>66</v>
      </c>
      <c r="F85" s="2" t="s">
        <v>4518</v>
      </c>
      <c r="G85" s="7">
        <v>1378440.92</v>
      </c>
      <c r="H85" s="2">
        <v>3</v>
      </c>
      <c r="I85" s="7">
        <f t="shared" si="3"/>
        <v>4135322.76</v>
      </c>
      <c r="J85" s="7">
        <f t="shared" si="4"/>
        <v>744358.09679999994</v>
      </c>
      <c r="K85" s="7">
        <f t="shared" si="5"/>
        <v>4879680.8567999993</v>
      </c>
    </row>
    <row r="86" spans="1:11" ht="15" customHeight="1" x14ac:dyDescent="0.3">
      <c r="A86" s="2">
        <v>70</v>
      </c>
      <c r="B86" s="2" t="s">
        <v>208</v>
      </c>
      <c r="C86" s="2" t="s">
        <v>209</v>
      </c>
      <c r="D86" s="2" t="s">
        <v>210</v>
      </c>
      <c r="E86" s="11">
        <v>62.5</v>
      </c>
      <c r="F86" s="2" t="s">
        <v>4518</v>
      </c>
      <c r="G86" s="7">
        <v>1378440.92</v>
      </c>
      <c r="H86" s="2">
        <v>3</v>
      </c>
      <c r="I86" s="7">
        <f t="shared" si="3"/>
        <v>4135322.76</v>
      </c>
      <c r="J86" s="7">
        <f t="shared" si="4"/>
        <v>744358.09679999994</v>
      </c>
      <c r="K86" s="7">
        <f t="shared" si="5"/>
        <v>4879680.8567999993</v>
      </c>
    </row>
    <row r="87" spans="1:11" ht="15" customHeight="1" x14ac:dyDescent="0.3">
      <c r="A87" s="2">
        <v>71</v>
      </c>
      <c r="B87" s="2" t="s">
        <v>2338</v>
      </c>
      <c r="C87" s="2" t="s">
        <v>2339</v>
      </c>
      <c r="D87" s="2" t="s">
        <v>2340</v>
      </c>
      <c r="E87" s="11">
        <v>12</v>
      </c>
      <c r="F87" s="2" t="s">
        <v>4518</v>
      </c>
      <c r="G87" s="7">
        <v>805824</v>
      </c>
      <c r="H87" s="2">
        <v>3</v>
      </c>
      <c r="I87" s="7">
        <f t="shared" si="3"/>
        <v>2417472</v>
      </c>
      <c r="J87" s="7">
        <f t="shared" si="4"/>
        <v>435144.95999999996</v>
      </c>
      <c r="K87" s="7">
        <f t="shared" si="5"/>
        <v>2852616.96</v>
      </c>
    </row>
    <row r="88" spans="1:11" ht="15" customHeight="1" x14ac:dyDescent="0.3">
      <c r="A88" s="2">
        <v>72</v>
      </c>
      <c r="B88" s="2" t="s">
        <v>2383</v>
      </c>
      <c r="C88" s="2" t="s">
        <v>2384</v>
      </c>
      <c r="D88" s="2" t="s">
        <v>2385</v>
      </c>
      <c r="E88" s="11">
        <v>9</v>
      </c>
      <c r="F88" s="2" t="s">
        <v>4518</v>
      </c>
      <c r="G88" s="7">
        <v>805824</v>
      </c>
      <c r="H88" s="2">
        <v>3</v>
      </c>
      <c r="I88" s="7">
        <f t="shared" si="3"/>
        <v>2417472</v>
      </c>
      <c r="J88" s="7">
        <f t="shared" si="4"/>
        <v>435144.95999999996</v>
      </c>
      <c r="K88" s="7">
        <f t="shared" si="5"/>
        <v>2852616.96</v>
      </c>
    </row>
    <row r="89" spans="1:11" ht="15" customHeight="1" x14ac:dyDescent="0.3">
      <c r="A89" s="2">
        <v>73</v>
      </c>
      <c r="B89" s="2" t="s">
        <v>2986</v>
      </c>
      <c r="C89" s="2" t="s">
        <v>2987</v>
      </c>
      <c r="D89" s="2" t="s">
        <v>2988</v>
      </c>
      <c r="E89" s="11">
        <v>6</v>
      </c>
      <c r="F89" s="2" t="s">
        <v>4518</v>
      </c>
      <c r="G89" s="7">
        <v>805824</v>
      </c>
      <c r="H89" s="2">
        <v>3</v>
      </c>
      <c r="I89" s="7">
        <f t="shared" si="3"/>
        <v>2417472</v>
      </c>
      <c r="J89" s="7">
        <f t="shared" si="4"/>
        <v>435144.95999999996</v>
      </c>
      <c r="K89" s="7">
        <f t="shared" si="5"/>
        <v>2852616.96</v>
      </c>
    </row>
    <row r="90" spans="1:11" ht="15" customHeight="1" x14ac:dyDescent="0.3">
      <c r="A90" s="2">
        <v>74</v>
      </c>
      <c r="B90" s="2" t="s">
        <v>2308</v>
      </c>
      <c r="C90" s="2" t="s">
        <v>2309</v>
      </c>
      <c r="D90" s="2" t="s">
        <v>2310</v>
      </c>
      <c r="E90" s="11">
        <v>6</v>
      </c>
      <c r="F90" s="2" t="s">
        <v>4518</v>
      </c>
      <c r="G90" s="7">
        <v>805824</v>
      </c>
      <c r="H90" s="2">
        <v>3</v>
      </c>
      <c r="I90" s="7">
        <f t="shared" si="3"/>
        <v>2417472</v>
      </c>
      <c r="J90" s="7">
        <f t="shared" si="4"/>
        <v>435144.95999999996</v>
      </c>
      <c r="K90" s="7">
        <f t="shared" si="5"/>
        <v>2852616.96</v>
      </c>
    </row>
    <row r="91" spans="1:11" ht="15" customHeight="1" x14ac:dyDescent="0.3">
      <c r="A91" s="2">
        <v>75</v>
      </c>
      <c r="B91" s="2" t="s">
        <v>2350</v>
      </c>
      <c r="C91" s="2" t="s">
        <v>2351</v>
      </c>
      <c r="D91" s="2" t="s">
        <v>2352</v>
      </c>
      <c r="E91" s="11">
        <v>15</v>
      </c>
      <c r="F91" s="2" t="s">
        <v>4518</v>
      </c>
      <c r="G91" s="7">
        <v>805824</v>
      </c>
      <c r="H91" s="2">
        <v>3</v>
      </c>
      <c r="I91" s="7">
        <f t="shared" si="3"/>
        <v>2417472</v>
      </c>
      <c r="J91" s="7">
        <f t="shared" si="4"/>
        <v>435144.95999999996</v>
      </c>
      <c r="K91" s="7">
        <f t="shared" si="5"/>
        <v>2852616.96</v>
      </c>
    </row>
    <row r="92" spans="1:11" ht="15" customHeight="1" x14ac:dyDescent="0.3">
      <c r="A92" s="2">
        <v>76</v>
      </c>
      <c r="B92" s="2" t="s">
        <v>1073</v>
      </c>
      <c r="C92" s="2" t="s">
        <v>1074</v>
      </c>
      <c r="D92" s="2" t="s">
        <v>1075</v>
      </c>
      <c r="E92" s="11">
        <v>26</v>
      </c>
      <c r="F92" s="2" t="s">
        <v>4518</v>
      </c>
      <c r="G92" s="7">
        <v>960335.62</v>
      </c>
      <c r="H92" s="2">
        <v>3</v>
      </c>
      <c r="I92" s="7">
        <f t="shared" si="3"/>
        <v>2881006.86</v>
      </c>
      <c r="J92" s="7">
        <f t="shared" si="4"/>
        <v>518581.23479999998</v>
      </c>
      <c r="K92" s="7">
        <f t="shared" si="5"/>
        <v>3399588.0948000001</v>
      </c>
    </row>
    <row r="93" spans="1:11" ht="15" customHeight="1" x14ac:dyDescent="0.3">
      <c r="A93" s="2">
        <v>77</v>
      </c>
      <c r="B93" s="2" t="s">
        <v>707</v>
      </c>
      <c r="C93" s="2" t="s">
        <v>708</v>
      </c>
      <c r="D93" s="2" t="s">
        <v>709</v>
      </c>
      <c r="E93" s="11">
        <v>76</v>
      </c>
      <c r="F93" s="2" t="s">
        <v>4518</v>
      </c>
      <c r="G93" s="7">
        <v>1932900.45</v>
      </c>
      <c r="H93" s="2">
        <v>3</v>
      </c>
      <c r="I93" s="7">
        <f t="shared" si="3"/>
        <v>5798701.3499999996</v>
      </c>
      <c r="J93" s="7">
        <f t="shared" si="4"/>
        <v>1043766.2429999999</v>
      </c>
      <c r="K93" s="7">
        <f t="shared" si="5"/>
        <v>6842467.5929999994</v>
      </c>
    </row>
    <row r="94" spans="1:11" ht="15" customHeight="1" x14ac:dyDescent="0.3">
      <c r="A94" s="2">
        <v>78</v>
      </c>
      <c r="B94" s="2" t="s">
        <v>834</v>
      </c>
      <c r="C94" s="2" t="s">
        <v>835</v>
      </c>
      <c r="D94" s="2" t="s">
        <v>836</v>
      </c>
      <c r="E94" s="11">
        <v>72</v>
      </c>
      <c r="F94" s="2" t="s">
        <v>4518</v>
      </c>
      <c r="G94" s="7">
        <v>1378440.92</v>
      </c>
      <c r="H94" s="2">
        <v>3</v>
      </c>
      <c r="I94" s="7">
        <f t="shared" si="3"/>
        <v>4135322.76</v>
      </c>
      <c r="J94" s="7">
        <f t="shared" si="4"/>
        <v>744358.09679999994</v>
      </c>
      <c r="K94" s="7">
        <f t="shared" si="5"/>
        <v>4879680.8567999993</v>
      </c>
    </row>
    <row r="95" spans="1:11" ht="15" customHeight="1" x14ac:dyDescent="0.3">
      <c r="A95" s="2">
        <v>79</v>
      </c>
      <c r="B95" s="2" t="s">
        <v>881</v>
      </c>
      <c r="C95" s="2" t="s">
        <v>882</v>
      </c>
      <c r="D95" s="2" t="s">
        <v>883</v>
      </c>
      <c r="E95" s="11">
        <v>68</v>
      </c>
      <c r="F95" s="2" t="s">
        <v>4518</v>
      </c>
      <c r="G95" s="7">
        <v>1378440.92</v>
      </c>
      <c r="H95" s="2">
        <v>3</v>
      </c>
      <c r="I95" s="7">
        <f t="shared" si="3"/>
        <v>4135322.76</v>
      </c>
      <c r="J95" s="7">
        <f t="shared" si="4"/>
        <v>744358.09679999994</v>
      </c>
      <c r="K95" s="7">
        <f t="shared" si="5"/>
        <v>4879680.8567999993</v>
      </c>
    </row>
    <row r="96" spans="1:11" ht="15" customHeight="1" x14ac:dyDescent="0.3">
      <c r="A96" s="2">
        <v>80</v>
      </c>
      <c r="B96" s="2" t="s">
        <v>304</v>
      </c>
      <c r="C96" s="2" t="s">
        <v>305</v>
      </c>
      <c r="D96" s="2" t="s">
        <v>306</v>
      </c>
      <c r="E96" s="11">
        <v>25.1</v>
      </c>
      <c r="F96" s="2" t="s">
        <v>4518</v>
      </c>
      <c r="G96" s="7">
        <v>960335.62</v>
      </c>
      <c r="H96" s="2">
        <v>3</v>
      </c>
      <c r="I96" s="7">
        <f t="shared" si="3"/>
        <v>2881006.86</v>
      </c>
      <c r="J96" s="7">
        <f t="shared" si="4"/>
        <v>518581.23479999998</v>
      </c>
      <c r="K96" s="7">
        <f t="shared" si="5"/>
        <v>3399588.0948000001</v>
      </c>
    </row>
    <row r="97" spans="1:11" ht="15" customHeight="1" x14ac:dyDescent="0.3">
      <c r="A97" s="2">
        <v>81</v>
      </c>
      <c r="B97" s="2" t="s">
        <v>521</v>
      </c>
      <c r="C97" s="2" t="s">
        <v>522</v>
      </c>
      <c r="D97" s="2" t="s">
        <v>523</v>
      </c>
      <c r="E97" s="11">
        <v>32</v>
      </c>
      <c r="F97" s="2" t="s">
        <v>4518</v>
      </c>
      <c r="G97" s="7">
        <v>960335.62</v>
      </c>
      <c r="H97" s="2">
        <v>3</v>
      </c>
      <c r="I97" s="7">
        <f t="shared" si="3"/>
        <v>2881006.86</v>
      </c>
      <c r="J97" s="7">
        <f t="shared" si="4"/>
        <v>518581.23479999998</v>
      </c>
      <c r="K97" s="7">
        <f t="shared" si="5"/>
        <v>3399588.0948000001</v>
      </c>
    </row>
    <row r="98" spans="1:11" ht="15" customHeight="1" x14ac:dyDescent="0.3">
      <c r="A98" s="2">
        <v>82</v>
      </c>
      <c r="B98" s="2" t="s">
        <v>335</v>
      </c>
      <c r="C98" s="2" t="s">
        <v>336</v>
      </c>
      <c r="D98" s="2" t="s">
        <v>337</v>
      </c>
      <c r="E98" s="11">
        <v>29</v>
      </c>
      <c r="F98" s="2" t="s">
        <v>4518</v>
      </c>
      <c r="G98" s="7">
        <v>960335.62</v>
      </c>
      <c r="H98" s="2">
        <v>3</v>
      </c>
      <c r="I98" s="7">
        <f t="shared" si="3"/>
        <v>2881006.86</v>
      </c>
      <c r="J98" s="7">
        <f t="shared" si="4"/>
        <v>518581.23479999998</v>
      </c>
      <c r="K98" s="7">
        <f t="shared" si="5"/>
        <v>3399588.0948000001</v>
      </c>
    </row>
    <row r="99" spans="1:11" ht="15" customHeight="1" x14ac:dyDescent="0.3">
      <c r="A99" s="2">
        <v>83</v>
      </c>
      <c r="B99" s="2" t="s">
        <v>170</v>
      </c>
      <c r="C99" s="2" t="s">
        <v>171</v>
      </c>
      <c r="D99" s="2" t="s">
        <v>172</v>
      </c>
      <c r="E99" s="11">
        <v>32</v>
      </c>
      <c r="F99" s="2" t="s">
        <v>4518</v>
      </c>
      <c r="G99" s="7">
        <v>960335.62</v>
      </c>
      <c r="H99" s="2">
        <v>3</v>
      </c>
      <c r="I99" s="7">
        <f t="shared" si="3"/>
        <v>2881006.86</v>
      </c>
      <c r="J99" s="7">
        <f t="shared" si="4"/>
        <v>518581.23479999998</v>
      </c>
      <c r="K99" s="7">
        <f t="shared" si="5"/>
        <v>3399588.0948000001</v>
      </c>
    </row>
    <row r="100" spans="1:11" ht="15" customHeight="1" x14ac:dyDescent="0.3">
      <c r="A100" s="2">
        <v>84</v>
      </c>
      <c r="B100" s="2" t="s">
        <v>105</v>
      </c>
      <c r="C100" s="2" t="s">
        <v>106</v>
      </c>
      <c r="D100" s="2" t="s">
        <v>107</v>
      </c>
      <c r="E100" s="11">
        <v>31.5</v>
      </c>
      <c r="F100" s="2" t="s">
        <v>4518</v>
      </c>
      <c r="G100" s="7">
        <v>960335.62</v>
      </c>
      <c r="H100" s="2">
        <v>3</v>
      </c>
      <c r="I100" s="7">
        <f t="shared" si="3"/>
        <v>2881006.86</v>
      </c>
      <c r="J100" s="7">
        <f t="shared" si="4"/>
        <v>518581.23479999998</v>
      </c>
      <c r="K100" s="7">
        <f t="shared" si="5"/>
        <v>3399588.0948000001</v>
      </c>
    </row>
    <row r="101" spans="1:11" ht="15" customHeight="1" x14ac:dyDescent="0.3">
      <c r="A101" s="2">
        <v>85</v>
      </c>
      <c r="B101" s="2" t="s">
        <v>452</v>
      </c>
      <c r="C101" s="2" t="s">
        <v>453</v>
      </c>
      <c r="D101" s="2" t="s">
        <v>454</v>
      </c>
      <c r="E101" s="11">
        <v>41</v>
      </c>
      <c r="F101" s="2" t="s">
        <v>4518</v>
      </c>
      <c r="G101" s="7">
        <v>1134348.19</v>
      </c>
      <c r="H101" s="2">
        <v>3</v>
      </c>
      <c r="I101" s="7">
        <f t="shared" si="3"/>
        <v>3403044.57</v>
      </c>
      <c r="J101" s="7">
        <f t="shared" si="4"/>
        <v>612548.02259999991</v>
      </c>
      <c r="K101" s="7">
        <f t="shared" si="5"/>
        <v>4015592.5925999996</v>
      </c>
    </row>
    <row r="102" spans="1:11" ht="15" customHeight="1" x14ac:dyDescent="0.3">
      <c r="A102" s="2">
        <v>86</v>
      </c>
      <c r="B102" s="2" t="s">
        <v>455</v>
      </c>
      <c r="C102" s="2" t="s">
        <v>456</v>
      </c>
      <c r="D102" s="2" t="s">
        <v>457</v>
      </c>
      <c r="E102" s="11">
        <v>29</v>
      </c>
      <c r="F102" s="2" t="s">
        <v>4518</v>
      </c>
      <c r="G102" s="7">
        <v>960335.62</v>
      </c>
      <c r="H102" s="2">
        <v>3</v>
      </c>
      <c r="I102" s="7">
        <f t="shared" si="3"/>
        <v>2881006.86</v>
      </c>
      <c r="J102" s="7">
        <f t="shared" si="4"/>
        <v>518581.23479999998</v>
      </c>
      <c r="K102" s="7">
        <f t="shared" si="5"/>
        <v>3399588.0948000001</v>
      </c>
    </row>
    <row r="103" spans="1:11" ht="15" customHeight="1" x14ac:dyDescent="0.3">
      <c r="A103" s="2">
        <v>87</v>
      </c>
      <c r="B103" s="2" t="s">
        <v>433</v>
      </c>
      <c r="C103" s="2" t="s">
        <v>434</v>
      </c>
      <c r="D103" s="2" t="s">
        <v>435</v>
      </c>
      <c r="E103" s="11">
        <v>36.5</v>
      </c>
      <c r="F103" s="2" t="s">
        <v>4518</v>
      </c>
      <c r="G103" s="7">
        <v>1134348.19</v>
      </c>
      <c r="H103" s="2">
        <v>3</v>
      </c>
      <c r="I103" s="7">
        <f t="shared" si="3"/>
        <v>3403044.57</v>
      </c>
      <c r="J103" s="7">
        <f t="shared" si="4"/>
        <v>612548.02259999991</v>
      </c>
      <c r="K103" s="7">
        <f t="shared" si="5"/>
        <v>4015592.5925999996</v>
      </c>
    </row>
    <row r="104" spans="1:11" ht="15" customHeight="1" x14ac:dyDescent="0.3">
      <c r="A104" s="2">
        <v>88</v>
      </c>
      <c r="B104" s="2" t="s">
        <v>86</v>
      </c>
      <c r="C104" s="2" t="s">
        <v>87</v>
      </c>
      <c r="D104" s="2" t="s">
        <v>88</v>
      </c>
      <c r="E104" s="11">
        <v>44</v>
      </c>
      <c r="F104" s="2" t="s">
        <v>4518</v>
      </c>
      <c r="G104" s="7">
        <v>1134348.19</v>
      </c>
      <c r="H104" s="2">
        <v>3</v>
      </c>
      <c r="I104" s="7">
        <f t="shared" si="3"/>
        <v>3403044.57</v>
      </c>
      <c r="J104" s="7">
        <f t="shared" si="4"/>
        <v>612548.02259999991</v>
      </c>
      <c r="K104" s="7">
        <f t="shared" si="5"/>
        <v>4015592.5925999996</v>
      </c>
    </row>
    <row r="105" spans="1:11" ht="15" customHeight="1" x14ac:dyDescent="0.3">
      <c r="A105" s="2">
        <v>89</v>
      </c>
      <c r="B105" s="2" t="s">
        <v>129</v>
      </c>
      <c r="C105" s="2" t="s">
        <v>130</v>
      </c>
      <c r="D105" s="2" t="s">
        <v>131</v>
      </c>
      <c r="E105" s="11">
        <v>12</v>
      </c>
      <c r="F105" s="2" t="s">
        <v>4518</v>
      </c>
      <c r="G105" s="7">
        <v>805824</v>
      </c>
      <c r="H105" s="2">
        <v>3</v>
      </c>
      <c r="I105" s="7">
        <f t="shared" si="3"/>
        <v>2417472</v>
      </c>
      <c r="J105" s="7">
        <f t="shared" si="4"/>
        <v>435144.95999999996</v>
      </c>
      <c r="K105" s="7">
        <f t="shared" si="5"/>
        <v>2852616.96</v>
      </c>
    </row>
    <row r="106" spans="1:11" ht="15" customHeight="1" x14ac:dyDescent="0.3">
      <c r="A106" s="2">
        <v>90</v>
      </c>
      <c r="B106" s="2" t="s">
        <v>353</v>
      </c>
      <c r="C106" s="2" t="s">
        <v>354</v>
      </c>
      <c r="D106" s="2" t="s">
        <v>355</v>
      </c>
      <c r="E106" s="11">
        <v>28</v>
      </c>
      <c r="F106" s="2" t="s">
        <v>4518</v>
      </c>
      <c r="G106" s="7">
        <v>960335.62</v>
      </c>
      <c r="H106" s="2">
        <v>3</v>
      </c>
      <c r="I106" s="7">
        <f t="shared" si="3"/>
        <v>2881006.86</v>
      </c>
      <c r="J106" s="7">
        <f t="shared" si="4"/>
        <v>518581.23479999998</v>
      </c>
      <c r="K106" s="7">
        <f t="shared" si="5"/>
        <v>3399588.0948000001</v>
      </c>
    </row>
    <row r="107" spans="1:11" ht="15" customHeight="1" x14ac:dyDescent="0.3">
      <c r="A107" s="2">
        <v>91</v>
      </c>
      <c r="B107" s="2" t="s">
        <v>373</v>
      </c>
      <c r="C107" s="2" t="s">
        <v>374</v>
      </c>
      <c r="D107" s="2" t="s">
        <v>375</v>
      </c>
      <c r="E107" s="11">
        <v>31</v>
      </c>
      <c r="F107" s="2" t="s">
        <v>4518</v>
      </c>
      <c r="G107" s="7">
        <v>960335.62</v>
      </c>
      <c r="H107" s="2">
        <v>3</v>
      </c>
      <c r="I107" s="7">
        <f t="shared" si="3"/>
        <v>2881006.86</v>
      </c>
      <c r="J107" s="7">
        <f t="shared" si="4"/>
        <v>518581.23479999998</v>
      </c>
      <c r="K107" s="7">
        <f t="shared" si="5"/>
        <v>3399588.0948000001</v>
      </c>
    </row>
    <row r="108" spans="1:11" ht="15" customHeight="1" x14ac:dyDescent="0.3">
      <c r="A108" s="2">
        <v>92</v>
      </c>
      <c r="B108" s="2" t="s">
        <v>512</v>
      </c>
      <c r="C108" s="2" t="s">
        <v>513</v>
      </c>
      <c r="D108" s="2" t="s">
        <v>514</v>
      </c>
      <c r="E108" s="11">
        <v>29</v>
      </c>
      <c r="F108" s="2" t="s">
        <v>4518</v>
      </c>
      <c r="G108" s="7">
        <v>960335.62</v>
      </c>
      <c r="H108" s="2">
        <v>3</v>
      </c>
      <c r="I108" s="7">
        <f t="shared" si="3"/>
        <v>2881006.86</v>
      </c>
      <c r="J108" s="7">
        <f t="shared" si="4"/>
        <v>518581.23479999998</v>
      </c>
      <c r="K108" s="7">
        <f t="shared" si="5"/>
        <v>3399588.0948000001</v>
      </c>
    </row>
    <row r="109" spans="1:11" ht="15" customHeight="1" x14ac:dyDescent="0.3">
      <c r="A109" s="2">
        <v>93</v>
      </c>
      <c r="B109" s="2" t="s">
        <v>473</v>
      </c>
      <c r="C109" s="2" t="s">
        <v>474</v>
      </c>
      <c r="D109" s="2" t="s">
        <v>475</v>
      </c>
      <c r="E109" s="11">
        <v>13</v>
      </c>
      <c r="F109" s="2" t="s">
        <v>4518</v>
      </c>
      <c r="G109" s="7">
        <v>805824</v>
      </c>
      <c r="H109" s="2">
        <v>3</v>
      </c>
      <c r="I109" s="7">
        <f t="shared" si="3"/>
        <v>2417472</v>
      </c>
      <c r="J109" s="7">
        <f t="shared" si="4"/>
        <v>435144.95999999996</v>
      </c>
      <c r="K109" s="7">
        <f t="shared" si="5"/>
        <v>2852616.96</v>
      </c>
    </row>
    <row r="110" spans="1:11" ht="15" customHeight="1" x14ac:dyDescent="0.3">
      <c r="A110" s="2">
        <v>94</v>
      </c>
      <c r="B110" s="2" t="s">
        <v>157</v>
      </c>
      <c r="C110" s="2" t="s">
        <v>158</v>
      </c>
      <c r="D110" s="2" t="s">
        <v>159</v>
      </c>
      <c r="E110" s="11">
        <v>18</v>
      </c>
      <c r="F110" s="2" t="s">
        <v>4518</v>
      </c>
      <c r="G110" s="7">
        <v>805824</v>
      </c>
      <c r="H110" s="2">
        <v>3</v>
      </c>
      <c r="I110" s="7">
        <f t="shared" si="3"/>
        <v>2417472</v>
      </c>
      <c r="J110" s="7">
        <f t="shared" si="4"/>
        <v>435144.95999999996</v>
      </c>
      <c r="K110" s="7">
        <f t="shared" si="5"/>
        <v>2852616.96</v>
      </c>
    </row>
    <row r="111" spans="1:11" ht="15" customHeight="1" x14ac:dyDescent="0.3">
      <c r="A111" s="2">
        <v>95</v>
      </c>
      <c r="B111" s="2" t="s">
        <v>114</v>
      </c>
      <c r="C111" s="2" t="s">
        <v>115</v>
      </c>
      <c r="D111" s="2" t="s">
        <v>116</v>
      </c>
      <c r="E111" s="11">
        <v>27</v>
      </c>
      <c r="F111" s="2" t="s">
        <v>4518</v>
      </c>
      <c r="G111" s="7">
        <v>960335.62</v>
      </c>
      <c r="H111" s="2">
        <v>3</v>
      </c>
      <c r="I111" s="7">
        <f t="shared" si="3"/>
        <v>2881006.86</v>
      </c>
      <c r="J111" s="7">
        <f t="shared" si="4"/>
        <v>518581.23479999998</v>
      </c>
      <c r="K111" s="7">
        <f t="shared" si="5"/>
        <v>3399588.0948000001</v>
      </c>
    </row>
    <row r="112" spans="1:11" ht="15" customHeight="1" x14ac:dyDescent="0.3">
      <c r="A112" s="2">
        <v>96</v>
      </c>
      <c r="B112" s="2" t="s">
        <v>307</v>
      </c>
      <c r="C112" s="2" t="s">
        <v>308</v>
      </c>
      <c r="D112" s="2" t="s">
        <v>309</v>
      </c>
      <c r="E112" s="11">
        <v>27</v>
      </c>
      <c r="F112" s="2" t="s">
        <v>4518</v>
      </c>
      <c r="G112" s="7">
        <v>960335.62</v>
      </c>
      <c r="H112" s="2">
        <v>3</v>
      </c>
      <c r="I112" s="7">
        <f t="shared" si="3"/>
        <v>2881006.86</v>
      </c>
      <c r="J112" s="7">
        <f t="shared" si="4"/>
        <v>518581.23479999998</v>
      </c>
      <c r="K112" s="7">
        <f t="shared" si="5"/>
        <v>3399588.0948000001</v>
      </c>
    </row>
    <row r="113" spans="1:11" ht="15" customHeight="1" x14ac:dyDescent="0.3">
      <c r="A113" s="2">
        <v>97</v>
      </c>
      <c r="B113" s="2" t="s">
        <v>376</v>
      </c>
      <c r="C113" s="2" t="s">
        <v>377</v>
      </c>
      <c r="D113" s="2" t="s">
        <v>378</v>
      </c>
      <c r="E113" s="11">
        <v>37.200000000000003</v>
      </c>
      <c r="F113" s="2" t="s">
        <v>4518</v>
      </c>
      <c r="G113" s="7">
        <v>1134348.19</v>
      </c>
      <c r="H113" s="2">
        <v>3</v>
      </c>
      <c r="I113" s="7">
        <f t="shared" si="3"/>
        <v>3403044.57</v>
      </c>
      <c r="J113" s="7">
        <f t="shared" si="4"/>
        <v>612548.02259999991</v>
      </c>
      <c r="K113" s="7">
        <f t="shared" si="5"/>
        <v>4015592.5925999996</v>
      </c>
    </row>
    <row r="114" spans="1:11" ht="15" customHeight="1" x14ac:dyDescent="0.3">
      <c r="A114" s="2">
        <v>98</v>
      </c>
      <c r="B114" s="2" t="s">
        <v>476</v>
      </c>
      <c r="C114" s="2" t="s">
        <v>477</v>
      </c>
      <c r="D114" s="2" t="s">
        <v>478</v>
      </c>
      <c r="E114" s="11">
        <v>35</v>
      </c>
      <c r="F114" s="2" t="s">
        <v>4518</v>
      </c>
      <c r="G114" s="7">
        <v>1134348.19</v>
      </c>
      <c r="H114" s="2">
        <v>3</v>
      </c>
      <c r="I114" s="7">
        <f t="shared" si="3"/>
        <v>3403044.57</v>
      </c>
      <c r="J114" s="7">
        <f t="shared" si="4"/>
        <v>612548.02259999991</v>
      </c>
      <c r="K114" s="7">
        <f t="shared" si="5"/>
        <v>4015592.5925999996</v>
      </c>
    </row>
    <row r="115" spans="1:11" ht="15" customHeight="1" x14ac:dyDescent="0.3">
      <c r="A115" s="2">
        <v>99</v>
      </c>
      <c r="B115" s="2" t="s">
        <v>479</v>
      </c>
      <c r="C115" s="2" t="s">
        <v>480</v>
      </c>
      <c r="D115" s="2" t="s">
        <v>481</v>
      </c>
      <c r="E115" s="11">
        <v>32</v>
      </c>
      <c r="F115" s="2" t="s">
        <v>4518</v>
      </c>
      <c r="G115" s="7">
        <v>960335.62</v>
      </c>
      <c r="H115" s="2">
        <v>3</v>
      </c>
      <c r="I115" s="7">
        <f t="shared" si="3"/>
        <v>2881006.86</v>
      </c>
      <c r="J115" s="7">
        <f t="shared" si="4"/>
        <v>518581.23479999998</v>
      </c>
      <c r="K115" s="7">
        <f t="shared" si="5"/>
        <v>3399588.0948000001</v>
      </c>
    </row>
    <row r="116" spans="1:11" ht="15" customHeight="1" x14ac:dyDescent="0.3">
      <c r="A116" s="2">
        <v>100</v>
      </c>
      <c r="B116" s="2" t="s">
        <v>253</v>
      </c>
      <c r="C116" s="2" t="s">
        <v>254</v>
      </c>
      <c r="D116" s="2" t="s">
        <v>255</v>
      </c>
      <c r="E116" s="11">
        <v>16</v>
      </c>
      <c r="F116" s="2" t="s">
        <v>4518</v>
      </c>
      <c r="G116" s="7">
        <v>805824</v>
      </c>
      <c r="H116" s="2">
        <v>3</v>
      </c>
      <c r="I116" s="7">
        <f t="shared" si="3"/>
        <v>2417472</v>
      </c>
      <c r="J116" s="7">
        <f t="shared" si="4"/>
        <v>435144.95999999996</v>
      </c>
      <c r="K116" s="7">
        <f t="shared" si="5"/>
        <v>2852616.96</v>
      </c>
    </row>
    <row r="117" spans="1:11" ht="15" customHeight="1" x14ac:dyDescent="0.3">
      <c r="A117" s="2">
        <v>101</v>
      </c>
      <c r="B117" s="2" t="s">
        <v>205</v>
      </c>
      <c r="C117" s="2" t="s">
        <v>206</v>
      </c>
      <c r="D117" s="2" t="s">
        <v>207</v>
      </c>
      <c r="E117" s="11">
        <v>25</v>
      </c>
      <c r="F117" s="2" t="s">
        <v>4518</v>
      </c>
      <c r="G117" s="7">
        <v>960335.62</v>
      </c>
      <c r="H117" s="2">
        <v>3</v>
      </c>
      <c r="I117" s="7">
        <f t="shared" si="3"/>
        <v>2881006.86</v>
      </c>
      <c r="J117" s="7">
        <f t="shared" si="4"/>
        <v>518581.23479999998</v>
      </c>
      <c r="K117" s="7">
        <f t="shared" si="5"/>
        <v>3399588.0948000001</v>
      </c>
    </row>
    <row r="118" spans="1:11" ht="15" customHeight="1" x14ac:dyDescent="0.3">
      <c r="A118" s="2">
        <v>102</v>
      </c>
      <c r="B118" s="2" t="s">
        <v>442</v>
      </c>
      <c r="C118" s="2" t="s">
        <v>443</v>
      </c>
      <c r="D118" s="2" t="s">
        <v>444</v>
      </c>
      <c r="E118" s="11">
        <v>12</v>
      </c>
      <c r="F118" s="2" t="s">
        <v>4518</v>
      </c>
      <c r="G118" s="7">
        <v>805824</v>
      </c>
      <c r="H118" s="2">
        <v>3</v>
      </c>
      <c r="I118" s="7">
        <f t="shared" si="3"/>
        <v>2417472</v>
      </c>
      <c r="J118" s="7">
        <f t="shared" si="4"/>
        <v>435144.95999999996</v>
      </c>
      <c r="K118" s="7">
        <f t="shared" si="5"/>
        <v>2852616.96</v>
      </c>
    </row>
    <row r="119" spans="1:11" ht="15" customHeight="1" x14ac:dyDescent="0.3">
      <c r="A119" s="2">
        <v>103</v>
      </c>
      <c r="B119" s="2" t="s">
        <v>92</v>
      </c>
      <c r="C119" s="2" t="s">
        <v>93</v>
      </c>
      <c r="D119" s="2" t="s">
        <v>94</v>
      </c>
      <c r="E119" s="11">
        <v>75</v>
      </c>
      <c r="F119" s="2" t="s">
        <v>4518</v>
      </c>
      <c r="G119" s="7">
        <v>1378440.92</v>
      </c>
      <c r="H119" s="2">
        <v>3</v>
      </c>
      <c r="I119" s="7">
        <f t="shared" si="3"/>
        <v>4135322.76</v>
      </c>
      <c r="J119" s="7">
        <f t="shared" si="4"/>
        <v>744358.09679999994</v>
      </c>
      <c r="K119" s="7">
        <f t="shared" si="5"/>
        <v>4879680.8567999993</v>
      </c>
    </row>
    <row r="120" spans="1:11" ht="15" customHeight="1" x14ac:dyDescent="0.3">
      <c r="A120" s="2">
        <v>104</v>
      </c>
      <c r="B120" s="2" t="s">
        <v>241</v>
      </c>
      <c r="C120" s="2" t="s">
        <v>242</v>
      </c>
      <c r="D120" s="2" t="s">
        <v>243</v>
      </c>
      <c r="E120" s="11">
        <v>70</v>
      </c>
      <c r="F120" s="2" t="s">
        <v>4518</v>
      </c>
      <c r="G120" s="7">
        <v>1378440.92</v>
      </c>
      <c r="H120" s="2">
        <v>3</v>
      </c>
      <c r="I120" s="7">
        <f t="shared" si="3"/>
        <v>4135322.76</v>
      </c>
      <c r="J120" s="7">
        <f t="shared" si="4"/>
        <v>744358.09679999994</v>
      </c>
      <c r="K120" s="7">
        <f t="shared" si="5"/>
        <v>4879680.8567999993</v>
      </c>
    </row>
    <row r="121" spans="1:11" ht="15" customHeight="1" x14ac:dyDescent="0.3">
      <c r="A121" s="2">
        <v>105</v>
      </c>
      <c r="B121" s="2" t="s">
        <v>68</v>
      </c>
      <c r="C121" s="2" t="s">
        <v>69</v>
      </c>
      <c r="D121" s="2" t="s">
        <v>70</v>
      </c>
      <c r="E121" s="11">
        <v>13</v>
      </c>
      <c r="F121" s="2" t="s">
        <v>4518</v>
      </c>
      <c r="G121" s="7">
        <v>805824</v>
      </c>
      <c r="H121" s="2">
        <v>3</v>
      </c>
      <c r="I121" s="7">
        <f t="shared" si="3"/>
        <v>2417472</v>
      </c>
      <c r="J121" s="7">
        <f t="shared" si="4"/>
        <v>435144.95999999996</v>
      </c>
      <c r="K121" s="7">
        <f t="shared" si="5"/>
        <v>2852616.96</v>
      </c>
    </row>
    <row r="122" spans="1:11" ht="15" customHeight="1" x14ac:dyDescent="0.3">
      <c r="A122" s="2">
        <v>106</v>
      </c>
      <c r="B122" s="2" t="s">
        <v>80</v>
      </c>
      <c r="C122" s="2" t="s">
        <v>81</v>
      </c>
      <c r="D122" s="2" t="s">
        <v>82</v>
      </c>
      <c r="E122" s="11">
        <v>27</v>
      </c>
      <c r="F122" s="2" t="s">
        <v>4518</v>
      </c>
      <c r="G122" s="7">
        <v>960335.62</v>
      </c>
      <c r="H122" s="2">
        <v>3</v>
      </c>
      <c r="I122" s="7">
        <f t="shared" si="3"/>
        <v>2881006.86</v>
      </c>
      <c r="J122" s="7">
        <f t="shared" si="4"/>
        <v>518581.23479999998</v>
      </c>
      <c r="K122" s="7">
        <f t="shared" si="5"/>
        <v>3399588.0948000001</v>
      </c>
    </row>
    <row r="123" spans="1:11" ht="15" customHeight="1" x14ac:dyDescent="0.3">
      <c r="A123" s="2">
        <v>107</v>
      </c>
      <c r="B123" s="2" t="s">
        <v>62</v>
      </c>
      <c r="C123" s="2" t="s">
        <v>63</v>
      </c>
      <c r="D123" s="2" t="s">
        <v>64</v>
      </c>
      <c r="E123" s="11">
        <v>31.5</v>
      </c>
      <c r="F123" s="2" t="s">
        <v>4518</v>
      </c>
      <c r="G123" s="7">
        <v>960335.62</v>
      </c>
      <c r="H123" s="2">
        <v>3</v>
      </c>
      <c r="I123" s="7">
        <f t="shared" si="3"/>
        <v>2881006.86</v>
      </c>
      <c r="J123" s="7">
        <f t="shared" si="4"/>
        <v>518581.23479999998</v>
      </c>
      <c r="K123" s="7">
        <f t="shared" si="5"/>
        <v>3399588.0948000001</v>
      </c>
    </row>
    <row r="124" spans="1:11" ht="15" customHeight="1" x14ac:dyDescent="0.3">
      <c r="A124" s="2">
        <v>108</v>
      </c>
      <c r="B124" s="2" t="s">
        <v>65</v>
      </c>
      <c r="C124" s="2" t="s">
        <v>66</v>
      </c>
      <c r="D124" s="2" t="s">
        <v>67</v>
      </c>
      <c r="E124" s="11">
        <v>27</v>
      </c>
      <c r="F124" s="2" t="s">
        <v>4518</v>
      </c>
      <c r="G124" s="7">
        <v>960335.62</v>
      </c>
      <c r="H124" s="2">
        <v>3</v>
      </c>
      <c r="I124" s="7">
        <f t="shared" si="3"/>
        <v>2881006.86</v>
      </c>
      <c r="J124" s="7">
        <f t="shared" si="4"/>
        <v>518581.23479999998</v>
      </c>
      <c r="K124" s="7">
        <f t="shared" si="5"/>
        <v>3399588.0948000001</v>
      </c>
    </row>
    <row r="125" spans="1:11" ht="15" customHeight="1" x14ac:dyDescent="0.3">
      <c r="A125" s="2">
        <v>109</v>
      </c>
      <c r="B125" s="2" t="s">
        <v>41</v>
      </c>
      <c r="C125" s="2" t="s">
        <v>42</v>
      </c>
      <c r="D125" s="2" t="s">
        <v>43</v>
      </c>
      <c r="E125" s="11">
        <v>27</v>
      </c>
      <c r="F125" s="2" t="s">
        <v>4518</v>
      </c>
      <c r="G125" s="7">
        <v>960335.62</v>
      </c>
      <c r="H125" s="2">
        <v>3</v>
      </c>
      <c r="I125" s="7">
        <f t="shared" si="3"/>
        <v>2881006.86</v>
      </c>
      <c r="J125" s="7">
        <f t="shared" si="4"/>
        <v>518581.23479999998</v>
      </c>
      <c r="K125" s="7">
        <f t="shared" si="5"/>
        <v>3399588.0948000001</v>
      </c>
    </row>
    <row r="126" spans="1:11" ht="15" customHeight="1" x14ac:dyDescent="0.3">
      <c r="A126" s="2">
        <v>110</v>
      </c>
      <c r="B126" s="2" t="s">
        <v>53</v>
      </c>
      <c r="C126" s="2" t="s">
        <v>54</v>
      </c>
      <c r="D126" s="2" t="s">
        <v>55</v>
      </c>
      <c r="E126" s="11">
        <v>27</v>
      </c>
      <c r="F126" s="2" t="s">
        <v>4518</v>
      </c>
      <c r="G126" s="7">
        <v>960335.62</v>
      </c>
      <c r="H126" s="2">
        <v>3</v>
      </c>
      <c r="I126" s="7">
        <f t="shared" si="3"/>
        <v>2881006.86</v>
      </c>
      <c r="J126" s="7">
        <f t="shared" si="4"/>
        <v>518581.23479999998</v>
      </c>
      <c r="K126" s="7">
        <f t="shared" si="5"/>
        <v>3399588.0948000001</v>
      </c>
    </row>
    <row r="127" spans="1:11" ht="15" customHeight="1" x14ac:dyDescent="0.3">
      <c r="A127" s="2">
        <v>111</v>
      </c>
      <c r="B127" s="2" t="s">
        <v>83</v>
      </c>
      <c r="C127" s="2" t="s">
        <v>84</v>
      </c>
      <c r="D127" s="2" t="s">
        <v>85</v>
      </c>
      <c r="E127" s="11">
        <v>27</v>
      </c>
      <c r="F127" s="2" t="s">
        <v>4518</v>
      </c>
      <c r="G127" s="7">
        <v>960335.62</v>
      </c>
      <c r="H127" s="2">
        <v>3</v>
      </c>
      <c r="I127" s="7">
        <f t="shared" si="3"/>
        <v>2881006.86</v>
      </c>
      <c r="J127" s="7">
        <f t="shared" si="4"/>
        <v>518581.23479999998</v>
      </c>
      <c r="K127" s="7">
        <f t="shared" si="5"/>
        <v>3399588.0948000001</v>
      </c>
    </row>
    <row r="128" spans="1:11" ht="15" customHeight="1" x14ac:dyDescent="0.3">
      <c r="A128" s="2">
        <v>112</v>
      </c>
      <c r="B128" s="2" t="s">
        <v>77</v>
      </c>
      <c r="C128" s="2" t="s">
        <v>78</v>
      </c>
      <c r="D128" s="2" t="s">
        <v>79</v>
      </c>
      <c r="E128" s="11">
        <v>27</v>
      </c>
      <c r="F128" s="2" t="s">
        <v>4518</v>
      </c>
      <c r="G128" s="7">
        <v>960335.62</v>
      </c>
      <c r="H128" s="2">
        <v>3</v>
      </c>
      <c r="I128" s="7">
        <f t="shared" si="3"/>
        <v>2881006.86</v>
      </c>
      <c r="J128" s="7">
        <f t="shared" si="4"/>
        <v>518581.23479999998</v>
      </c>
      <c r="K128" s="7">
        <f t="shared" si="5"/>
        <v>3399588.0948000001</v>
      </c>
    </row>
    <row r="129" spans="1:11" ht="15" customHeight="1" x14ac:dyDescent="0.3">
      <c r="A129" s="2">
        <v>113</v>
      </c>
      <c r="B129" s="2" t="s">
        <v>38</v>
      </c>
      <c r="C129" s="2" t="s">
        <v>39</v>
      </c>
      <c r="D129" s="2" t="s">
        <v>40</v>
      </c>
      <c r="E129" s="11">
        <v>27</v>
      </c>
      <c r="F129" s="2" t="s">
        <v>4518</v>
      </c>
      <c r="G129" s="7">
        <v>960335.62</v>
      </c>
      <c r="H129" s="2">
        <v>3</v>
      </c>
      <c r="I129" s="7">
        <f t="shared" si="3"/>
        <v>2881006.86</v>
      </c>
      <c r="J129" s="7">
        <f t="shared" si="4"/>
        <v>518581.23479999998</v>
      </c>
      <c r="K129" s="7">
        <f t="shared" si="5"/>
        <v>3399588.0948000001</v>
      </c>
    </row>
    <row r="130" spans="1:11" ht="15" customHeight="1" x14ac:dyDescent="0.3">
      <c r="A130" s="2">
        <v>114</v>
      </c>
      <c r="B130" s="2" t="s">
        <v>59</v>
      </c>
      <c r="C130" s="2" t="s">
        <v>60</v>
      </c>
      <c r="D130" s="2" t="s">
        <v>61</v>
      </c>
      <c r="E130" s="11">
        <v>27</v>
      </c>
      <c r="F130" s="2" t="s">
        <v>4518</v>
      </c>
      <c r="G130" s="7">
        <v>960335.62</v>
      </c>
      <c r="H130" s="2">
        <v>3</v>
      </c>
      <c r="I130" s="7">
        <f t="shared" si="3"/>
        <v>2881006.86</v>
      </c>
      <c r="J130" s="7">
        <f t="shared" si="4"/>
        <v>518581.23479999998</v>
      </c>
      <c r="K130" s="7">
        <f t="shared" si="5"/>
        <v>3399588.0948000001</v>
      </c>
    </row>
    <row r="131" spans="1:11" ht="15" customHeight="1" x14ac:dyDescent="0.3">
      <c r="A131" s="2">
        <v>115</v>
      </c>
      <c r="B131" s="2" t="s">
        <v>26</v>
      </c>
      <c r="C131" s="2" t="s">
        <v>27</v>
      </c>
      <c r="D131" s="2" t="s">
        <v>28</v>
      </c>
      <c r="E131" s="11">
        <v>30</v>
      </c>
      <c r="F131" s="2" t="s">
        <v>4518</v>
      </c>
      <c r="G131" s="7">
        <v>960335.62</v>
      </c>
      <c r="H131" s="2">
        <v>3</v>
      </c>
      <c r="I131" s="7">
        <f t="shared" si="3"/>
        <v>2881006.86</v>
      </c>
      <c r="J131" s="7">
        <f t="shared" si="4"/>
        <v>518581.23479999998</v>
      </c>
      <c r="K131" s="7">
        <f t="shared" si="5"/>
        <v>3399588.0948000001</v>
      </c>
    </row>
    <row r="132" spans="1:11" ht="15" customHeight="1" x14ac:dyDescent="0.3">
      <c r="A132" s="2">
        <v>116</v>
      </c>
      <c r="B132" s="2" t="s">
        <v>11</v>
      </c>
      <c r="C132" s="2" t="s">
        <v>12</v>
      </c>
      <c r="D132" s="2" t="s">
        <v>13</v>
      </c>
      <c r="E132" s="11">
        <v>48</v>
      </c>
      <c r="F132" s="2" t="s">
        <v>4518</v>
      </c>
      <c r="G132" s="7">
        <v>1134348.19</v>
      </c>
      <c r="H132" s="2">
        <v>3</v>
      </c>
      <c r="I132" s="7">
        <f t="shared" si="3"/>
        <v>3403044.57</v>
      </c>
      <c r="J132" s="7">
        <f t="shared" si="4"/>
        <v>612548.02259999991</v>
      </c>
      <c r="K132" s="7">
        <f t="shared" si="5"/>
        <v>4015592.5925999996</v>
      </c>
    </row>
    <row r="133" spans="1:11" ht="15" customHeight="1" x14ac:dyDescent="0.3">
      <c r="A133" s="2">
        <v>117</v>
      </c>
      <c r="B133" s="2" t="s">
        <v>737</v>
      </c>
      <c r="C133" s="2" t="s">
        <v>738</v>
      </c>
      <c r="D133" s="2" t="s">
        <v>739</v>
      </c>
      <c r="E133" s="11">
        <v>78</v>
      </c>
      <c r="F133" s="2" t="s">
        <v>4518</v>
      </c>
      <c r="G133" s="7">
        <v>1932900.45</v>
      </c>
      <c r="H133" s="2">
        <v>3</v>
      </c>
      <c r="I133" s="7">
        <f t="shared" si="3"/>
        <v>5798701.3499999996</v>
      </c>
      <c r="J133" s="7">
        <f t="shared" si="4"/>
        <v>1043766.2429999999</v>
      </c>
      <c r="K133" s="7">
        <f t="shared" si="5"/>
        <v>6842467.5929999994</v>
      </c>
    </row>
    <row r="134" spans="1:11" ht="15" customHeight="1" x14ac:dyDescent="0.3">
      <c r="A134" s="2">
        <v>118</v>
      </c>
      <c r="B134" s="2" t="s">
        <v>831</v>
      </c>
      <c r="C134" s="2" t="s">
        <v>832</v>
      </c>
      <c r="D134" s="2" t="s">
        <v>833</v>
      </c>
      <c r="E134" s="11">
        <v>68</v>
      </c>
      <c r="F134" s="2" t="s">
        <v>4518</v>
      </c>
      <c r="G134" s="7">
        <v>1378440.92</v>
      </c>
      <c r="H134" s="2">
        <v>3</v>
      </c>
      <c r="I134" s="7">
        <f t="shared" si="3"/>
        <v>4135322.76</v>
      </c>
      <c r="J134" s="7">
        <f t="shared" si="4"/>
        <v>744358.09679999994</v>
      </c>
      <c r="K134" s="7">
        <f t="shared" si="5"/>
        <v>4879680.8567999993</v>
      </c>
    </row>
    <row r="135" spans="1:11" ht="15" customHeight="1" x14ac:dyDescent="0.3">
      <c r="A135" s="2">
        <v>119</v>
      </c>
      <c r="B135" s="2" t="s">
        <v>854</v>
      </c>
      <c r="C135" s="2" t="s">
        <v>855</v>
      </c>
      <c r="D135" s="2" t="s">
        <v>856</v>
      </c>
      <c r="E135" s="11">
        <v>75</v>
      </c>
      <c r="F135" s="2" t="s">
        <v>4518</v>
      </c>
      <c r="G135" s="7">
        <v>1378440.92</v>
      </c>
      <c r="H135" s="2">
        <v>3</v>
      </c>
      <c r="I135" s="7">
        <f t="shared" si="3"/>
        <v>4135322.76</v>
      </c>
      <c r="J135" s="7">
        <f t="shared" si="4"/>
        <v>744358.09679999994</v>
      </c>
      <c r="K135" s="7">
        <f t="shared" si="5"/>
        <v>4879680.8567999993</v>
      </c>
    </row>
    <row r="136" spans="1:11" ht="15" customHeight="1" x14ac:dyDescent="0.3">
      <c r="A136" s="2">
        <v>120</v>
      </c>
      <c r="B136" s="2" t="s">
        <v>144</v>
      </c>
      <c r="C136" s="2" t="s">
        <v>145</v>
      </c>
      <c r="D136" s="2" t="s">
        <v>146</v>
      </c>
      <c r="E136" s="11">
        <v>76</v>
      </c>
      <c r="F136" s="2" t="s">
        <v>4518</v>
      </c>
      <c r="G136" s="7">
        <v>1932900.45</v>
      </c>
      <c r="H136" s="2">
        <v>3</v>
      </c>
      <c r="I136" s="7">
        <f t="shared" si="3"/>
        <v>5798701.3499999996</v>
      </c>
      <c r="J136" s="7">
        <f t="shared" si="4"/>
        <v>1043766.2429999999</v>
      </c>
      <c r="K136" s="7">
        <f t="shared" si="5"/>
        <v>6842467.5929999994</v>
      </c>
    </row>
    <row r="137" spans="1:11" ht="15" customHeight="1" x14ac:dyDescent="0.3">
      <c r="A137" s="2">
        <v>121</v>
      </c>
      <c r="B137" s="2" t="s">
        <v>199</v>
      </c>
      <c r="C137" s="2" t="s">
        <v>200</v>
      </c>
      <c r="D137" s="2" t="s">
        <v>201</v>
      </c>
      <c r="E137" s="11">
        <v>73</v>
      </c>
      <c r="F137" s="2" t="s">
        <v>4518</v>
      </c>
      <c r="G137" s="7">
        <v>1378440.92</v>
      </c>
      <c r="H137" s="2">
        <v>3</v>
      </c>
      <c r="I137" s="7">
        <f t="shared" si="3"/>
        <v>4135322.76</v>
      </c>
      <c r="J137" s="7">
        <f t="shared" si="4"/>
        <v>744358.09679999994</v>
      </c>
      <c r="K137" s="7">
        <f t="shared" si="5"/>
        <v>4879680.8567999993</v>
      </c>
    </row>
    <row r="138" spans="1:11" ht="15" customHeight="1" x14ac:dyDescent="0.3">
      <c r="A138" s="2">
        <v>122</v>
      </c>
      <c r="B138" s="2" t="s">
        <v>32</v>
      </c>
      <c r="C138" s="2" t="s">
        <v>33</v>
      </c>
      <c r="D138" s="2" t="s">
        <v>34</v>
      </c>
      <c r="E138" s="11">
        <v>46</v>
      </c>
      <c r="F138" s="2" t="s">
        <v>4518</v>
      </c>
      <c r="G138" s="7">
        <v>1134348.19</v>
      </c>
      <c r="H138" s="2">
        <v>3</v>
      </c>
      <c r="I138" s="7">
        <f t="shared" si="3"/>
        <v>3403044.57</v>
      </c>
      <c r="J138" s="7">
        <f t="shared" si="4"/>
        <v>612548.02259999991</v>
      </c>
      <c r="K138" s="7">
        <f t="shared" si="5"/>
        <v>4015592.5925999996</v>
      </c>
    </row>
    <row r="139" spans="1:11" ht="15" customHeight="1" x14ac:dyDescent="0.3">
      <c r="A139" s="2">
        <v>123</v>
      </c>
      <c r="B139" s="2" t="s">
        <v>749</v>
      </c>
      <c r="C139" s="2" t="s">
        <v>750</v>
      </c>
      <c r="D139" s="2" t="s">
        <v>751</v>
      </c>
      <c r="E139" s="11">
        <v>75</v>
      </c>
      <c r="F139" s="2" t="s">
        <v>4518</v>
      </c>
      <c r="G139" s="7">
        <v>1378440.92</v>
      </c>
      <c r="H139" s="2">
        <v>3</v>
      </c>
      <c r="I139" s="7">
        <f t="shared" si="3"/>
        <v>4135322.76</v>
      </c>
      <c r="J139" s="7">
        <f t="shared" si="4"/>
        <v>744358.09679999994</v>
      </c>
      <c r="K139" s="7">
        <f t="shared" si="5"/>
        <v>4879680.8567999993</v>
      </c>
    </row>
    <row r="140" spans="1:11" ht="15" customHeight="1" x14ac:dyDescent="0.3">
      <c r="A140" s="2">
        <v>124</v>
      </c>
      <c r="B140" s="2" t="s">
        <v>436</v>
      </c>
      <c r="C140" s="2" t="s">
        <v>437</v>
      </c>
      <c r="D140" s="2" t="s">
        <v>438</v>
      </c>
      <c r="E140" s="11">
        <v>40</v>
      </c>
      <c r="F140" s="2" t="s">
        <v>4518</v>
      </c>
      <c r="G140" s="7">
        <v>1134348.19</v>
      </c>
      <c r="H140" s="2">
        <v>3</v>
      </c>
      <c r="I140" s="7">
        <f t="shared" si="3"/>
        <v>3403044.57</v>
      </c>
      <c r="J140" s="7">
        <f t="shared" si="4"/>
        <v>612548.02259999991</v>
      </c>
      <c r="K140" s="7">
        <f t="shared" si="5"/>
        <v>4015592.5925999996</v>
      </c>
    </row>
    <row r="141" spans="1:11" ht="15" customHeight="1" x14ac:dyDescent="0.3">
      <c r="A141" s="2">
        <v>125</v>
      </c>
      <c r="B141" s="2" t="s">
        <v>482</v>
      </c>
      <c r="C141" s="2" t="s">
        <v>483</v>
      </c>
      <c r="D141" s="2" t="s">
        <v>484</v>
      </c>
      <c r="E141" s="11">
        <v>48</v>
      </c>
      <c r="F141" s="2" t="s">
        <v>4518</v>
      </c>
      <c r="G141" s="7">
        <v>1134348.19</v>
      </c>
      <c r="H141" s="2">
        <v>3</v>
      </c>
      <c r="I141" s="7">
        <f t="shared" si="3"/>
        <v>3403044.57</v>
      </c>
      <c r="J141" s="7">
        <f t="shared" si="4"/>
        <v>612548.02259999991</v>
      </c>
      <c r="K141" s="7">
        <f t="shared" si="5"/>
        <v>4015592.5925999996</v>
      </c>
    </row>
    <row r="142" spans="1:11" ht="15" customHeight="1" x14ac:dyDescent="0.3">
      <c r="A142" s="2">
        <v>126</v>
      </c>
      <c r="B142" s="2" t="s">
        <v>731</v>
      </c>
      <c r="C142" s="2" t="s">
        <v>732</v>
      </c>
      <c r="D142" s="2" t="s">
        <v>733</v>
      </c>
      <c r="E142" s="11">
        <v>75</v>
      </c>
      <c r="F142" s="2" t="s">
        <v>4518</v>
      </c>
      <c r="G142" s="7">
        <v>1378440.92</v>
      </c>
      <c r="H142" s="2">
        <v>3</v>
      </c>
      <c r="I142" s="7">
        <f t="shared" si="3"/>
        <v>4135322.76</v>
      </c>
      <c r="J142" s="7">
        <f t="shared" si="4"/>
        <v>744358.09679999994</v>
      </c>
      <c r="K142" s="7">
        <f t="shared" si="5"/>
        <v>4879680.8567999993</v>
      </c>
    </row>
    <row r="143" spans="1:11" ht="15" customHeight="1" x14ac:dyDescent="0.3">
      <c r="A143" s="2">
        <v>127</v>
      </c>
      <c r="B143" s="2" t="s">
        <v>772</v>
      </c>
      <c r="C143" s="2" t="s">
        <v>773</v>
      </c>
      <c r="D143" s="2" t="s">
        <v>774</v>
      </c>
      <c r="E143" s="11">
        <v>75</v>
      </c>
      <c r="F143" s="2" t="s">
        <v>4518</v>
      </c>
      <c r="G143" s="7">
        <v>1378440.92</v>
      </c>
      <c r="H143" s="2">
        <v>3</v>
      </c>
      <c r="I143" s="7">
        <f t="shared" si="3"/>
        <v>4135322.76</v>
      </c>
      <c r="J143" s="7">
        <f t="shared" si="4"/>
        <v>744358.09679999994</v>
      </c>
      <c r="K143" s="7">
        <f t="shared" si="5"/>
        <v>4879680.8567999993</v>
      </c>
    </row>
    <row r="144" spans="1:11" ht="15" customHeight="1" x14ac:dyDescent="0.3">
      <c r="A144" s="2">
        <v>128</v>
      </c>
      <c r="B144" s="2" t="s">
        <v>719</v>
      </c>
      <c r="C144" s="2" t="s">
        <v>720</v>
      </c>
      <c r="D144" s="2" t="s">
        <v>721</v>
      </c>
      <c r="E144" s="11">
        <v>72.5</v>
      </c>
      <c r="F144" s="2" t="s">
        <v>4518</v>
      </c>
      <c r="G144" s="7">
        <v>1378440.92</v>
      </c>
      <c r="H144" s="2">
        <v>3</v>
      </c>
      <c r="I144" s="7">
        <f t="shared" si="3"/>
        <v>4135322.76</v>
      </c>
      <c r="J144" s="7">
        <f t="shared" si="4"/>
        <v>744358.09679999994</v>
      </c>
      <c r="K144" s="7">
        <f t="shared" si="5"/>
        <v>4879680.8567999993</v>
      </c>
    </row>
    <row r="145" spans="1:11" ht="15" customHeight="1" x14ac:dyDescent="0.3">
      <c r="A145" s="2">
        <v>129</v>
      </c>
      <c r="B145" s="2" t="s">
        <v>190</v>
      </c>
      <c r="C145" s="2" t="s">
        <v>191</v>
      </c>
      <c r="D145" s="2" t="s">
        <v>192</v>
      </c>
      <c r="E145" s="11">
        <v>68</v>
      </c>
      <c r="F145" s="2" t="s">
        <v>4518</v>
      </c>
      <c r="G145" s="7">
        <v>1378440.92</v>
      </c>
      <c r="H145" s="2">
        <v>3</v>
      </c>
      <c r="I145" s="7">
        <f t="shared" si="3"/>
        <v>4135322.76</v>
      </c>
      <c r="J145" s="7">
        <f t="shared" si="4"/>
        <v>744358.09679999994</v>
      </c>
      <c r="K145" s="7">
        <f t="shared" si="5"/>
        <v>4879680.8567999993</v>
      </c>
    </row>
    <row r="146" spans="1:11" ht="15" customHeight="1" x14ac:dyDescent="0.3">
      <c r="A146" s="2">
        <v>130</v>
      </c>
      <c r="B146" s="2" t="s">
        <v>50</v>
      </c>
      <c r="C146" s="2" t="s">
        <v>51</v>
      </c>
      <c r="D146" s="2" t="s">
        <v>52</v>
      </c>
      <c r="E146" s="11">
        <v>56</v>
      </c>
      <c r="F146" s="2" t="s">
        <v>4518</v>
      </c>
      <c r="G146" s="7">
        <v>1378440.92</v>
      </c>
      <c r="H146" s="2">
        <v>3</v>
      </c>
      <c r="I146" s="7">
        <f t="shared" ref="I146:I209" si="6">+G146*H146</f>
        <v>4135322.76</v>
      </c>
      <c r="J146" s="7">
        <f t="shared" ref="J146:J209" si="7">+I146*0.18</f>
        <v>744358.09679999994</v>
      </c>
      <c r="K146" s="7">
        <f t="shared" ref="K146:K209" si="8">+I146+J146</f>
        <v>4879680.8567999993</v>
      </c>
    </row>
    <row r="147" spans="1:11" ht="15" customHeight="1" x14ac:dyDescent="0.3">
      <c r="A147" s="2">
        <v>131</v>
      </c>
      <c r="B147" s="2" t="s">
        <v>418</v>
      </c>
      <c r="C147" s="2" t="s">
        <v>419</v>
      </c>
      <c r="D147" s="2" t="s">
        <v>420</v>
      </c>
      <c r="E147" s="11">
        <v>50.7</v>
      </c>
      <c r="F147" s="2" t="s">
        <v>4518</v>
      </c>
      <c r="G147" s="7">
        <v>1378440.92</v>
      </c>
      <c r="H147" s="2">
        <v>3</v>
      </c>
      <c r="I147" s="7">
        <f t="shared" si="6"/>
        <v>4135322.76</v>
      </c>
      <c r="J147" s="7">
        <f t="shared" si="7"/>
        <v>744358.09679999994</v>
      </c>
      <c r="K147" s="7">
        <f t="shared" si="8"/>
        <v>4879680.8567999993</v>
      </c>
    </row>
    <row r="148" spans="1:11" ht="15" customHeight="1" x14ac:dyDescent="0.3">
      <c r="A148" s="2">
        <v>132</v>
      </c>
      <c r="B148" s="2" t="s">
        <v>310</v>
      </c>
      <c r="C148" s="2" t="s">
        <v>311</v>
      </c>
      <c r="D148" s="2" t="s">
        <v>312</v>
      </c>
      <c r="E148" s="11">
        <v>50</v>
      </c>
      <c r="F148" s="2" t="s">
        <v>4518</v>
      </c>
      <c r="G148" s="7">
        <v>1378440.92</v>
      </c>
      <c r="H148" s="2">
        <v>3</v>
      </c>
      <c r="I148" s="7">
        <f t="shared" si="6"/>
        <v>4135322.76</v>
      </c>
      <c r="J148" s="7">
        <f t="shared" si="7"/>
        <v>744358.09679999994</v>
      </c>
      <c r="K148" s="7">
        <f t="shared" si="8"/>
        <v>4879680.8567999993</v>
      </c>
    </row>
    <row r="149" spans="1:11" ht="15" customHeight="1" x14ac:dyDescent="0.3">
      <c r="A149" s="2">
        <v>133</v>
      </c>
      <c r="B149" s="2" t="s">
        <v>388</v>
      </c>
      <c r="C149" s="2" t="s">
        <v>389</v>
      </c>
      <c r="D149" s="2" t="s">
        <v>390</v>
      </c>
      <c r="E149" s="11">
        <v>48.5</v>
      </c>
      <c r="F149" s="2" t="s">
        <v>4518</v>
      </c>
      <c r="G149" s="7">
        <v>1134348.19</v>
      </c>
      <c r="H149" s="2">
        <v>3</v>
      </c>
      <c r="I149" s="7">
        <f t="shared" si="6"/>
        <v>3403044.57</v>
      </c>
      <c r="J149" s="7">
        <f t="shared" si="7"/>
        <v>612548.02259999991</v>
      </c>
      <c r="K149" s="7">
        <f t="shared" si="8"/>
        <v>4015592.5925999996</v>
      </c>
    </row>
    <row r="150" spans="1:11" ht="15" customHeight="1" x14ac:dyDescent="0.3">
      <c r="A150" s="2">
        <v>134</v>
      </c>
      <c r="B150" s="2" t="s">
        <v>316</v>
      </c>
      <c r="C150" s="2" t="s">
        <v>317</v>
      </c>
      <c r="D150" s="2" t="s">
        <v>318</v>
      </c>
      <c r="E150" s="11">
        <v>52</v>
      </c>
      <c r="F150" s="2" t="s">
        <v>4518</v>
      </c>
      <c r="G150" s="7">
        <v>1378440.92</v>
      </c>
      <c r="H150" s="2">
        <v>3</v>
      </c>
      <c r="I150" s="7">
        <f t="shared" si="6"/>
        <v>4135322.76</v>
      </c>
      <c r="J150" s="7">
        <f t="shared" si="7"/>
        <v>744358.09679999994</v>
      </c>
      <c r="K150" s="7">
        <f t="shared" si="8"/>
        <v>4879680.8567999993</v>
      </c>
    </row>
    <row r="151" spans="1:11" ht="15" customHeight="1" x14ac:dyDescent="0.3">
      <c r="A151" s="2">
        <v>135</v>
      </c>
      <c r="B151" s="2" t="s">
        <v>313</v>
      </c>
      <c r="C151" s="2" t="s">
        <v>314</v>
      </c>
      <c r="D151" s="2" t="s">
        <v>315</v>
      </c>
      <c r="E151" s="11">
        <v>66</v>
      </c>
      <c r="F151" s="2" t="s">
        <v>4518</v>
      </c>
      <c r="G151" s="7">
        <v>1378440.92</v>
      </c>
      <c r="H151" s="2">
        <v>3</v>
      </c>
      <c r="I151" s="7">
        <f t="shared" si="6"/>
        <v>4135322.76</v>
      </c>
      <c r="J151" s="7">
        <f t="shared" si="7"/>
        <v>744358.09679999994</v>
      </c>
      <c r="K151" s="7">
        <f t="shared" si="8"/>
        <v>4879680.8567999993</v>
      </c>
    </row>
    <row r="152" spans="1:11" ht="15" customHeight="1" x14ac:dyDescent="0.3">
      <c r="A152" s="2">
        <v>136</v>
      </c>
      <c r="B152" s="2" t="s">
        <v>849</v>
      </c>
      <c r="C152" s="2" t="s">
        <v>850</v>
      </c>
      <c r="D152" s="2" t="s">
        <v>851</v>
      </c>
      <c r="E152" s="11">
        <v>76</v>
      </c>
      <c r="F152" s="2" t="s">
        <v>4518</v>
      </c>
      <c r="G152" s="7">
        <v>1932900.45</v>
      </c>
      <c r="H152" s="2">
        <v>3</v>
      </c>
      <c r="I152" s="7">
        <f t="shared" si="6"/>
        <v>5798701.3499999996</v>
      </c>
      <c r="J152" s="7">
        <f t="shared" si="7"/>
        <v>1043766.2429999999</v>
      </c>
      <c r="K152" s="7">
        <f t="shared" si="8"/>
        <v>6842467.5929999994</v>
      </c>
    </row>
    <row r="153" spans="1:11" ht="15" customHeight="1" x14ac:dyDescent="0.3">
      <c r="A153" s="2">
        <v>137</v>
      </c>
      <c r="B153" s="2" t="s">
        <v>822</v>
      </c>
      <c r="C153" s="2" t="s">
        <v>823</v>
      </c>
      <c r="D153" s="2" t="s">
        <v>824</v>
      </c>
      <c r="E153" s="11">
        <v>75</v>
      </c>
      <c r="F153" s="2" t="s">
        <v>4518</v>
      </c>
      <c r="G153" s="7">
        <v>1378440.92</v>
      </c>
      <c r="H153" s="2">
        <v>3</v>
      </c>
      <c r="I153" s="7">
        <f t="shared" si="6"/>
        <v>4135322.76</v>
      </c>
      <c r="J153" s="7">
        <f t="shared" si="7"/>
        <v>744358.09679999994</v>
      </c>
      <c r="K153" s="7">
        <f t="shared" si="8"/>
        <v>4879680.8567999993</v>
      </c>
    </row>
    <row r="154" spans="1:11" ht="15" customHeight="1" x14ac:dyDescent="0.3">
      <c r="A154" s="2">
        <v>138</v>
      </c>
      <c r="B154" s="2" t="s">
        <v>917</v>
      </c>
      <c r="C154" s="2" t="s">
        <v>918</v>
      </c>
      <c r="D154" s="2" t="s">
        <v>919</v>
      </c>
      <c r="E154" s="11">
        <v>65</v>
      </c>
      <c r="F154" s="2" t="s">
        <v>4518</v>
      </c>
      <c r="G154" s="7">
        <v>1378440.92</v>
      </c>
      <c r="H154" s="2">
        <v>3</v>
      </c>
      <c r="I154" s="7">
        <f t="shared" si="6"/>
        <v>4135322.76</v>
      </c>
      <c r="J154" s="7">
        <f t="shared" si="7"/>
        <v>744358.09679999994</v>
      </c>
      <c r="K154" s="7">
        <f t="shared" si="8"/>
        <v>4879680.8567999993</v>
      </c>
    </row>
    <row r="155" spans="1:11" ht="15" customHeight="1" x14ac:dyDescent="0.3">
      <c r="A155" s="2">
        <v>139</v>
      </c>
      <c r="B155" s="2" t="s">
        <v>862</v>
      </c>
      <c r="C155" s="2" t="s">
        <v>863</v>
      </c>
      <c r="D155" s="2" t="s">
        <v>864</v>
      </c>
      <c r="E155" s="11">
        <v>75</v>
      </c>
      <c r="F155" s="2" t="s">
        <v>4518</v>
      </c>
      <c r="G155" s="7">
        <v>1378440.92</v>
      </c>
      <c r="H155" s="2">
        <v>3</v>
      </c>
      <c r="I155" s="7">
        <f t="shared" si="6"/>
        <v>4135322.76</v>
      </c>
      <c r="J155" s="7">
        <f t="shared" si="7"/>
        <v>744358.09679999994</v>
      </c>
      <c r="K155" s="7">
        <f t="shared" si="8"/>
        <v>4879680.8567999993</v>
      </c>
    </row>
    <row r="156" spans="1:11" ht="15" customHeight="1" x14ac:dyDescent="0.3">
      <c r="A156" s="2">
        <v>140</v>
      </c>
      <c r="B156" s="2" t="s">
        <v>509</v>
      </c>
      <c r="C156" s="2" t="s">
        <v>510</v>
      </c>
      <c r="D156" s="2" t="s">
        <v>511</v>
      </c>
      <c r="E156" s="11">
        <v>41</v>
      </c>
      <c r="F156" s="2" t="s">
        <v>4518</v>
      </c>
      <c r="G156" s="7">
        <v>1134348.19</v>
      </c>
      <c r="H156" s="2">
        <v>3</v>
      </c>
      <c r="I156" s="7">
        <f t="shared" si="6"/>
        <v>3403044.57</v>
      </c>
      <c r="J156" s="7">
        <f t="shared" si="7"/>
        <v>612548.02259999991</v>
      </c>
      <c r="K156" s="7">
        <f t="shared" si="8"/>
        <v>4015592.5925999996</v>
      </c>
    </row>
    <row r="157" spans="1:11" ht="15" customHeight="1" x14ac:dyDescent="0.3">
      <c r="A157" s="2">
        <v>141</v>
      </c>
      <c r="B157" s="2" t="s">
        <v>179</v>
      </c>
      <c r="C157" s="2" t="s">
        <v>180</v>
      </c>
      <c r="D157" s="2" t="s">
        <v>181</v>
      </c>
      <c r="E157" s="11">
        <v>73</v>
      </c>
      <c r="F157" s="2" t="s">
        <v>4518</v>
      </c>
      <c r="G157" s="7">
        <v>1378440.92</v>
      </c>
      <c r="H157" s="2">
        <v>3</v>
      </c>
      <c r="I157" s="7">
        <f t="shared" si="6"/>
        <v>4135322.76</v>
      </c>
      <c r="J157" s="7">
        <f t="shared" si="7"/>
        <v>744358.09679999994</v>
      </c>
      <c r="K157" s="7">
        <f t="shared" si="8"/>
        <v>4879680.8567999993</v>
      </c>
    </row>
    <row r="158" spans="1:11" ht="15" customHeight="1" x14ac:dyDescent="0.3">
      <c r="A158" s="2">
        <v>142</v>
      </c>
      <c r="B158" s="2" t="s">
        <v>95</v>
      </c>
      <c r="C158" s="2" t="s">
        <v>96</v>
      </c>
      <c r="D158" s="2" t="s">
        <v>97</v>
      </c>
      <c r="E158" s="11">
        <v>90</v>
      </c>
      <c r="F158" s="2" t="s">
        <v>4518</v>
      </c>
      <c r="G158" s="7">
        <v>1932900.45</v>
      </c>
      <c r="H158" s="2">
        <v>3</v>
      </c>
      <c r="I158" s="7">
        <f t="shared" si="6"/>
        <v>5798701.3499999996</v>
      </c>
      <c r="J158" s="7">
        <f t="shared" si="7"/>
        <v>1043766.2429999999</v>
      </c>
      <c r="K158" s="7">
        <f t="shared" si="8"/>
        <v>6842467.5929999994</v>
      </c>
    </row>
    <row r="159" spans="1:11" ht="15" customHeight="1" x14ac:dyDescent="0.3">
      <c r="A159" s="2">
        <v>143</v>
      </c>
      <c r="B159" s="2" t="s">
        <v>120</v>
      </c>
      <c r="C159" s="2" t="s">
        <v>121</v>
      </c>
      <c r="D159" s="2" t="s">
        <v>122</v>
      </c>
      <c r="E159" s="11">
        <v>53</v>
      </c>
      <c r="F159" s="2" t="s">
        <v>4518</v>
      </c>
      <c r="G159" s="7">
        <v>1378440.92</v>
      </c>
      <c r="H159" s="2">
        <v>3</v>
      </c>
      <c r="I159" s="7">
        <f t="shared" si="6"/>
        <v>4135322.76</v>
      </c>
      <c r="J159" s="7">
        <f t="shared" si="7"/>
        <v>744358.09679999994</v>
      </c>
      <c r="K159" s="7">
        <f t="shared" si="8"/>
        <v>4879680.8567999993</v>
      </c>
    </row>
    <row r="160" spans="1:11" ht="15" customHeight="1" x14ac:dyDescent="0.3">
      <c r="A160" s="2">
        <v>144</v>
      </c>
      <c r="B160" s="2" t="s">
        <v>899</v>
      </c>
      <c r="C160" s="2" t="s">
        <v>900</v>
      </c>
      <c r="D160" s="2" t="s">
        <v>901</v>
      </c>
      <c r="E160" s="11">
        <v>72.5</v>
      </c>
      <c r="F160" s="2" t="s">
        <v>4518</v>
      </c>
      <c r="G160" s="7">
        <v>1378440.92</v>
      </c>
      <c r="H160" s="2">
        <v>3</v>
      </c>
      <c r="I160" s="7">
        <f t="shared" si="6"/>
        <v>4135322.76</v>
      </c>
      <c r="J160" s="7">
        <f t="shared" si="7"/>
        <v>744358.09679999994</v>
      </c>
      <c r="K160" s="7">
        <f t="shared" si="8"/>
        <v>4879680.8567999993</v>
      </c>
    </row>
    <row r="161" spans="1:11" ht="15" customHeight="1" x14ac:dyDescent="0.3">
      <c r="A161" s="2">
        <v>145</v>
      </c>
      <c r="B161" s="2" t="s">
        <v>533</v>
      </c>
      <c r="C161" s="2" t="s">
        <v>534</v>
      </c>
      <c r="D161" s="2" t="s">
        <v>535</v>
      </c>
      <c r="E161" s="11">
        <v>47</v>
      </c>
      <c r="F161" s="2" t="s">
        <v>4518</v>
      </c>
      <c r="G161" s="7">
        <v>1134348.19</v>
      </c>
      <c r="H161" s="2">
        <v>3</v>
      </c>
      <c r="I161" s="7">
        <f t="shared" si="6"/>
        <v>3403044.57</v>
      </c>
      <c r="J161" s="7">
        <f t="shared" si="7"/>
        <v>612548.02259999991</v>
      </c>
      <c r="K161" s="7">
        <f t="shared" si="8"/>
        <v>4015592.5925999996</v>
      </c>
    </row>
    <row r="162" spans="1:11" ht="15" customHeight="1" x14ac:dyDescent="0.3">
      <c r="A162" s="2">
        <v>146</v>
      </c>
      <c r="B162" s="2" t="s">
        <v>379</v>
      </c>
      <c r="C162" s="2" t="s">
        <v>380</v>
      </c>
      <c r="D162" s="2" t="s">
        <v>381</v>
      </c>
      <c r="E162" s="11">
        <v>50</v>
      </c>
      <c r="F162" s="2" t="s">
        <v>4518</v>
      </c>
      <c r="G162" s="7">
        <v>1378440.92</v>
      </c>
      <c r="H162" s="2">
        <v>3</v>
      </c>
      <c r="I162" s="7">
        <f t="shared" si="6"/>
        <v>4135322.76</v>
      </c>
      <c r="J162" s="7">
        <f t="shared" si="7"/>
        <v>744358.09679999994</v>
      </c>
      <c r="K162" s="7">
        <f t="shared" si="8"/>
        <v>4879680.8567999993</v>
      </c>
    </row>
    <row r="163" spans="1:11" ht="15" customHeight="1" x14ac:dyDescent="0.3">
      <c r="A163" s="2">
        <v>147</v>
      </c>
      <c r="B163" s="2" t="s">
        <v>415</v>
      </c>
      <c r="C163" s="2" t="s">
        <v>416</v>
      </c>
      <c r="D163" s="2" t="s">
        <v>417</v>
      </c>
      <c r="E163" s="11">
        <v>50</v>
      </c>
      <c r="F163" s="2" t="s">
        <v>4518</v>
      </c>
      <c r="G163" s="7">
        <v>1378440.92</v>
      </c>
      <c r="H163" s="2">
        <v>3</v>
      </c>
      <c r="I163" s="7">
        <f t="shared" si="6"/>
        <v>4135322.76</v>
      </c>
      <c r="J163" s="7">
        <f t="shared" si="7"/>
        <v>744358.09679999994</v>
      </c>
      <c r="K163" s="7">
        <f t="shared" si="8"/>
        <v>4879680.8567999993</v>
      </c>
    </row>
    <row r="164" spans="1:11" ht="15" customHeight="1" x14ac:dyDescent="0.3">
      <c r="A164" s="2">
        <v>148</v>
      </c>
      <c r="B164" s="2" t="s">
        <v>439</v>
      </c>
      <c r="C164" s="2" t="s">
        <v>440</v>
      </c>
      <c r="D164" s="2" t="s">
        <v>441</v>
      </c>
      <c r="E164" s="11">
        <v>63</v>
      </c>
      <c r="F164" s="2" t="s">
        <v>4518</v>
      </c>
      <c r="G164" s="7">
        <v>1378440.92</v>
      </c>
      <c r="H164" s="2">
        <v>3</v>
      </c>
      <c r="I164" s="7">
        <f t="shared" si="6"/>
        <v>4135322.76</v>
      </c>
      <c r="J164" s="7">
        <f t="shared" si="7"/>
        <v>744358.09679999994</v>
      </c>
      <c r="K164" s="7">
        <f t="shared" si="8"/>
        <v>4879680.8567999993</v>
      </c>
    </row>
    <row r="165" spans="1:11" ht="15" customHeight="1" x14ac:dyDescent="0.3">
      <c r="A165" s="2">
        <v>149</v>
      </c>
      <c r="B165" s="2" t="s">
        <v>14</v>
      </c>
      <c r="C165" s="2" t="s">
        <v>15</v>
      </c>
      <c r="D165" s="2" t="s">
        <v>16</v>
      </c>
      <c r="E165" s="11">
        <v>47</v>
      </c>
      <c r="F165" s="2" t="s">
        <v>4518</v>
      </c>
      <c r="G165" s="7">
        <v>1134348.19</v>
      </c>
      <c r="H165" s="2">
        <v>3</v>
      </c>
      <c r="I165" s="7">
        <f t="shared" si="6"/>
        <v>3403044.57</v>
      </c>
      <c r="J165" s="7">
        <f t="shared" si="7"/>
        <v>612548.02259999991</v>
      </c>
      <c r="K165" s="7">
        <f t="shared" si="8"/>
        <v>4015592.5925999996</v>
      </c>
    </row>
    <row r="166" spans="1:11" ht="15" customHeight="1" x14ac:dyDescent="0.3">
      <c r="A166" s="2">
        <v>150</v>
      </c>
      <c r="B166" s="2" t="s">
        <v>17</v>
      </c>
      <c r="C166" s="2" t="s">
        <v>18</v>
      </c>
      <c r="D166" s="2" t="s">
        <v>19</v>
      </c>
      <c r="E166" s="11">
        <v>45</v>
      </c>
      <c r="F166" s="2" t="s">
        <v>4518</v>
      </c>
      <c r="G166" s="7">
        <v>1134348.19</v>
      </c>
      <c r="H166" s="2">
        <v>3</v>
      </c>
      <c r="I166" s="7">
        <f t="shared" si="6"/>
        <v>3403044.57</v>
      </c>
      <c r="J166" s="7">
        <f t="shared" si="7"/>
        <v>612548.02259999991</v>
      </c>
      <c r="K166" s="7">
        <f t="shared" si="8"/>
        <v>4015592.5925999996</v>
      </c>
    </row>
    <row r="167" spans="1:11" ht="15" customHeight="1" x14ac:dyDescent="0.3">
      <c r="A167" s="2">
        <v>151</v>
      </c>
      <c r="B167" s="2" t="s">
        <v>2769</v>
      </c>
      <c r="C167" s="2" t="s">
        <v>2770</v>
      </c>
      <c r="D167" s="2" t="s">
        <v>2771</v>
      </c>
      <c r="E167" s="11">
        <v>65</v>
      </c>
      <c r="F167" s="2" t="s">
        <v>4518</v>
      </c>
      <c r="G167" s="7">
        <v>1378440.92</v>
      </c>
      <c r="H167" s="2">
        <v>3</v>
      </c>
      <c r="I167" s="7">
        <f t="shared" si="6"/>
        <v>4135322.76</v>
      </c>
      <c r="J167" s="7">
        <f t="shared" si="7"/>
        <v>744358.09679999994</v>
      </c>
      <c r="K167" s="7">
        <f t="shared" si="8"/>
        <v>4879680.8567999993</v>
      </c>
    </row>
    <row r="168" spans="1:11" ht="15" customHeight="1" x14ac:dyDescent="0.3">
      <c r="A168" s="2">
        <v>152</v>
      </c>
      <c r="B168" s="2" t="s">
        <v>545</v>
      </c>
      <c r="C168" s="2" t="s">
        <v>546</v>
      </c>
      <c r="D168" s="2" t="s">
        <v>547</v>
      </c>
      <c r="E168" s="11">
        <v>65</v>
      </c>
      <c r="F168" s="2" t="s">
        <v>4518</v>
      </c>
      <c r="G168" s="7">
        <v>1378440.92</v>
      </c>
      <c r="H168" s="2">
        <v>3</v>
      </c>
      <c r="I168" s="7">
        <f t="shared" si="6"/>
        <v>4135322.76</v>
      </c>
      <c r="J168" s="7">
        <f t="shared" si="7"/>
        <v>744358.09679999994</v>
      </c>
      <c r="K168" s="7">
        <f t="shared" si="8"/>
        <v>4879680.8567999993</v>
      </c>
    </row>
    <row r="169" spans="1:11" ht="15" customHeight="1" x14ac:dyDescent="0.3">
      <c r="A169" s="2">
        <v>153</v>
      </c>
      <c r="B169" s="2" t="s">
        <v>548</v>
      </c>
      <c r="C169" s="2" t="s">
        <v>549</v>
      </c>
      <c r="D169" s="2" t="s">
        <v>550</v>
      </c>
      <c r="E169" s="11">
        <v>65</v>
      </c>
      <c r="F169" s="2" t="s">
        <v>4518</v>
      </c>
      <c r="G169" s="7">
        <v>1378440.92</v>
      </c>
      <c r="H169" s="2">
        <v>3</v>
      </c>
      <c r="I169" s="7">
        <f t="shared" si="6"/>
        <v>4135322.76</v>
      </c>
      <c r="J169" s="7">
        <f t="shared" si="7"/>
        <v>744358.09679999994</v>
      </c>
      <c r="K169" s="7">
        <f t="shared" si="8"/>
        <v>4879680.8567999993</v>
      </c>
    </row>
    <row r="170" spans="1:11" ht="15" customHeight="1" x14ac:dyDescent="0.3">
      <c r="A170" s="2">
        <v>154</v>
      </c>
      <c r="B170" s="2" t="s">
        <v>568</v>
      </c>
      <c r="C170" s="2" t="s">
        <v>569</v>
      </c>
      <c r="D170" s="2" t="s">
        <v>570</v>
      </c>
      <c r="E170" s="11">
        <v>66</v>
      </c>
      <c r="F170" s="2" t="s">
        <v>4518</v>
      </c>
      <c r="G170" s="7">
        <v>1378440.92</v>
      </c>
      <c r="H170" s="2">
        <v>3</v>
      </c>
      <c r="I170" s="7">
        <f t="shared" si="6"/>
        <v>4135322.76</v>
      </c>
      <c r="J170" s="7">
        <f t="shared" si="7"/>
        <v>744358.09679999994</v>
      </c>
      <c r="K170" s="7">
        <f t="shared" si="8"/>
        <v>4879680.8567999993</v>
      </c>
    </row>
    <row r="171" spans="1:11" ht="15" customHeight="1" x14ac:dyDescent="0.3">
      <c r="A171" s="2">
        <v>155</v>
      </c>
      <c r="B171" s="2" t="s">
        <v>542</v>
      </c>
      <c r="C171" s="2" t="s">
        <v>543</v>
      </c>
      <c r="D171" s="2" t="s">
        <v>544</v>
      </c>
      <c r="E171" s="11">
        <v>65</v>
      </c>
      <c r="F171" s="2" t="s">
        <v>4518</v>
      </c>
      <c r="G171" s="7">
        <v>1378440.92</v>
      </c>
      <c r="H171" s="2">
        <v>3</v>
      </c>
      <c r="I171" s="7">
        <f t="shared" si="6"/>
        <v>4135322.76</v>
      </c>
      <c r="J171" s="7">
        <f t="shared" si="7"/>
        <v>744358.09679999994</v>
      </c>
      <c r="K171" s="7">
        <f t="shared" si="8"/>
        <v>4879680.8567999993</v>
      </c>
    </row>
    <row r="172" spans="1:11" ht="15" customHeight="1" x14ac:dyDescent="0.3">
      <c r="A172" s="2">
        <v>156</v>
      </c>
      <c r="B172" s="2" t="s">
        <v>554</v>
      </c>
      <c r="C172" s="2" t="s">
        <v>555</v>
      </c>
      <c r="D172" s="2" t="s">
        <v>556</v>
      </c>
      <c r="E172" s="11">
        <v>69</v>
      </c>
      <c r="F172" s="2" t="s">
        <v>4518</v>
      </c>
      <c r="G172" s="7">
        <v>1378440.92</v>
      </c>
      <c r="H172" s="2">
        <v>3</v>
      </c>
      <c r="I172" s="7">
        <f t="shared" si="6"/>
        <v>4135322.76</v>
      </c>
      <c r="J172" s="7">
        <f t="shared" si="7"/>
        <v>744358.09679999994</v>
      </c>
      <c r="K172" s="7">
        <f t="shared" si="8"/>
        <v>4879680.8567999993</v>
      </c>
    </row>
    <row r="173" spans="1:11" ht="15" customHeight="1" x14ac:dyDescent="0.3">
      <c r="A173" s="2">
        <v>157</v>
      </c>
      <c r="B173" s="2" t="s">
        <v>406</v>
      </c>
      <c r="C173" s="2" t="s">
        <v>407</v>
      </c>
      <c r="D173" s="2" t="s">
        <v>408</v>
      </c>
      <c r="E173" s="11">
        <v>37</v>
      </c>
      <c r="F173" s="2" t="s">
        <v>4518</v>
      </c>
      <c r="G173" s="7">
        <v>1134348.19</v>
      </c>
      <c r="H173" s="2">
        <v>3</v>
      </c>
      <c r="I173" s="7">
        <f t="shared" si="6"/>
        <v>3403044.57</v>
      </c>
      <c r="J173" s="7">
        <f t="shared" si="7"/>
        <v>612548.02259999991</v>
      </c>
      <c r="K173" s="7">
        <f t="shared" si="8"/>
        <v>4015592.5925999996</v>
      </c>
    </row>
    <row r="174" spans="1:11" ht="15" customHeight="1" x14ac:dyDescent="0.3">
      <c r="A174" s="2">
        <v>158</v>
      </c>
      <c r="B174" s="2" t="s">
        <v>467</v>
      </c>
      <c r="C174" s="2" t="s">
        <v>468</v>
      </c>
      <c r="D174" s="2" t="s">
        <v>469</v>
      </c>
      <c r="E174" s="11">
        <v>42</v>
      </c>
      <c r="F174" s="2" t="s">
        <v>4518</v>
      </c>
      <c r="G174" s="7">
        <v>1134348.19</v>
      </c>
      <c r="H174" s="2">
        <v>3</v>
      </c>
      <c r="I174" s="7">
        <f t="shared" si="6"/>
        <v>3403044.57</v>
      </c>
      <c r="J174" s="7">
        <f t="shared" si="7"/>
        <v>612548.02259999991</v>
      </c>
      <c r="K174" s="7">
        <f t="shared" si="8"/>
        <v>4015592.5925999996</v>
      </c>
    </row>
    <row r="175" spans="1:11" ht="15" customHeight="1" x14ac:dyDescent="0.3">
      <c r="A175" s="2">
        <v>159</v>
      </c>
      <c r="B175" s="2" t="s">
        <v>229</v>
      </c>
      <c r="C175" s="2" t="s">
        <v>230</v>
      </c>
      <c r="D175" s="2" t="s">
        <v>231</v>
      </c>
      <c r="E175" s="11">
        <v>53</v>
      </c>
      <c r="F175" s="2" t="s">
        <v>4518</v>
      </c>
      <c r="G175" s="7">
        <v>1378440.92</v>
      </c>
      <c r="H175" s="2">
        <v>3</v>
      </c>
      <c r="I175" s="7">
        <f t="shared" si="6"/>
        <v>4135322.76</v>
      </c>
      <c r="J175" s="7">
        <f t="shared" si="7"/>
        <v>744358.09679999994</v>
      </c>
      <c r="K175" s="7">
        <f t="shared" si="8"/>
        <v>4879680.8567999993</v>
      </c>
    </row>
    <row r="176" spans="1:11" ht="15" customHeight="1" x14ac:dyDescent="0.3">
      <c r="A176" s="2">
        <v>160</v>
      </c>
      <c r="B176" s="2" t="s">
        <v>421</v>
      </c>
      <c r="C176" s="2" t="s">
        <v>422</v>
      </c>
      <c r="D176" s="2" t="s">
        <v>423</v>
      </c>
      <c r="E176" s="11">
        <v>64</v>
      </c>
      <c r="F176" s="2" t="s">
        <v>4518</v>
      </c>
      <c r="G176" s="7">
        <v>1378440.92</v>
      </c>
      <c r="H176" s="2">
        <v>3</v>
      </c>
      <c r="I176" s="7">
        <f t="shared" si="6"/>
        <v>4135322.76</v>
      </c>
      <c r="J176" s="7">
        <f t="shared" si="7"/>
        <v>744358.09679999994</v>
      </c>
      <c r="K176" s="7">
        <f t="shared" si="8"/>
        <v>4879680.8567999993</v>
      </c>
    </row>
    <row r="177" spans="1:11" ht="15" customHeight="1" x14ac:dyDescent="0.3">
      <c r="A177" s="2">
        <v>161</v>
      </c>
      <c r="B177" s="2" t="s">
        <v>424</v>
      </c>
      <c r="C177" s="2" t="s">
        <v>425</v>
      </c>
      <c r="D177" s="2" t="s">
        <v>426</v>
      </c>
      <c r="E177" s="11">
        <v>66</v>
      </c>
      <c r="F177" s="2" t="s">
        <v>4518</v>
      </c>
      <c r="G177" s="7">
        <v>1378440.92</v>
      </c>
      <c r="H177" s="2">
        <v>3</v>
      </c>
      <c r="I177" s="7">
        <f t="shared" si="6"/>
        <v>4135322.76</v>
      </c>
      <c r="J177" s="7">
        <f t="shared" si="7"/>
        <v>744358.09679999994</v>
      </c>
      <c r="K177" s="7">
        <f t="shared" si="8"/>
        <v>4879680.8567999993</v>
      </c>
    </row>
    <row r="178" spans="1:11" ht="15" customHeight="1" x14ac:dyDescent="0.3">
      <c r="A178" s="2">
        <v>162</v>
      </c>
      <c r="B178" s="2" t="s">
        <v>193</v>
      </c>
      <c r="C178" s="2" t="s">
        <v>194</v>
      </c>
      <c r="D178" s="2" t="s">
        <v>195</v>
      </c>
      <c r="E178" s="11">
        <v>65</v>
      </c>
      <c r="F178" s="2" t="s">
        <v>4518</v>
      </c>
      <c r="G178" s="7">
        <v>1378440.92</v>
      </c>
      <c r="H178" s="2">
        <v>3</v>
      </c>
      <c r="I178" s="7">
        <f t="shared" si="6"/>
        <v>4135322.76</v>
      </c>
      <c r="J178" s="7">
        <f t="shared" si="7"/>
        <v>744358.09679999994</v>
      </c>
      <c r="K178" s="7">
        <f t="shared" si="8"/>
        <v>4879680.8567999993</v>
      </c>
    </row>
    <row r="179" spans="1:11" ht="15" customHeight="1" x14ac:dyDescent="0.3">
      <c r="A179" s="2">
        <v>163</v>
      </c>
      <c r="B179" s="2" t="s">
        <v>502</v>
      </c>
      <c r="C179" s="2" t="s">
        <v>503</v>
      </c>
      <c r="D179" s="2" t="s">
        <v>504</v>
      </c>
      <c r="E179" s="11">
        <v>49</v>
      </c>
      <c r="F179" s="2" t="s">
        <v>4518</v>
      </c>
      <c r="G179" s="7">
        <v>1134348.19</v>
      </c>
      <c r="H179" s="2">
        <v>3</v>
      </c>
      <c r="I179" s="7">
        <f t="shared" si="6"/>
        <v>3403044.57</v>
      </c>
      <c r="J179" s="7">
        <f t="shared" si="7"/>
        <v>612548.02259999991</v>
      </c>
      <c r="K179" s="7">
        <f t="shared" si="8"/>
        <v>4015592.5925999996</v>
      </c>
    </row>
    <row r="180" spans="1:11" ht="15" customHeight="1" x14ac:dyDescent="0.3">
      <c r="A180" s="2">
        <v>164</v>
      </c>
      <c r="B180" s="2" t="s">
        <v>391</v>
      </c>
      <c r="C180" s="2" t="s">
        <v>392</v>
      </c>
      <c r="D180" s="2" t="s">
        <v>393</v>
      </c>
      <c r="E180" s="11">
        <v>63</v>
      </c>
      <c r="F180" s="2" t="s">
        <v>4518</v>
      </c>
      <c r="G180" s="7">
        <v>1378440.92</v>
      </c>
      <c r="H180" s="2">
        <v>3</v>
      </c>
      <c r="I180" s="7">
        <f t="shared" si="6"/>
        <v>4135322.76</v>
      </c>
      <c r="J180" s="7">
        <f t="shared" si="7"/>
        <v>744358.09679999994</v>
      </c>
      <c r="K180" s="7">
        <f t="shared" si="8"/>
        <v>4879680.8567999993</v>
      </c>
    </row>
    <row r="181" spans="1:11" ht="15" customHeight="1" x14ac:dyDescent="0.3">
      <c r="A181" s="2">
        <v>165</v>
      </c>
      <c r="B181" s="2" t="s">
        <v>341</v>
      </c>
      <c r="C181" s="2" t="s">
        <v>342</v>
      </c>
      <c r="D181" s="2" t="s">
        <v>343</v>
      </c>
      <c r="E181" s="11">
        <v>53</v>
      </c>
      <c r="F181" s="2" t="s">
        <v>4518</v>
      </c>
      <c r="G181" s="7">
        <v>1378440.92</v>
      </c>
      <c r="H181" s="2">
        <v>3</v>
      </c>
      <c r="I181" s="7">
        <f t="shared" si="6"/>
        <v>4135322.76</v>
      </c>
      <c r="J181" s="7">
        <f t="shared" si="7"/>
        <v>744358.09679999994</v>
      </c>
      <c r="K181" s="7">
        <f t="shared" si="8"/>
        <v>4879680.8567999993</v>
      </c>
    </row>
    <row r="182" spans="1:11" ht="15" customHeight="1" x14ac:dyDescent="0.3">
      <c r="A182" s="2">
        <v>166</v>
      </c>
      <c r="B182" s="2" t="s">
        <v>250</v>
      </c>
      <c r="C182" s="2" t="s">
        <v>251</v>
      </c>
      <c r="D182" s="2" t="s">
        <v>252</v>
      </c>
      <c r="E182" s="11">
        <v>54</v>
      </c>
      <c r="F182" s="2" t="s">
        <v>4518</v>
      </c>
      <c r="G182" s="7">
        <v>1378440.92</v>
      </c>
      <c r="H182" s="2">
        <v>3</v>
      </c>
      <c r="I182" s="7">
        <f t="shared" si="6"/>
        <v>4135322.76</v>
      </c>
      <c r="J182" s="7">
        <f t="shared" si="7"/>
        <v>744358.09679999994</v>
      </c>
      <c r="K182" s="7">
        <f t="shared" si="8"/>
        <v>4879680.8567999993</v>
      </c>
    </row>
    <row r="183" spans="1:11" ht="15" customHeight="1" x14ac:dyDescent="0.3">
      <c r="A183" s="2">
        <v>167</v>
      </c>
      <c r="B183" s="2" t="s">
        <v>173</v>
      </c>
      <c r="C183" s="2" t="s">
        <v>174</v>
      </c>
      <c r="D183" s="2" t="s">
        <v>175</v>
      </c>
      <c r="E183" s="11">
        <v>64</v>
      </c>
      <c r="F183" s="2" t="s">
        <v>4518</v>
      </c>
      <c r="G183" s="7">
        <v>1378440.92</v>
      </c>
      <c r="H183" s="2">
        <v>3</v>
      </c>
      <c r="I183" s="7">
        <f t="shared" si="6"/>
        <v>4135322.76</v>
      </c>
      <c r="J183" s="7">
        <f t="shared" si="7"/>
        <v>744358.09679999994</v>
      </c>
      <c r="K183" s="7">
        <f t="shared" si="8"/>
        <v>4879680.8567999993</v>
      </c>
    </row>
    <row r="184" spans="1:11" ht="15" customHeight="1" x14ac:dyDescent="0.3">
      <c r="A184" s="2">
        <v>168</v>
      </c>
      <c r="B184" s="2" t="s">
        <v>280</v>
      </c>
      <c r="C184" s="2" t="s">
        <v>281</v>
      </c>
      <c r="D184" s="2" t="s">
        <v>282</v>
      </c>
      <c r="E184" s="11">
        <v>52</v>
      </c>
      <c r="F184" s="2" t="s">
        <v>4518</v>
      </c>
      <c r="G184" s="7">
        <v>1378440.92</v>
      </c>
      <c r="H184" s="2">
        <v>3</v>
      </c>
      <c r="I184" s="7">
        <f t="shared" si="6"/>
        <v>4135322.76</v>
      </c>
      <c r="J184" s="7">
        <f t="shared" si="7"/>
        <v>744358.09679999994</v>
      </c>
      <c r="K184" s="7">
        <f t="shared" si="8"/>
        <v>4879680.8567999993</v>
      </c>
    </row>
    <row r="185" spans="1:11" ht="15" customHeight="1" x14ac:dyDescent="0.3">
      <c r="A185" s="2">
        <v>169</v>
      </c>
      <c r="B185" s="2" t="s">
        <v>220</v>
      </c>
      <c r="C185" s="2" t="s">
        <v>221</v>
      </c>
      <c r="D185" s="2" t="s">
        <v>222</v>
      </c>
      <c r="E185" s="11">
        <v>61</v>
      </c>
      <c r="F185" s="2" t="s">
        <v>4518</v>
      </c>
      <c r="G185" s="7">
        <v>1378440.92</v>
      </c>
      <c r="H185" s="2">
        <v>3</v>
      </c>
      <c r="I185" s="7">
        <f t="shared" si="6"/>
        <v>4135322.76</v>
      </c>
      <c r="J185" s="7">
        <f t="shared" si="7"/>
        <v>744358.09679999994</v>
      </c>
      <c r="K185" s="7">
        <f t="shared" si="8"/>
        <v>4879680.8567999993</v>
      </c>
    </row>
    <row r="186" spans="1:11" ht="15" customHeight="1" x14ac:dyDescent="0.3">
      <c r="A186" s="2">
        <v>170</v>
      </c>
      <c r="B186" s="2" t="s">
        <v>147</v>
      </c>
      <c r="C186" s="2" t="s">
        <v>148</v>
      </c>
      <c r="D186" s="2" t="s">
        <v>149</v>
      </c>
      <c r="E186" s="11">
        <v>65.5</v>
      </c>
      <c r="F186" s="2" t="s">
        <v>4518</v>
      </c>
      <c r="G186" s="7">
        <v>1378440.92</v>
      </c>
      <c r="H186" s="2">
        <v>3</v>
      </c>
      <c r="I186" s="7">
        <f t="shared" si="6"/>
        <v>4135322.76</v>
      </c>
      <c r="J186" s="7">
        <f t="shared" si="7"/>
        <v>744358.09679999994</v>
      </c>
      <c r="K186" s="7">
        <f t="shared" si="8"/>
        <v>4879680.8567999993</v>
      </c>
    </row>
    <row r="187" spans="1:11" ht="15" customHeight="1" x14ac:dyDescent="0.3">
      <c r="A187" s="2">
        <v>171</v>
      </c>
      <c r="B187" s="2" t="s">
        <v>71</v>
      </c>
      <c r="C187" s="2" t="s">
        <v>72</v>
      </c>
      <c r="D187" s="2" t="s">
        <v>73</v>
      </c>
      <c r="E187" s="11">
        <v>43</v>
      </c>
      <c r="F187" s="2" t="s">
        <v>4518</v>
      </c>
      <c r="G187" s="7">
        <v>1134348.19</v>
      </c>
      <c r="H187" s="2">
        <v>3</v>
      </c>
      <c r="I187" s="7">
        <f t="shared" si="6"/>
        <v>3403044.57</v>
      </c>
      <c r="J187" s="7">
        <f t="shared" si="7"/>
        <v>612548.02259999991</v>
      </c>
      <c r="K187" s="7">
        <f t="shared" si="8"/>
        <v>4015592.5925999996</v>
      </c>
    </row>
    <row r="188" spans="1:11" ht="15" customHeight="1" x14ac:dyDescent="0.3">
      <c r="A188" s="2">
        <v>172</v>
      </c>
      <c r="B188" s="2" t="s">
        <v>74</v>
      </c>
      <c r="C188" s="2" t="s">
        <v>75</v>
      </c>
      <c r="D188" s="2" t="s">
        <v>76</v>
      </c>
      <c r="E188" s="11">
        <v>40</v>
      </c>
      <c r="F188" s="2" t="s">
        <v>4518</v>
      </c>
      <c r="G188" s="7">
        <v>1134348.19</v>
      </c>
      <c r="H188" s="2">
        <v>3</v>
      </c>
      <c r="I188" s="7">
        <f t="shared" si="6"/>
        <v>3403044.57</v>
      </c>
      <c r="J188" s="7">
        <f t="shared" si="7"/>
        <v>612548.02259999991</v>
      </c>
      <c r="K188" s="7">
        <f t="shared" si="8"/>
        <v>4015592.5925999996</v>
      </c>
    </row>
    <row r="189" spans="1:11" ht="15" customHeight="1" x14ac:dyDescent="0.3">
      <c r="A189" s="2">
        <v>173</v>
      </c>
      <c r="B189" s="2" t="s">
        <v>47</v>
      </c>
      <c r="C189" s="2" t="s">
        <v>48</v>
      </c>
      <c r="D189" s="2" t="s">
        <v>49</v>
      </c>
      <c r="E189" s="11">
        <v>43</v>
      </c>
      <c r="F189" s="2" t="s">
        <v>4518</v>
      </c>
      <c r="G189" s="7">
        <v>1134348.19</v>
      </c>
      <c r="H189" s="2">
        <v>3</v>
      </c>
      <c r="I189" s="7">
        <f t="shared" si="6"/>
        <v>3403044.57</v>
      </c>
      <c r="J189" s="7">
        <f t="shared" si="7"/>
        <v>612548.02259999991</v>
      </c>
      <c r="K189" s="7">
        <f t="shared" si="8"/>
        <v>4015592.5925999996</v>
      </c>
    </row>
    <row r="190" spans="1:11" ht="15" customHeight="1" x14ac:dyDescent="0.3">
      <c r="A190" s="2">
        <v>174</v>
      </c>
      <c r="B190" s="2" t="s">
        <v>23</v>
      </c>
      <c r="C190" s="2" t="s">
        <v>24</v>
      </c>
      <c r="D190" s="2" t="s">
        <v>25</v>
      </c>
      <c r="E190" s="11">
        <v>45</v>
      </c>
      <c r="F190" s="2" t="s">
        <v>4518</v>
      </c>
      <c r="G190" s="7">
        <v>1134348.19</v>
      </c>
      <c r="H190" s="2">
        <v>3</v>
      </c>
      <c r="I190" s="7">
        <f t="shared" si="6"/>
        <v>3403044.57</v>
      </c>
      <c r="J190" s="7">
        <f t="shared" si="7"/>
        <v>612548.02259999991</v>
      </c>
      <c r="K190" s="7">
        <f t="shared" si="8"/>
        <v>4015592.5925999996</v>
      </c>
    </row>
    <row r="191" spans="1:11" ht="15" customHeight="1" x14ac:dyDescent="0.3">
      <c r="A191" s="2">
        <v>175</v>
      </c>
      <c r="B191" s="2" t="s">
        <v>796</v>
      </c>
      <c r="C191" s="2" t="s">
        <v>797</v>
      </c>
      <c r="D191" s="2" t="s">
        <v>798</v>
      </c>
      <c r="E191" s="11">
        <v>72</v>
      </c>
      <c r="F191" s="2" t="s">
        <v>4518</v>
      </c>
      <c r="G191" s="7">
        <v>1378440.92</v>
      </c>
      <c r="H191" s="2">
        <v>3</v>
      </c>
      <c r="I191" s="7">
        <f t="shared" si="6"/>
        <v>4135322.76</v>
      </c>
      <c r="J191" s="7">
        <f t="shared" si="7"/>
        <v>744358.09679999994</v>
      </c>
      <c r="K191" s="7">
        <f t="shared" si="8"/>
        <v>4879680.8567999993</v>
      </c>
    </row>
    <row r="192" spans="1:11" ht="15" customHeight="1" x14ac:dyDescent="0.3">
      <c r="A192" s="2">
        <v>176</v>
      </c>
      <c r="B192" s="2" t="s">
        <v>871</v>
      </c>
      <c r="C192" s="2" t="s">
        <v>872</v>
      </c>
      <c r="D192" s="2" t="s">
        <v>873</v>
      </c>
      <c r="E192" s="11">
        <v>72</v>
      </c>
      <c r="F192" s="2" t="s">
        <v>4518</v>
      </c>
      <c r="G192" s="7">
        <v>1378440.92</v>
      </c>
      <c r="H192" s="2">
        <v>3</v>
      </c>
      <c r="I192" s="7">
        <f t="shared" si="6"/>
        <v>4135322.76</v>
      </c>
      <c r="J192" s="7">
        <f t="shared" si="7"/>
        <v>744358.09679999994</v>
      </c>
      <c r="K192" s="7">
        <f t="shared" si="8"/>
        <v>4879680.8567999993</v>
      </c>
    </row>
    <row r="193" spans="1:11" ht="15" customHeight="1" x14ac:dyDescent="0.3">
      <c r="A193" s="2">
        <v>177</v>
      </c>
      <c r="B193" s="2" t="s">
        <v>837</v>
      </c>
      <c r="C193" s="2" t="s">
        <v>838</v>
      </c>
      <c r="D193" s="2" t="s">
        <v>839</v>
      </c>
      <c r="E193" s="11">
        <v>68</v>
      </c>
      <c r="F193" s="2" t="s">
        <v>4518</v>
      </c>
      <c r="G193" s="7">
        <v>1378440.92</v>
      </c>
      <c r="H193" s="2">
        <v>3</v>
      </c>
      <c r="I193" s="7">
        <f t="shared" si="6"/>
        <v>4135322.76</v>
      </c>
      <c r="J193" s="7">
        <f t="shared" si="7"/>
        <v>744358.09679999994</v>
      </c>
      <c r="K193" s="7">
        <f t="shared" si="8"/>
        <v>4879680.8567999993</v>
      </c>
    </row>
    <row r="194" spans="1:11" ht="15" customHeight="1" x14ac:dyDescent="0.3">
      <c r="A194" s="2">
        <v>178</v>
      </c>
      <c r="B194" s="2" t="s">
        <v>914</v>
      </c>
      <c r="C194" s="2" t="s">
        <v>915</v>
      </c>
      <c r="D194" s="2" t="s">
        <v>916</v>
      </c>
      <c r="E194" s="11">
        <v>68</v>
      </c>
      <c r="F194" s="2" t="s">
        <v>4518</v>
      </c>
      <c r="G194" s="7">
        <v>1378440.92</v>
      </c>
      <c r="H194" s="2">
        <v>3</v>
      </c>
      <c r="I194" s="7">
        <f t="shared" si="6"/>
        <v>4135322.76</v>
      </c>
      <c r="J194" s="7">
        <f t="shared" si="7"/>
        <v>744358.09679999994</v>
      </c>
      <c r="K194" s="7">
        <f t="shared" si="8"/>
        <v>4879680.8567999993</v>
      </c>
    </row>
    <row r="195" spans="1:11" ht="15" customHeight="1" x14ac:dyDescent="0.3">
      <c r="A195" s="2">
        <v>179</v>
      </c>
      <c r="B195" s="2" t="s">
        <v>539</v>
      </c>
      <c r="C195" s="2" t="s">
        <v>540</v>
      </c>
      <c r="D195" s="2" t="s">
        <v>541</v>
      </c>
      <c r="E195" s="11">
        <v>69</v>
      </c>
      <c r="F195" s="2" t="s">
        <v>4518</v>
      </c>
      <c r="G195" s="7">
        <v>1378440.92</v>
      </c>
      <c r="H195" s="2">
        <v>3</v>
      </c>
      <c r="I195" s="7">
        <f t="shared" si="6"/>
        <v>4135322.76</v>
      </c>
      <c r="J195" s="7">
        <f t="shared" si="7"/>
        <v>744358.09679999994</v>
      </c>
      <c r="K195" s="7">
        <f t="shared" si="8"/>
        <v>4879680.8567999993</v>
      </c>
    </row>
    <row r="196" spans="1:11" ht="15" customHeight="1" x14ac:dyDescent="0.3">
      <c r="A196" s="2">
        <v>180</v>
      </c>
      <c r="B196" s="2" t="s">
        <v>370</v>
      </c>
      <c r="C196" s="2" t="s">
        <v>371</v>
      </c>
      <c r="D196" s="2" t="s">
        <v>372</v>
      </c>
      <c r="E196" s="11">
        <v>53</v>
      </c>
      <c r="F196" s="2" t="s">
        <v>4518</v>
      </c>
      <c r="G196" s="7">
        <v>1378440.92</v>
      </c>
      <c r="H196" s="2">
        <v>3</v>
      </c>
      <c r="I196" s="7">
        <f t="shared" si="6"/>
        <v>4135322.76</v>
      </c>
      <c r="J196" s="7">
        <f t="shared" si="7"/>
        <v>744358.09679999994</v>
      </c>
      <c r="K196" s="7">
        <f t="shared" si="8"/>
        <v>4879680.8567999993</v>
      </c>
    </row>
    <row r="197" spans="1:11" ht="15" customHeight="1" x14ac:dyDescent="0.3">
      <c r="A197" s="2">
        <v>181</v>
      </c>
      <c r="B197" s="2" t="s">
        <v>214</v>
      </c>
      <c r="C197" s="2" t="s">
        <v>215</v>
      </c>
      <c r="D197" s="2" t="s">
        <v>216</v>
      </c>
      <c r="E197" s="11">
        <v>52</v>
      </c>
      <c r="F197" s="2" t="s">
        <v>4518</v>
      </c>
      <c r="G197" s="7">
        <v>1378440.92</v>
      </c>
      <c r="H197" s="2">
        <v>3</v>
      </c>
      <c r="I197" s="7">
        <f t="shared" si="6"/>
        <v>4135322.76</v>
      </c>
      <c r="J197" s="7">
        <f t="shared" si="7"/>
        <v>744358.09679999994</v>
      </c>
      <c r="K197" s="7">
        <f t="shared" si="8"/>
        <v>4879680.8567999993</v>
      </c>
    </row>
    <row r="198" spans="1:11" ht="15" customHeight="1" x14ac:dyDescent="0.3">
      <c r="A198" s="2">
        <v>182</v>
      </c>
      <c r="B198" s="2" t="s">
        <v>44</v>
      </c>
      <c r="C198" s="2" t="s">
        <v>45</v>
      </c>
      <c r="D198" s="2" t="s">
        <v>46</v>
      </c>
      <c r="E198" s="11">
        <v>28</v>
      </c>
      <c r="F198" s="2" t="s">
        <v>4518</v>
      </c>
      <c r="G198" s="7">
        <v>960335.62</v>
      </c>
      <c r="H198" s="2">
        <v>3</v>
      </c>
      <c r="I198" s="7">
        <f t="shared" si="6"/>
        <v>2881006.86</v>
      </c>
      <c r="J198" s="7">
        <f t="shared" si="7"/>
        <v>518581.23479999998</v>
      </c>
      <c r="K198" s="7">
        <f t="shared" si="8"/>
        <v>3399588.0948000001</v>
      </c>
    </row>
    <row r="199" spans="1:11" ht="15" customHeight="1" x14ac:dyDescent="0.3">
      <c r="A199" s="2">
        <v>183</v>
      </c>
      <c r="B199" s="2" t="s">
        <v>196</v>
      </c>
      <c r="C199" s="2" t="s">
        <v>197</v>
      </c>
      <c r="D199" s="2" t="s">
        <v>198</v>
      </c>
      <c r="E199" s="11">
        <v>47</v>
      </c>
      <c r="F199" s="2" t="s">
        <v>4518</v>
      </c>
      <c r="G199" s="7">
        <v>1134348.19</v>
      </c>
      <c r="H199" s="2">
        <v>3</v>
      </c>
      <c r="I199" s="7">
        <f t="shared" si="6"/>
        <v>3403044.57</v>
      </c>
      <c r="J199" s="7">
        <f t="shared" si="7"/>
        <v>612548.02259999991</v>
      </c>
      <c r="K199" s="7">
        <f t="shared" si="8"/>
        <v>4015592.5925999996</v>
      </c>
    </row>
    <row r="200" spans="1:11" ht="15" customHeight="1" x14ac:dyDescent="0.3">
      <c r="A200" s="2">
        <v>184</v>
      </c>
      <c r="B200" s="2" t="s">
        <v>150</v>
      </c>
      <c r="C200" s="2" t="s">
        <v>151</v>
      </c>
      <c r="D200" s="2" t="s">
        <v>152</v>
      </c>
      <c r="E200" s="11">
        <v>70</v>
      </c>
      <c r="F200" s="2" t="s">
        <v>4518</v>
      </c>
      <c r="G200" s="7">
        <v>1378440.92</v>
      </c>
      <c r="H200" s="2">
        <v>3</v>
      </c>
      <c r="I200" s="7">
        <f t="shared" si="6"/>
        <v>4135322.76</v>
      </c>
      <c r="J200" s="7">
        <f t="shared" si="7"/>
        <v>744358.09679999994</v>
      </c>
      <c r="K200" s="7">
        <f t="shared" si="8"/>
        <v>4879680.8567999993</v>
      </c>
    </row>
    <row r="201" spans="1:11" ht="15" customHeight="1" x14ac:dyDescent="0.3">
      <c r="A201" s="2">
        <v>185</v>
      </c>
      <c r="B201" s="2" t="s">
        <v>211</v>
      </c>
      <c r="C201" s="2" t="s">
        <v>212</v>
      </c>
      <c r="D201" s="2" t="s">
        <v>213</v>
      </c>
      <c r="E201" s="11">
        <v>70</v>
      </c>
      <c r="F201" s="2" t="s">
        <v>4518</v>
      </c>
      <c r="G201" s="7">
        <v>1378440.92</v>
      </c>
      <c r="H201" s="2">
        <v>3</v>
      </c>
      <c r="I201" s="7">
        <f t="shared" si="6"/>
        <v>4135322.76</v>
      </c>
      <c r="J201" s="7">
        <f t="shared" si="7"/>
        <v>744358.09679999994</v>
      </c>
      <c r="K201" s="7">
        <f t="shared" si="8"/>
        <v>4879680.8567999993</v>
      </c>
    </row>
    <row r="202" spans="1:11" ht="15" customHeight="1" x14ac:dyDescent="0.3">
      <c r="A202" s="2">
        <v>186</v>
      </c>
      <c r="B202" s="2" t="s">
        <v>2830</v>
      </c>
      <c r="C202" s="2" t="s">
        <v>2831</v>
      </c>
      <c r="D202" s="2" t="s">
        <v>2832</v>
      </c>
      <c r="E202" s="11">
        <v>68</v>
      </c>
      <c r="F202" s="2" t="s">
        <v>4518</v>
      </c>
      <c r="G202" s="7">
        <v>1378440.92</v>
      </c>
      <c r="H202" s="2">
        <v>3</v>
      </c>
      <c r="I202" s="7">
        <f t="shared" si="6"/>
        <v>4135322.76</v>
      </c>
      <c r="J202" s="7">
        <f t="shared" si="7"/>
        <v>744358.09679999994</v>
      </c>
      <c r="K202" s="7">
        <f t="shared" si="8"/>
        <v>4879680.8567999993</v>
      </c>
    </row>
    <row r="203" spans="1:11" ht="15" customHeight="1" x14ac:dyDescent="0.3">
      <c r="A203" s="2">
        <v>187</v>
      </c>
      <c r="B203" s="2" t="s">
        <v>710</v>
      </c>
      <c r="C203" s="2" t="s">
        <v>711</v>
      </c>
      <c r="D203" s="2" t="s">
        <v>712</v>
      </c>
      <c r="E203" s="11">
        <v>69</v>
      </c>
      <c r="F203" s="2" t="s">
        <v>4518</v>
      </c>
      <c r="G203" s="7">
        <v>1378440.92</v>
      </c>
      <c r="H203" s="2">
        <v>3</v>
      </c>
      <c r="I203" s="7">
        <f t="shared" si="6"/>
        <v>4135322.76</v>
      </c>
      <c r="J203" s="7">
        <f t="shared" si="7"/>
        <v>744358.09679999994</v>
      </c>
      <c r="K203" s="7">
        <f t="shared" si="8"/>
        <v>4879680.8567999993</v>
      </c>
    </row>
    <row r="204" spans="1:11" ht="15" customHeight="1" x14ac:dyDescent="0.3">
      <c r="A204" s="2">
        <v>188</v>
      </c>
      <c r="B204" s="2" t="s">
        <v>277</v>
      </c>
      <c r="C204" s="2" t="s">
        <v>278</v>
      </c>
      <c r="D204" s="2" t="s">
        <v>279</v>
      </c>
      <c r="E204" s="11">
        <v>51</v>
      </c>
      <c r="F204" s="2" t="s">
        <v>4518</v>
      </c>
      <c r="G204" s="7">
        <v>1378440.92</v>
      </c>
      <c r="H204" s="2">
        <v>3</v>
      </c>
      <c r="I204" s="7">
        <f t="shared" si="6"/>
        <v>4135322.76</v>
      </c>
      <c r="J204" s="7">
        <f t="shared" si="7"/>
        <v>744358.09679999994</v>
      </c>
      <c r="K204" s="7">
        <f t="shared" si="8"/>
        <v>4879680.8567999993</v>
      </c>
    </row>
    <row r="205" spans="1:11" ht="15" customHeight="1" x14ac:dyDescent="0.3">
      <c r="A205" s="2">
        <v>189</v>
      </c>
      <c r="B205" s="2" t="s">
        <v>385</v>
      </c>
      <c r="C205" s="2" t="s">
        <v>386</v>
      </c>
      <c r="D205" s="2" t="s">
        <v>387</v>
      </c>
      <c r="E205" s="11">
        <v>68</v>
      </c>
      <c r="F205" s="2" t="s">
        <v>4518</v>
      </c>
      <c r="G205" s="7">
        <v>1378440.92</v>
      </c>
      <c r="H205" s="2">
        <v>3</v>
      </c>
      <c r="I205" s="7">
        <f t="shared" si="6"/>
        <v>4135322.76</v>
      </c>
      <c r="J205" s="7">
        <f t="shared" si="7"/>
        <v>744358.09679999994</v>
      </c>
      <c r="K205" s="7">
        <f t="shared" si="8"/>
        <v>4879680.8567999993</v>
      </c>
    </row>
    <row r="206" spans="1:11" ht="15" customHeight="1" x14ac:dyDescent="0.3">
      <c r="A206" s="2">
        <v>190</v>
      </c>
      <c r="B206" s="2" t="s">
        <v>394</v>
      </c>
      <c r="C206" s="2" t="s">
        <v>395</v>
      </c>
      <c r="D206" s="2" t="s">
        <v>396</v>
      </c>
      <c r="E206" s="11">
        <v>55</v>
      </c>
      <c r="F206" s="2" t="s">
        <v>4518</v>
      </c>
      <c r="G206" s="7">
        <v>1378440.92</v>
      </c>
      <c r="H206" s="2">
        <v>3</v>
      </c>
      <c r="I206" s="7">
        <f t="shared" si="6"/>
        <v>4135322.76</v>
      </c>
      <c r="J206" s="7">
        <f t="shared" si="7"/>
        <v>744358.09679999994</v>
      </c>
      <c r="K206" s="7">
        <f t="shared" si="8"/>
        <v>4879680.8567999993</v>
      </c>
    </row>
    <row r="207" spans="1:11" ht="15" customHeight="1" x14ac:dyDescent="0.3">
      <c r="A207" s="2">
        <v>191</v>
      </c>
      <c r="B207" s="2" t="s">
        <v>397</v>
      </c>
      <c r="C207" s="2" t="s">
        <v>398</v>
      </c>
      <c r="D207" s="2" t="s">
        <v>399</v>
      </c>
      <c r="E207" s="11">
        <v>52</v>
      </c>
      <c r="F207" s="2" t="s">
        <v>4518</v>
      </c>
      <c r="G207" s="7">
        <v>1378440.92</v>
      </c>
      <c r="H207" s="2">
        <v>3</v>
      </c>
      <c r="I207" s="7">
        <f t="shared" si="6"/>
        <v>4135322.76</v>
      </c>
      <c r="J207" s="7">
        <f t="shared" si="7"/>
        <v>744358.09679999994</v>
      </c>
      <c r="K207" s="7">
        <f t="shared" si="8"/>
        <v>4879680.8567999993</v>
      </c>
    </row>
    <row r="208" spans="1:11" ht="15" customHeight="1" x14ac:dyDescent="0.3">
      <c r="A208" s="2">
        <v>192</v>
      </c>
      <c r="B208" s="2" t="s">
        <v>485</v>
      </c>
      <c r="C208" s="2" t="s">
        <v>486</v>
      </c>
      <c r="D208" s="2" t="s">
        <v>487</v>
      </c>
      <c r="E208" s="11">
        <v>50</v>
      </c>
      <c r="F208" s="2" t="s">
        <v>4518</v>
      </c>
      <c r="G208" s="7">
        <v>1378440.92</v>
      </c>
      <c r="H208" s="2">
        <v>3</v>
      </c>
      <c r="I208" s="7">
        <f t="shared" si="6"/>
        <v>4135322.76</v>
      </c>
      <c r="J208" s="7">
        <f t="shared" si="7"/>
        <v>744358.09679999994</v>
      </c>
      <c r="K208" s="7">
        <f t="shared" si="8"/>
        <v>4879680.8567999993</v>
      </c>
    </row>
    <row r="209" spans="1:11" ht="15" customHeight="1" x14ac:dyDescent="0.3">
      <c r="A209" s="2">
        <v>193</v>
      </c>
      <c r="B209" s="2" t="s">
        <v>350</v>
      </c>
      <c r="C209" s="2" t="s">
        <v>351</v>
      </c>
      <c r="D209" s="2" t="s">
        <v>352</v>
      </c>
      <c r="E209" s="11">
        <v>68</v>
      </c>
      <c r="F209" s="2" t="s">
        <v>4518</v>
      </c>
      <c r="G209" s="7">
        <v>1378440.92</v>
      </c>
      <c r="H209" s="2">
        <v>3</v>
      </c>
      <c r="I209" s="7">
        <f t="shared" si="6"/>
        <v>4135322.76</v>
      </c>
      <c r="J209" s="7">
        <f t="shared" si="7"/>
        <v>744358.09679999994</v>
      </c>
      <c r="K209" s="7">
        <f t="shared" si="8"/>
        <v>4879680.8567999993</v>
      </c>
    </row>
  </sheetData>
  <autoFilter ref="A16:K209" xr:uid="{00000000-0009-0000-0000-000006000000}"/>
  <conditionalFormatting sqref="B1:B1048576">
    <cfRule type="duplicateValues" dxfId="38" priority="1"/>
  </conditionalFormatting>
  <conditionalFormatting sqref="B1:B209">
    <cfRule type="duplicateValues" dxfId="37" priority="11257"/>
  </conditionalFormatting>
  <conditionalFormatting sqref="B1:B209">
    <cfRule type="duplicateValues" dxfId="36" priority="11258"/>
    <cfRule type="duplicateValues" dxfId="35" priority="11259"/>
  </conditionalFormatting>
  <conditionalFormatting sqref="C1:C209">
    <cfRule type="duplicateValues" dxfId="34" priority="11260"/>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41"/>
  <sheetViews>
    <sheetView topLeftCell="A6" zoomScale="81" zoomScaleNormal="80" workbookViewId="0">
      <selection activeCell="I11" sqref="I11"/>
    </sheetView>
  </sheetViews>
  <sheetFormatPr baseColWidth="10" defaultColWidth="9.109375" defaultRowHeight="14.4" x14ac:dyDescent="0.3"/>
  <cols>
    <col min="2" max="2" width="21.44140625" bestFit="1" customWidth="1"/>
    <col min="3" max="3" width="21.44140625" customWidth="1"/>
    <col min="4" max="4" width="30.33203125" bestFit="1" customWidth="1"/>
    <col min="5" max="5" width="48.44140625" customWidth="1"/>
    <col min="6" max="6" width="17.44140625" bestFit="1" customWidth="1"/>
    <col min="7" max="7" width="28.33203125" customWidth="1"/>
    <col min="8" max="8" width="25.5546875" bestFit="1" customWidth="1"/>
    <col min="9" max="9" width="17.6640625" bestFit="1" customWidth="1"/>
    <col min="10" max="10" width="19.88671875" customWidth="1"/>
    <col min="11" max="11" width="15.88671875" customWidth="1"/>
    <col min="12" max="12" width="26.109375" customWidth="1"/>
  </cols>
  <sheetData>
    <row r="1" spans="1:12" x14ac:dyDescent="0.3">
      <c r="H1" s="1" t="s">
        <v>4876</v>
      </c>
    </row>
    <row r="2" spans="1:12" x14ac:dyDescent="0.3">
      <c r="E2" t="s">
        <v>3</v>
      </c>
      <c r="G2" s="2"/>
      <c r="H2" s="2">
        <f>COUNTIF(G$17:G$141,$H$1)</f>
        <v>125</v>
      </c>
    </row>
    <row r="3" spans="1:12" x14ac:dyDescent="0.3">
      <c r="G3" s="2"/>
      <c r="H3" s="3">
        <f>SUMIF($G$17:$G$141,"ATHENA 2",$H$17:$H$141)</f>
        <v>136884308.77000019</v>
      </c>
    </row>
    <row r="4" spans="1:12" x14ac:dyDescent="0.3">
      <c r="H4" s="4"/>
    </row>
    <row r="5" spans="1:12" ht="15" thickBot="1" x14ac:dyDescent="0.35">
      <c r="G5" s="5" t="s">
        <v>4</v>
      </c>
      <c r="H5" s="6"/>
    </row>
    <row r="6" spans="1:12" x14ac:dyDescent="0.3">
      <c r="G6" s="59" t="s">
        <v>4949</v>
      </c>
      <c r="H6" s="61" t="s">
        <v>4951</v>
      </c>
      <c r="I6" s="58"/>
    </row>
    <row r="7" spans="1:12" x14ac:dyDescent="0.3">
      <c r="G7" s="39" t="s">
        <v>4950</v>
      </c>
      <c r="H7" s="42">
        <v>0.18</v>
      </c>
    </row>
    <row r="8" spans="1:12" ht="18.75" customHeight="1" x14ac:dyDescent="0.3">
      <c r="G8" s="39" t="s">
        <v>4959</v>
      </c>
      <c r="H8" s="43">
        <v>734195.19999999995</v>
      </c>
    </row>
    <row r="9" spans="1:12" ht="18.75" customHeight="1" x14ac:dyDescent="0.3">
      <c r="G9" s="40" t="s">
        <v>4952</v>
      </c>
      <c r="H9" s="43">
        <v>996804.06</v>
      </c>
    </row>
    <row r="10" spans="1:12" ht="18" customHeight="1" x14ac:dyDescent="0.3">
      <c r="F10" s="6"/>
      <c r="G10" s="40" t="s">
        <v>4953</v>
      </c>
      <c r="H10" s="274">
        <v>1177424.7</v>
      </c>
    </row>
    <row r="11" spans="1:12" ht="18.75" customHeight="1" x14ac:dyDescent="0.3">
      <c r="F11" s="6"/>
      <c r="G11" s="40" t="s">
        <v>4954</v>
      </c>
      <c r="H11" s="43">
        <v>1430786.78</v>
      </c>
    </row>
    <row r="12" spans="1:12" ht="18" customHeight="1" x14ac:dyDescent="0.3">
      <c r="D12" s="49"/>
      <c r="F12" s="6"/>
      <c r="G12" s="41" t="s">
        <v>4955</v>
      </c>
      <c r="H12" s="43">
        <v>2006301.73</v>
      </c>
      <c r="I12" s="9"/>
      <c r="J12" s="9"/>
    </row>
    <row r="13" spans="1:12" x14ac:dyDescent="0.3">
      <c r="E13" s="45" t="s">
        <v>5257</v>
      </c>
      <c r="F13" s="6"/>
      <c r="G13" s="60" t="s">
        <v>4956</v>
      </c>
      <c r="H13" s="43">
        <v>2454714.77</v>
      </c>
    </row>
    <row r="14" spans="1:12" x14ac:dyDescent="0.3">
      <c r="H14" s="9"/>
    </row>
    <row r="15" spans="1:12" s="6" customFormat="1" ht="16.5" customHeight="1" x14ac:dyDescent="0.3">
      <c r="H15" s="6">
        <f>SUBTOTAL(9,H17:H141)</f>
        <v>136884308.77000019</v>
      </c>
      <c r="J15" s="44">
        <f>SUBTOTAL(9,J17:J141)</f>
        <v>410652926.31000048</v>
      </c>
      <c r="K15" s="44">
        <f>SUBTOTAL(9,K17:K141)</f>
        <v>73917526.735799998</v>
      </c>
      <c r="L15" s="44">
        <f>SUBTOTAL(9,L17:L141)</f>
        <v>484570453.04579985</v>
      </c>
    </row>
    <row r="16" spans="1:12" s="5" customFormat="1" ht="16.5" customHeight="1" x14ac:dyDescent="0.3">
      <c r="A16" s="10" t="s">
        <v>5</v>
      </c>
      <c r="B16" s="10" t="s">
        <v>6</v>
      </c>
      <c r="C16" s="10"/>
      <c r="D16" s="10" t="s">
        <v>7</v>
      </c>
      <c r="E16" s="10" t="s">
        <v>8</v>
      </c>
      <c r="F16" s="10" t="s">
        <v>9</v>
      </c>
      <c r="G16" s="10" t="s">
        <v>10</v>
      </c>
      <c r="H16" s="10" t="s">
        <v>4876</v>
      </c>
      <c r="I16" s="10" t="s">
        <v>4504</v>
      </c>
      <c r="J16" s="24" t="s">
        <v>4505</v>
      </c>
      <c r="K16" s="24" t="s">
        <v>4506</v>
      </c>
      <c r="L16" s="14" t="s">
        <v>5272</v>
      </c>
    </row>
    <row r="17" spans="1:12" ht="15" customHeight="1" x14ac:dyDescent="0.3">
      <c r="A17" s="2">
        <v>1</v>
      </c>
      <c r="B17" s="2" t="s">
        <v>4707</v>
      </c>
      <c r="C17" s="2" t="s">
        <v>4795</v>
      </c>
      <c r="D17" s="2" t="s">
        <v>4619</v>
      </c>
      <c r="E17" s="2" t="s">
        <v>4795</v>
      </c>
      <c r="F17" s="11">
        <v>26.5</v>
      </c>
      <c r="G17" s="2" t="s">
        <v>4876</v>
      </c>
      <c r="H17" s="7">
        <v>996804.06</v>
      </c>
      <c r="I17" s="2">
        <v>3</v>
      </c>
      <c r="J17" s="52">
        <f>+H17*I17</f>
        <v>2990412.18</v>
      </c>
      <c r="K17" s="50">
        <f>+J17*0.18</f>
        <v>538274.19240000006</v>
      </c>
      <c r="L17" s="51">
        <f>+J17+K17</f>
        <v>3528686.3724000002</v>
      </c>
    </row>
    <row r="18" spans="1:12" ht="15" customHeight="1" x14ac:dyDescent="0.3">
      <c r="A18" s="2">
        <v>2</v>
      </c>
      <c r="B18" s="2" t="s">
        <v>4892</v>
      </c>
      <c r="C18" s="2" t="s">
        <v>4928</v>
      </c>
      <c r="D18" s="2"/>
      <c r="E18" s="2" t="s">
        <v>4928</v>
      </c>
      <c r="F18" s="11">
        <v>27</v>
      </c>
      <c r="G18" s="2" t="s">
        <v>4876</v>
      </c>
      <c r="H18" s="7">
        <v>996804.06</v>
      </c>
      <c r="I18" s="2">
        <v>3</v>
      </c>
      <c r="J18" s="52">
        <f t="shared" ref="J18:J81" si="0">+H18*I18</f>
        <v>2990412.18</v>
      </c>
      <c r="K18" s="50">
        <f t="shared" ref="K18:K81" si="1">+J18*0.18</f>
        <v>538274.19240000006</v>
      </c>
      <c r="L18" s="51">
        <f t="shared" ref="L18:L81" si="2">+J18+K18</f>
        <v>3528686.3724000002</v>
      </c>
    </row>
    <row r="19" spans="1:12" ht="15" customHeight="1" x14ac:dyDescent="0.3">
      <c r="A19" s="2">
        <v>3</v>
      </c>
      <c r="B19" s="2" t="s">
        <v>4708</v>
      </c>
      <c r="C19" s="2" t="s">
        <v>4796</v>
      </c>
      <c r="D19" s="2" t="s">
        <v>4620</v>
      </c>
      <c r="E19" s="2" t="s">
        <v>4796</v>
      </c>
      <c r="F19" s="11">
        <v>50</v>
      </c>
      <c r="G19" s="2" t="s">
        <v>4876</v>
      </c>
      <c r="H19" s="7">
        <v>1430786.78</v>
      </c>
      <c r="I19" s="2">
        <v>3</v>
      </c>
      <c r="J19" s="52">
        <f t="shared" si="0"/>
        <v>4292360.34</v>
      </c>
      <c r="K19" s="50">
        <f t="shared" si="1"/>
        <v>772624.86119999993</v>
      </c>
      <c r="L19" s="51">
        <f t="shared" si="2"/>
        <v>5064985.2012</v>
      </c>
    </row>
    <row r="20" spans="1:12" ht="15" customHeight="1" x14ac:dyDescent="0.3">
      <c r="A20" s="2">
        <v>4</v>
      </c>
      <c r="B20" s="2" t="s">
        <v>4911</v>
      </c>
      <c r="C20" s="2" t="s">
        <v>4947</v>
      </c>
      <c r="D20" s="2"/>
      <c r="E20" s="2" t="s">
        <v>4947</v>
      </c>
      <c r="F20" s="11">
        <v>13</v>
      </c>
      <c r="G20" s="2" t="s">
        <v>4876</v>
      </c>
      <c r="H20" s="7">
        <v>734195.19999999995</v>
      </c>
      <c r="I20" s="2">
        <v>3</v>
      </c>
      <c r="J20" s="52">
        <f t="shared" si="0"/>
        <v>2202585.5999999996</v>
      </c>
      <c r="K20" s="50">
        <f t="shared" si="1"/>
        <v>396465.40799999994</v>
      </c>
      <c r="L20" s="51">
        <f t="shared" si="2"/>
        <v>2599051.0079999994</v>
      </c>
    </row>
    <row r="21" spans="1:12" ht="15" customHeight="1" x14ac:dyDescent="0.3">
      <c r="A21" s="2">
        <v>5</v>
      </c>
      <c r="B21" s="2" t="s">
        <v>4901</v>
      </c>
      <c r="C21" s="2" t="s">
        <v>4937</v>
      </c>
      <c r="D21" s="2"/>
      <c r="E21" s="2" t="s">
        <v>4937</v>
      </c>
      <c r="F21" s="11">
        <v>52</v>
      </c>
      <c r="G21" s="2" t="s">
        <v>4876</v>
      </c>
      <c r="H21" s="7">
        <v>1430786.78</v>
      </c>
      <c r="I21" s="2">
        <v>3</v>
      </c>
      <c r="J21" s="52">
        <f t="shared" si="0"/>
        <v>4292360.34</v>
      </c>
      <c r="K21" s="50">
        <f t="shared" si="1"/>
        <v>772624.86119999993</v>
      </c>
      <c r="L21" s="51">
        <f t="shared" si="2"/>
        <v>5064985.2012</v>
      </c>
    </row>
    <row r="22" spans="1:12" ht="15" customHeight="1" x14ac:dyDescent="0.3">
      <c r="A22" s="2">
        <v>6</v>
      </c>
      <c r="B22" s="2" t="s">
        <v>4709</v>
      </c>
      <c r="C22" s="2" t="s">
        <v>4797</v>
      </c>
      <c r="D22" s="2" t="s">
        <v>4621</v>
      </c>
      <c r="E22" s="2" t="s">
        <v>4797</v>
      </c>
      <c r="F22" s="11">
        <v>35</v>
      </c>
      <c r="G22" s="2" t="s">
        <v>4876</v>
      </c>
      <c r="H22" s="7">
        <v>1177424.7</v>
      </c>
      <c r="I22" s="2">
        <v>3</v>
      </c>
      <c r="J22" s="52">
        <f t="shared" si="0"/>
        <v>3532274.0999999996</v>
      </c>
      <c r="K22" s="50">
        <f t="shared" si="1"/>
        <v>635809.33799999987</v>
      </c>
      <c r="L22" s="51">
        <f t="shared" si="2"/>
        <v>4168083.4379999996</v>
      </c>
    </row>
    <row r="23" spans="1:12" ht="15" customHeight="1" x14ac:dyDescent="0.3">
      <c r="A23" s="2">
        <v>7</v>
      </c>
      <c r="B23" s="2" t="s">
        <v>4710</v>
      </c>
      <c r="C23" s="2" t="s">
        <v>4798</v>
      </c>
      <c r="D23" s="2" t="s">
        <v>4622</v>
      </c>
      <c r="E23" s="2" t="s">
        <v>4798</v>
      </c>
      <c r="F23" s="11">
        <v>29</v>
      </c>
      <c r="G23" s="2" t="s">
        <v>4876</v>
      </c>
      <c r="H23" s="7">
        <v>996804.06</v>
      </c>
      <c r="I23" s="2">
        <v>3</v>
      </c>
      <c r="J23" s="52">
        <f t="shared" si="0"/>
        <v>2990412.18</v>
      </c>
      <c r="K23" s="50">
        <f t="shared" si="1"/>
        <v>538274.19240000006</v>
      </c>
      <c r="L23" s="51">
        <f t="shared" si="2"/>
        <v>3528686.3724000002</v>
      </c>
    </row>
    <row r="24" spans="1:12" ht="15" customHeight="1" x14ac:dyDescent="0.3">
      <c r="A24" s="2">
        <v>8</v>
      </c>
      <c r="B24" s="2" t="s">
        <v>4711</v>
      </c>
      <c r="C24" s="2" t="s">
        <v>4799</v>
      </c>
      <c r="D24" s="2" t="s">
        <v>4623</v>
      </c>
      <c r="E24" s="2" t="s">
        <v>4799</v>
      </c>
      <c r="F24" s="11">
        <v>31</v>
      </c>
      <c r="G24" s="2" t="s">
        <v>4876</v>
      </c>
      <c r="H24" s="7">
        <v>996804.06</v>
      </c>
      <c r="I24" s="2">
        <v>3</v>
      </c>
      <c r="J24" s="52">
        <f t="shared" si="0"/>
        <v>2990412.18</v>
      </c>
      <c r="K24" s="50">
        <f t="shared" si="1"/>
        <v>538274.19240000006</v>
      </c>
      <c r="L24" s="51">
        <f t="shared" si="2"/>
        <v>3528686.3724000002</v>
      </c>
    </row>
    <row r="25" spans="1:12" ht="15" customHeight="1" x14ac:dyDescent="0.3">
      <c r="A25" s="2">
        <v>9</v>
      </c>
      <c r="B25" s="2" t="s">
        <v>4712</v>
      </c>
      <c r="C25" s="2" t="s">
        <v>4800</v>
      </c>
      <c r="D25" s="2" t="s">
        <v>4624</v>
      </c>
      <c r="E25" s="2" t="s">
        <v>4800</v>
      </c>
      <c r="F25" s="11">
        <v>34</v>
      </c>
      <c r="G25" s="2" t="s">
        <v>4876</v>
      </c>
      <c r="H25" s="7">
        <v>1177424.7</v>
      </c>
      <c r="I25" s="2">
        <v>3</v>
      </c>
      <c r="J25" s="52">
        <f t="shared" si="0"/>
        <v>3532274.0999999996</v>
      </c>
      <c r="K25" s="50">
        <f t="shared" si="1"/>
        <v>635809.33799999987</v>
      </c>
      <c r="L25" s="51">
        <f t="shared" si="2"/>
        <v>4168083.4379999996</v>
      </c>
    </row>
    <row r="26" spans="1:12" ht="15" customHeight="1" x14ac:dyDescent="0.3">
      <c r="A26" s="2">
        <v>10</v>
      </c>
      <c r="B26" s="2" t="s">
        <v>4713</v>
      </c>
      <c r="C26" s="2" t="s">
        <v>4801</v>
      </c>
      <c r="D26" s="2" t="s">
        <v>4625</v>
      </c>
      <c r="E26" s="2" t="s">
        <v>4801</v>
      </c>
      <c r="F26" s="11">
        <v>30</v>
      </c>
      <c r="G26" s="2" t="s">
        <v>4876</v>
      </c>
      <c r="H26" s="7">
        <v>996804.06</v>
      </c>
      <c r="I26" s="2">
        <v>3</v>
      </c>
      <c r="J26" s="52">
        <f t="shared" si="0"/>
        <v>2990412.18</v>
      </c>
      <c r="K26" s="50">
        <f t="shared" si="1"/>
        <v>538274.19240000006</v>
      </c>
      <c r="L26" s="51">
        <f t="shared" si="2"/>
        <v>3528686.3724000002</v>
      </c>
    </row>
    <row r="27" spans="1:12" ht="15" customHeight="1" x14ac:dyDescent="0.3">
      <c r="A27" s="2">
        <v>11</v>
      </c>
      <c r="B27" s="2" t="s">
        <v>4900</v>
      </c>
      <c r="C27" s="2" t="s">
        <v>4936</v>
      </c>
      <c r="D27" s="2"/>
      <c r="E27" s="2" t="s">
        <v>4936</v>
      </c>
      <c r="F27" s="11">
        <v>28</v>
      </c>
      <c r="G27" s="2" t="s">
        <v>4876</v>
      </c>
      <c r="H27" s="7">
        <v>996804.06</v>
      </c>
      <c r="I27" s="2">
        <v>3</v>
      </c>
      <c r="J27" s="52">
        <f t="shared" si="0"/>
        <v>2990412.18</v>
      </c>
      <c r="K27" s="50">
        <f t="shared" si="1"/>
        <v>538274.19240000006</v>
      </c>
      <c r="L27" s="51">
        <f t="shared" si="2"/>
        <v>3528686.3724000002</v>
      </c>
    </row>
    <row r="28" spans="1:12" ht="15" customHeight="1" x14ac:dyDescent="0.3">
      <c r="A28" s="2">
        <v>12</v>
      </c>
      <c r="B28" s="2" t="s">
        <v>4714</v>
      </c>
      <c r="C28" s="2" t="s">
        <v>4802</v>
      </c>
      <c r="D28" s="2" t="s">
        <v>4626</v>
      </c>
      <c r="E28" s="2" t="s">
        <v>4802</v>
      </c>
      <c r="F28" s="11">
        <v>29</v>
      </c>
      <c r="G28" s="2" t="s">
        <v>4876</v>
      </c>
      <c r="H28" s="7">
        <v>996804.06</v>
      </c>
      <c r="I28" s="2">
        <v>3</v>
      </c>
      <c r="J28" s="52">
        <f t="shared" si="0"/>
        <v>2990412.18</v>
      </c>
      <c r="K28" s="50">
        <f t="shared" si="1"/>
        <v>538274.19240000006</v>
      </c>
      <c r="L28" s="51">
        <f t="shared" si="2"/>
        <v>3528686.3724000002</v>
      </c>
    </row>
    <row r="29" spans="1:12" ht="15" customHeight="1" x14ac:dyDescent="0.3">
      <c r="A29" s="2">
        <v>13</v>
      </c>
      <c r="B29" s="2" t="s">
        <v>4715</v>
      </c>
      <c r="C29" s="2" t="s">
        <v>4803</v>
      </c>
      <c r="D29" s="2" t="s">
        <v>4627</v>
      </c>
      <c r="E29" s="2" t="s">
        <v>4803</v>
      </c>
      <c r="F29" s="11">
        <v>42</v>
      </c>
      <c r="G29" s="2" t="s">
        <v>4876</v>
      </c>
      <c r="H29" s="7">
        <v>1177424.7</v>
      </c>
      <c r="I29" s="2">
        <v>3</v>
      </c>
      <c r="J29" s="52">
        <f t="shared" si="0"/>
        <v>3532274.0999999996</v>
      </c>
      <c r="K29" s="50">
        <f t="shared" si="1"/>
        <v>635809.33799999987</v>
      </c>
      <c r="L29" s="51">
        <f t="shared" si="2"/>
        <v>4168083.4379999996</v>
      </c>
    </row>
    <row r="30" spans="1:12" ht="15" customHeight="1" x14ac:dyDescent="0.3">
      <c r="A30" s="2">
        <v>14</v>
      </c>
      <c r="B30" s="2" t="s">
        <v>4716</v>
      </c>
      <c r="C30" s="2" t="s">
        <v>4804</v>
      </c>
      <c r="D30" s="2" t="s">
        <v>4628</v>
      </c>
      <c r="E30" s="2" t="s">
        <v>4804</v>
      </c>
      <c r="F30" s="11">
        <v>27</v>
      </c>
      <c r="G30" s="2" t="s">
        <v>4876</v>
      </c>
      <c r="H30" s="7">
        <v>996804.06</v>
      </c>
      <c r="I30" s="2">
        <v>3</v>
      </c>
      <c r="J30" s="52">
        <f t="shared" si="0"/>
        <v>2990412.18</v>
      </c>
      <c r="K30" s="50">
        <f t="shared" si="1"/>
        <v>538274.19240000006</v>
      </c>
      <c r="L30" s="51">
        <f t="shared" si="2"/>
        <v>3528686.3724000002</v>
      </c>
    </row>
    <row r="31" spans="1:12" ht="15" customHeight="1" x14ac:dyDescent="0.3">
      <c r="A31" s="2">
        <v>15</v>
      </c>
      <c r="B31" s="2" t="s">
        <v>4717</v>
      </c>
      <c r="C31" s="2" t="s">
        <v>4805</v>
      </c>
      <c r="D31" s="2" t="s">
        <v>4629</v>
      </c>
      <c r="E31" s="2" t="s">
        <v>4805</v>
      </c>
      <c r="F31" s="11">
        <v>29</v>
      </c>
      <c r="G31" s="2" t="s">
        <v>4876</v>
      </c>
      <c r="H31" s="7">
        <v>996804.06</v>
      </c>
      <c r="I31" s="2">
        <v>3</v>
      </c>
      <c r="J31" s="52">
        <f t="shared" si="0"/>
        <v>2990412.18</v>
      </c>
      <c r="K31" s="50">
        <f t="shared" si="1"/>
        <v>538274.19240000006</v>
      </c>
      <c r="L31" s="51">
        <f t="shared" si="2"/>
        <v>3528686.3724000002</v>
      </c>
    </row>
    <row r="32" spans="1:12" ht="15" customHeight="1" x14ac:dyDescent="0.3">
      <c r="A32" s="2">
        <v>16</v>
      </c>
      <c r="B32" s="2" t="s">
        <v>4718</v>
      </c>
      <c r="C32" s="2" t="s">
        <v>4806</v>
      </c>
      <c r="D32" s="2" t="s">
        <v>4630</v>
      </c>
      <c r="E32" s="2" t="s">
        <v>4806</v>
      </c>
      <c r="F32" s="11">
        <v>40</v>
      </c>
      <c r="G32" s="2" t="s">
        <v>4876</v>
      </c>
      <c r="H32" s="7">
        <v>1177424.7</v>
      </c>
      <c r="I32" s="2">
        <v>3</v>
      </c>
      <c r="J32" s="52">
        <f t="shared" si="0"/>
        <v>3532274.0999999996</v>
      </c>
      <c r="K32" s="50">
        <f t="shared" si="1"/>
        <v>635809.33799999987</v>
      </c>
      <c r="L32" s="51">
        <f t="shared" si="2"/>
        <v>4168083.4379999996</v>
      </c>
    </row>
    <row r="33" spans="1:12" ht="15" customHeight="1" x14ac:dyDescent="0.3">
      <c r="A33" s="2">
        <v>17</v>
      </c>
      <c r="B33" s="2" t="s">
        <v>4895</v>
      </c>
      <c r="C33" s="2" t="s">
        <v>4931</v>
      </c>
      <c r="D33" s="2"/>
      <c r="E33" s="2" t="s">
        <v>4931</v>
      </c>
      <c r="F33" s="11">
        <v>30</v>
      </c>
      <c r="G33" s="2" t="s">
        <v>4876</v>
      </c>
      <c r="H33" s="7">
        <v>996804.06</v>
      </c>
      <c r="I33" s="2">
        <v>3</v>
      </c>
      <c r="J33" s="52">
        <f t="shared" si="0"/>
        <v>2990412.18</v>
      </c>
      <c r="K33" s="50">
        <f t="shared" si="1"/>
        <v>538274.19240000006</v>
      </c>
      <c r="L33" s="51">
        <f t="shared" si="2"/>
        <v>3528686.3724000002</v>
      </c>
    </row>
    <row r="34" spans="1:12" ht="15" customHeight="1" x14ac:dyDescent="0.3">
      <c r="A34" s="2">
        <v>18</v>
      </c>
      <c r="B34" s="2" t="s">
        <v>4719</v>
      </c>
      <c r="C34" s="2" t="s">
        <v>4807</v>
      </c>
      <c r="D34" s="2" t="s">
        <v>4631</v>
      </c>
      <c r="E34" s="2" t="s">
        <v>4807</v>
      </c>
      <c r="F34" s="11">
        <v>30</v>
      </c>
      <c r="G34" s="2" t="s">
        <v>4876</v>
      </c>
      <c r="H34" s="7">
        <v>996804.06</v>
      </c>
      <c r="I34" s="2">
        <v>3</v>
      </c>
      <c r="J34" s="52">
        <f t="shared" si="0"/>
        <v>2990412.18</v>
      </c>
      <c r="K34" s="50">
        <f t="shared" si="1"/>
        <v>538274.19240000006</v>
      </c>
      <c r="L34" s="51">
        <f t="shared" si="2"/>
        <v>3528686.3724000002</v>
      </c>
    </row>
    <row r="35" spans="1:12" ht="15" customHeight="1" x14ac:dyDescent="0.3">
      <c r="A35" s="2">
        <v>19</v>
      </c>
      <c r="B35" s="2" t="s">
        <v>4720</v>
      </c>
      <c r="C35" s="2" t="s">
        <v>4808</v>
      </c>
      <c r="D35" s="2" t="s">
        <v>4632</v>
      </c>
      <c r="E35" s="2" t="s">
        <v>4808</v>
      </c>
      <c r="F35" s="11">
        <v>29</v>
      </c>
      <c r="G35" s="2" t="s">
        <v>4876</v>
      </c>
      <c r="H35" s="7">
        <v>996804.06</v>
      </c>
      <c r="I35" s="2">
        <v>3</v>
      </c>
      <c r="J35" s="52">
        <f t="shared" si="0"/>
        <v>2990412.18</v>
      </c>
      <c r="K35" s="50">
        <f t="shared" si="1"/>
        <v>538274.19240000006</v>
      </c>
      <c r="L35" s="51">
        <f t="shared" si="2"/>
        <v>3528686.3724000002</v>
      </c>
    </row>
    <row r="36" spans="1:12" ht="15" customHeight="1" x14ac:dyDescent="0.3">
      <c r="A36" s="2">
        <v>20</v>
      </c>
      <c r="B36" s="2" t="s">
        <v>4721</v>
      </c>
      <c r="C36" s="2" t="s">
        <v>4809</v>
      </c>
      <c r="D36" s="2" t="s">
        <v>4633</v>
      </c>
      <c r="E36" s="2" t="s">
        <v>4809</v>
      </c>
      <c r="F36" s="11">
        <v>35</v>
      </c>
      <c r="G36" s="2" t="s">
        <v>4876</v>
      </c>
      <c r="H36" s="7">
        <v>1177424.7</v>
      </c>
      <c r="I36" s="2">
        <v>3</v>
      </c>
      <c r="J36" s="52">
        <f t="shared" si="0"/>
        <v>3532274.0999999996</v>
      </c>
      <c r="K36" s="50">
        <f t="shared" si="1"/>
        <v>635809.33799999987</v>
      </c>
      <c r="L36" s="51">
        <f t="shared" si="2"/>
        <v>4168083.4379999996</v>
      </c>
    </row>
    <row r="37" spans="1:12" ht="15" customHeight="1" x14ac:dyDescent="0.3">
      <c r="A37" s="2">
        <v>21</v>
      </c>
      <c r="B37" s="2" t="s">
        <v>4722</v>
      </c>
      <c r="C37" s="2" t="s">
        <v>4810</v>
      </c>
      <c r="D37" s="2" t="s">
        <v>4634</v>
      </c>
      <c r="E37" s="2" t="s">
        <v>4810</v>
      </c>
      <c r="F37" s="11">
        <v>34</v>
      </c>
      <c r="G37" s="2" t="s">
        <v>4876</v>
      </c>
      <c r="H37" s="7">
        <v>1177424.7</v>
      </c>
      <c r="I37" s="2">
        <v>3</v>
      </c>
      <c r="J37" s="52">
        <f t="shared" si="0"/>
        <v>3532274.0999999996</v>
      </c>
      <c r="K37" s="50">
        <f t="shared" si="1"/>
        <v>635809.33799999987</v>
      </c>
      <c r="L37" s="51">
        <f t="shared" si="2"/>
        <v>4168083.4379999996</v>
      </c>
    </row>
    <row r="38" spans="1:12" ht="15" customHeight="1" x14ac:dyDescent="0.3">
      <c r="A38" s="2">
        <v>22</v>
      </c>
      <c r="B38" s="2" t="s">
        <v>4723</v>
      </c>
      <c r="C38" s="2" t="s">
        <v>4811</v>
      </c>
      <c r="D38" s="2" t="s">
        <v>4635</v>
      </c>
      <c r="E38" s="2" t="s">
        <v>4811</v>
      </c>
      <c r="F38" s="11">
        <v>28</v>
      </c>
      <c r="G38" s="2" t="s">
        <v>4876</v>
      </c>
      <c r="H38" s="7">
        <v>996804.06</v>
      </c>
      <c r="I38" s="2">
        <v>3</v>
      </c>
      <c r="J38" s="52">
        <f t="shared" si="0"/>
        <v>2990412.18</v>
      </c>
      <c r="K38" s="50">
        <f t="shared" si="1"/>
        <v>538274.19240000006</v>
      </c>
      <c r="L38" s="51">
        <f t="shared" si="2"/>
        <v>3528686.3724000002</v>
      </c>
    </row>
    <row r="39" spans="1:12" ht="15" customHeight="1" x14ac:dyDescent="0.3">
      <c r="A39" s="2">
        <v>23</v>
      </c>
      <c r="B39" s="2" t="s">
        <v>4724</v>
      </c>
      <c r="C39" s="2" t="s">
        <v>4812</v>
      </c>
      <c r="D39" s="2" t="s">
        <v>4636</v>
      </c>
      <c r="E39" s="2" t="s">
        <v>4812</v>
      </c>
      <c r="F39" s="11">
        <v>29</v>
      </c>
      <c r="G39" s="2" t="s">
        <v>4876</v>
      </c>
      <c r="H39" s="7">
        <v>996804.06</v>
      </c>
      <c r="I39" s="2">
        <v>3</v>
      </c>
      <c r="J39" s="52">
        <f t="shared" si="0"/>
        <v>2990412.18</v>
      </c>
      <c r="K39" s="50">
        <f t="shared" si="1"/>
        <v>538274.19240000006</v>
      </c>
      <c r="L39" s="51">
        <f t="shared" si="2"/>
        <v>3528686.3724000002</v>
      </c>
    </row>
    <row r="40" spans="1:12" ht="15" customHeight="1" x14ac:dyDescent="0.3">
      <c r="A40" s="2">
        <v>24</v>
      </c>
      <c r="B40" s="2" t="s">
        <v>4903</v>
      </c>
      <c r="C40" s="2" t="s">
        <v>4939</v>
      </c>
      <c r="D40" s="2"/>
      <c r="E40" s="2" t="s">
        <v>4939</v>
      </c>
      <c r="F40" s="11">
        <v>25</v>
      </c>
      <c r="G40" s="2" t="s">
        <v>4876</v>
      </c>
      <c r="H40" s="7">
        <v>996804.06</v>
      </c>
      <c r="I40" s="2">
        <v>3</v>
      </c>
      <c r="J40" s="52">
        <f t="shared" si="0"/>
        <v>2990412.18</v>
      </c>
      <c r="K40" s="50">
        <f t="shared" si="1"/>
        <v>538274.19240000006</v>
      </c>
      <c r="L40" s="51">
        <f t="shared" si="2"/>
        <v>3528686.3724000002</v>
      </c>
    </row>
    <row r="41" spans="1:12" ht="15" customHeight="1" x14ac:dyDescent="0.3">
      <c r="A41" s="2">
        <v>25</v>
      </c>
      <c r="B41" s="2" t="s">
        <v>4902</v>
      </c>
      <c r="C41" s="2" t="s">
        <v>4938</v>
      </c>
      <c r="D41" s="2"/>
      <c r="E41" s="2" t="s">
        <v>4938</v>
      </c>
      <c r="F41" s="11">
        <v>24</v>
      </c>
      <c r="G41" s="2" t="s">
        <v>4876</v>
      </c>
      <c r="H41" s="7">
        <v>996804.06</v>
      </c>
      <c r="I41" s="2">
        <v>3</v>
      </c>
      <c r="J41" s="52">
        <f t="shared" si="0"/>
        <v>2990412.18</v>
      </c>
      <c r="K41" s="50">
        <f t="shared" si="1"/>
        <v>538274.19240000006</v>
      </c>
      <c r="L41" s="51">
        <f t="shared" si="2"/>
        <v>3528686.3724000002</v>
      </c>
    </row>
    <row r="42" spans="1:12" ht="15" customHeight="1" x14ac:dyDescent="0.3">
      <c r="A42" s="2">
        <v>26</v>
      </c>
      <c r="B42" s="2" t="s">
        <v>4725</v>
      </c>
      <c r="C42" s="2" t="s">
        <v>4813</v>
      </c>
      <c r="D42" s="2" t="s">
        <v>4637</v>
      </c>
      <c r="E42" s="2" t="s">
        <v>4813</v>
      </c>
      <c r="F42" s="11">
        <v>47</v>
      </c>
      <c r="G42" s="2" t="s">
        <v>4876</v>
      </c>
      <c r="H42" s="7">
        <v>1177424.7</v>
      </c>
      <c r="I42" s="2">
        <v>3</v>
      </c>
      <c r="J42" s="52">
        <f t="shared" si="0"/>
        <v>3532274.0999999996</v>
      </c>
      <c r="K42" s="50">
        <f t="shared" si="1"/>
        <v>635809.33799999987</v>
      </c>
      <c r="L42" s="51">
        <f t="shared" si="2"/>
        <v>4168083.4379999996</v>
      </c>
    </row>
    <row r="43" spans="1:12" ht="15" customHeight="1" x14ac:dyDescent="0.3">
      <c r="A43" s="2">
        <v>27</v>
      </c>
      <c r="B43" s="2" t="s">
        <v>4904</v>
      </c>
      <c r="C43" s="2" t="s">
        <v>4940</v>
      </c>
      <c r="D43" s="2"/>
      <c r="E43" s="2" t="s">
        <v>4940</v>
      </c>
      <c r="F43" s="11">
        <v>53</v>
      </c>
      <c r="G43" s="2" t="s">
        <v>4876</v>
      </c>
      <c r="H43" s="7">
        <v>1430786.78</v>
      </c>
      <c r="I43" s="2">
        <v>3</v>
      </c>
      <c r="J43" s="52">
        <f t="shared" si="0"/>
        <v>4292360.34</v>
      </c>
      <c r="K43" s="50">
        <f t="shared" si="1"/>
        <v>772624.86119999993</v>
      </c>
      <c r="L43" s="51">
        <f t="shared" si="2"/>
        <v>5064985.2012</v>
      </c>
    </row>
    <row r="44" spans="1:12" ht="15" customHeight="1" x14ac:dyDescent="0.3">
      <c r="A44" s="2">
        <v>28</v>
      </c>
      <c r="B44" s="2" t="s">
        <v>4906</v>
      </c>
      <c r="C44" s="2" t="s">
        <v>4942</v>
      </c>
      <c r="D44" s="2"/>
      <c r="E44" s="2" t="s">
        <v>4942</v>
      </c>
      <c r="F44" s="11">
        <v>36</v>
      </c>
      <c r="G44" s="2" t="s">
        <v>4876</v>
      </c>
      <c r="H44" s="7">
        <v>1177424.7</v>
      </c>
      <c r="I44" s="2">
        <v>3</v>
      </c>
      <c r="J44" s="52">
        <f t="shared" si="0"/>
        <v>3532274.0999999996</v>
      </c>
      <c r="K44" s="50">
        <f t="shared" si="1"/>
        <v>635809.33799999987</v>
      </c>
      <c r="L44" s="51">
        <f t="shared" si="2"/>
        <v>4168083.4379999996</v>
      </c>
    </row>
    <row r="45" spans="1:12" ht="15" customHeight="1" x14ac:dyDescent="0.3">
      <c r="A45" s="2">
        <v>29</v>
      </c>
      <c r="B45" s="2" t="s">
        <v>4726</v>
      </c>
      <c r="C45" s="2" t="s">
        <v>2198</v>
      </c>
      <c r="D45" s="2" t="s">
        <v>4638</v>
      </c>
      <c r="E45" s="2" t="s">
        <v>2198</v>
      </c>
      <c r="F45" s="11">
        <v>32</v>
      </c>
      <c r="G45" s="2" t="s">
        <v>4876</v>
      </c>
      <c r="H45" s="7">
        <v>996804.06</v>
      </c>
      <c r="I45" s="2">
        <v>3</v>
      </c>
      <c r="J45" s="52">
        <f t="shared" si="0"/>
        <v>2990412.18</v>
      </c>
      <c r="K45" s="50">
        <f t="shared" si="1"/>
        <v>538274.19240000006</v>
      </c>
      <c r="L45" s="51">
        <f t="shared" si="2"/>
        <v>3528686.3724000002</v>
      </c>
    </row>
    <row r="46" spans="1:12" ht="15" customHeight="1" x14ac:dyDescent="0.3">
      <c r="A46" s="2">
        <v>30</v>
      </c>
      <c r="B46" s="2" t="s">
        <v>4727</v>
      </c>
      <c r="C46" s="2" t="s">
        <v>4814</v>
      </c>
      <c r="D46" s="2" t="s">
        <v>4639</v>
      </c>
      <c r="E46" s="2" t="s">
        <v>4814</v>
      </c>
      <c r="F46" s="11">
        <v>34</v>
      </c>
      <c r="G46" s="2" t="s">
        <v>4876</v>
      </c>
      <c r="H46" s="7">
        <v>1177424.7</v>
      </c>
      <c r="I46" s="2">
        <v>3</v>
      </c>
      <c r="J46" s="52">
        <f t="shared" si="0"/>
        <v>3532274.0999999996</v>
      </c>
      <c r="K46" s="50">
        <f t="shared" si="1"/>
        <v>635809.33799999987</v>
      </c>
      <c r="L46" s="51">
        <f t="shared" si="2"/>
        <v>4168083.4379999996</v>
      </c>
    </row>
    <row r="47" spans="1:12" ht="15" customHeight="1" x14ac:dyDescent="0.3">
      <c r="A47" s="2">
        <v>31</v>
      </c>
      <c r="B47" s="2" t="s">
        <v>4728</v>
      </c>
      <c r="C47" s="2" t="s">
        <v>4815</v>
      </c>
      <c r="D47" s="2" t="s">
        <v>4640</v>
      </c>
      <c r="E47" s="2" t="s">
        <v>4815</v>
      </c>
      <c r="F47" s="11">
        <v>29</v>
      </c>
      <c r="G47" s="2" t="s">
        <v>4876</v>
      </c>
      <c r="H47" s="7">
        <v>996804.06</v>
      </c>
      <c r="I47" s="2">
        <v>3</v>
      </c>
      <c r="J47" s="52">
        <f t="shared" si="0"/>
        <v>2990412.18</v>
      </c>
      <c r="K47" s="50">
        <f t="shared" si="1"/>
        <v>538274.19240000006</v>
      </c>
      <c r="L47" s="51">
        <f t="shared" si="2"/>
        <v>3528686.3724000002</v>
      </c>
    </row>
    <row r="48" spans="1:12" ht="15" customHeight="1" x14ac:dyDescent="0.3">
      <c r="A48" s="2">
        <v>32</v>
      </c>
      <c r="B48" s="2" t="s">
        <v>4884</v>
      </c>
      <c r="C48" s="2" t="s">
        <v>4920</v>
      </c>
      <c r="D48" s="2"/>
      <c r="E48" s="2" t="s">
        <v>4920</v>
      </c>
      <c r="F48" s="11">
        <v>32</v>
      </c>
      <c r="G48" s="2" t="s">
        <v>4876</v>
      </c>
      <c r="H48" s="7">
        <v>996804.06</v>
      </c>
      <c r="I48" s="2">
        <v>3</v>
      </c>
      <c r="J48" s="52">
        <f t="shared" si="0"/>
        <v>2990412.18</v>
      </c>
      <c r="K48" s="50">
        <f t="shared" si="1"/>
        <v>538274.19240000006</v>
      </c>
      <c r="L48" s="51">
        <f t="shared" si="2"/>
        <v>3528686.3724000002</v>
      </c>
    </row>
    <row r="49" spans="1:12" ht="15" customHeight="1" x14ac:dyDescent="0.3">
      <c r="A49" s="2">
        <v>33</v>
      </c>
      <c r="B49" s="2" t="s">
        <v>4879</v>
      </c>
      <c r="C49" s="2" t="s">
        <v>4915</v>
      </c>
      <c r="D49" s="2"/>
      <c r="E49" s="2" t="s">
        <v>4915</v>
      </c>
      <c r="F49" s="11">
        <v>9</v>
      </c>
      <c r="G49" s="2" t="s">
        <v>4876</v>
      </c>
      <c r="H49" s="7">
        <v>734195.19999999995</v>
      </c>
      <c r="I49" s="2">
        <v>3</v>
      </c>
      <c r="J49" s="52">
        <f t="shared" si="0"/>
        <v>2202585.5999999996</v>
      </c>
      <c r="K49" s="50">
        <f t="shared" si="1"/>
        <v>396465.40799999994</v>
      </c>
      <c r="L49" s="51">
        <f t="shared" si="2"/>
        <v>2599051.0079999994</v>
      </c>
    </row>
    <row r="50" spans="1:12" ht="15" customHeight="1" x14ac:dyDescent="0.3">
      <c r="A50" s="2">
        <v>34</v>
      </c>
      <c r="B50" s="2" t="s">
        <v>4729</v>
      </c>
      <c r="C50" s="2" t="s">
        <v>4816</v>
      </c>
      <c r="D50" s="2" t="s">
        <v>4641</v>
      </c>
      <c r="E50" s="2" t="s">
        <v>4816</v>
      </c>
      <c r="F50" s="11">
        <v>44</v>
      </c>
      <c r="G50" s="2" t="s">
        <v>4876</v>
      </c>
      <c r="H50" s="7">
        <v>1177424.7</v>
      </c>
      <c r="I50" s="2">
        <v>3</v>
      </c>
      <c r="J50" s="52">
        <f t="shared" si="0"/>
        <v>3532274.0999999996</v>
      </c>
      <c r="K50" s="50">
        <f t="shared" si="1"/>
        <v>635809.33799999987</v>
      </c>
      <c r="L50" s="51">
        <f t="shared" si="2"/>
        <v>4168083.4379999996</v>
      </c>
    </row>
    <row r="51" spans="1:12" ht="15" customHeight="1" x14ac:dyDescent="0.3">
      <c r="A51" s="2">
        <v>35</v>
      </c>
      <c r="B51" s="2" t="s">
        <v>4730</v>
      </c>
      <c r="C51" s="2" t="s">
        <v>4817</v>
      </c>
      <c r="D51" s="2" t="s">
        <v>4642</v>
      </c>
      <c r="E51" s="2" t="s">
        <v>4817</v>
      </c>
      <c r="F51" s="11">
        <v>27</v>
      </c>
      <c r="G51" s="2" t="s">
        <v>4876</v>
      </c>
      <c r="H51" s="7">
        <v>996804.06</v>
      </c>
      <c r="I51" s="2">
        <v>3</v>
      </c>
      <c r="J51" s="52">
        <f t="shared" si="0"/>
        <v>2990412.18</v>
      </c>
      <c r="K51" s="50">
        <f t="shared" si="1"/>
        <v>538274.19240000006</v>
      </c>
      <c r="L51" s="51">
        <f t="shared" si="2"/>
        <v>3528686.3724000002</v>
      </c>
    </row>
    <row r="52" spans="1:12" ht="15" customHeight="1" x14ac:dyDescent="0.3">
      <c r="A52" s="2">
        <v>36</v>
      </c>
      <c r="B52" s="2" t="s">
        <v>4731</v>
      </c>
      <c r="C52" s="2" t="s">
        <v>4818</v>
      </c>
      <c r="D52" s="2" t="s">
        <v>4643</v>
      </c>
      <c r="E52" s="2" t="s">
        <v>4818</v>
      </c>
      <c r="F52" s="11">
        <v>30</v>
      </c>
      <c r="G52" s="2" t="s">
        <v>4876</v>
      </c>
      <c r="H52" s="7">
        <v>996804.06</v>
      </c>
      <c r="I52" s="2">
        <v>3</v>
      </c>
      <c r="J52" s="52">
        <f t="shared" si="0"/>
        <v>2990412.18</v>
      </c>
      <c r="K52" s="50">
        <f t="shared" si="1"/>
        <v>538274.19240000006</v>
      </c>
      <c r="L52" s="51">
        <f t="shared" si="2"/>
        <v>3528686.3724000002</v>
      </c>
    </row>
    <row r="53" spans="1:12" ht="15" customHeight="1" x14ac:dyDescent="0.3">
      <c r="A53" s="2">
        <v>37</v>
      </c>
      <c r="B53" s="2" t="s">
        <v>4732</v>
      </c>
      <c r="C53" s="2" t="s">
        <v>4644</v>
      </c>
      <c r="D53" s="2" t="s">
        <v>4644</v>
      </c>
      <c r="E53" s="2" t="s">
        <v>4644</v>
      </c>
      <c r="F53" s="11">
        <v>50</v>
      </c>
      <c r="G53" s="2" t="s">
        <v>4876</v>
      </c>
      <c r="H53" s="7">
        <v>1430786.78</v>
      </c>
      <c r="I53" s="2">
        <v>3</v>
      </c>
      <c r="J53" s="52">
        <f t="shared" si="0"/>
        <v>4292360.34</v>
      </c>
      <c r="K53" s="50">
        <f t="shared" si="1"/>
        <v>772624.86119999993</v>
      </c>
      <c r="L53" s="51">
        <f t="shared" si="2"/>
        <v>5064985.2012</v>
      </c>
    </row>
    <row r="54" spans="1:12" ht="15" customHeight="1" x14ac:dyDescent="0.3">
      <c r="A54" s="2">
        <v>38</v>
      </c>
      <c r="B54" s="2" t="s">
        <v>4733</v>
      </c>
      <c r="C54" s="2" t="s">
        <v>4645</v>
      </c>
      <c r="D54" s="2" t="s">
        <v>4645</v>
      </c>
      <c r="E54" s="2" t="s">
        <v>4645</v>
      </c>
      <c r="F54" s="11">
        <v>28</v>
      </c>
      <c r="G54" s="2" t="s">
        <v>4876</v>
      </c>
      <c r="H54" s="7">
        <v>996804.06</v>
      </c>
      <c r="I54" s="2">
        <v>3</v>
      </c>
      <c r="J54" s="52">
        <f t="shared" si="0"/>
        <v>2990412.18</v>
      </c>
      <c r="K54" s="50">
        <f t="shared" si="1"/>
        <v>538274.19240000006</v>
      </c>
      <c r="L54" s="51">
        <f t="shared" si="2"/>
        <v>3528686.3724000002</v>
      </c>
    </row>
    <row r="55" spans="1:12" ht="15" customHeight="1" x14ac:dyDescent="0.3">
      <c r="A55" s="2">
        <v>39</v>
      </c>
      <c r="B55" s="2" t="s">
        <v>4734</v>
      </c>
      <c r="C55" s="2" t="s">
        <v>4646</v>
      </c>
      <c r="D55" s="2" t="s">
        <v>4646</v>
      </c>
      <c r="E55" s="2" t="s">
        <v>4646</v>
      </c>
      <c r="F55" s="11">
        <v>26</v>
      </c>
      <c r="G55" s="2" t="s">
        <v>4876</v>
      </c>
      <c r="H55" s="7">
        <v>996804.06</v>
      </c>
      <c r="I55" s="2">
        <v>3</v>
      </c>
      <c r="J55" s="52">
        <f t="shared" si="0"/>
        <v>2990412.18</v>
      </c>
      <c r="K55" s="50">
        <f t="shared" si="1"/>
        <v>538274.19240000006</v>
      </c>
      <c r="L55" s="51">
        <f t="shared" si="2"/>
        <v>3528686.3724000002</v>
      </c>
    </row>
    <row r="56" spans="1:12" ht="15" customHeight="1" x14ac:dyDescent="0.3">
      <c r="A56" s="2">
        <v>40</v>
      </c>
      <c r="B56" s="2" t="s">
        <v>4885</v>
      </c>
      <c r="C56" s="2" t="s">
        <v>4921</v>
      </c>
      <c r="D56" s="2"/>
      <c r="E56" s="2" t="s">
        <v>4921</v>
      </c>
      <c r="F56" s="11">
        <v>27</v>
      </c>
      <c r="G56" s="2" t="s">
        <v>4876</v>
      </c>
      <c r="H56" s="7">
        <v>996804.06</v>
      </c>
      <c r="I56" s="2">
        <v>3</v>
      </c>
      <c r="J56" s="52">
        <f t="shared" si="0"/>
        <v>2990412.18</v>
      </c>
      <c r="K56" s="50">
        <f t="shared" si="1"/>
        <v>538274.19240000006</v>
      </c>
      <c r="L56" s="51">
        <f t="shared" si="2"/>
        <v>3528686.3724000002</v>
      </c>
    </row>
    <row r="57" spans="1:12" ht="15" customHeight="1" x14ac:dyDescent="0.3">
      <c r="A57" s="2">
        <v>41</v>
      </c>
      <c r="B57" s="2" t="s">
        <v>4735</v>
      </c>
      <c r="C57" s="2" t="s">
        <v>4647</v>
      </c>
      <c r="D57" s="2" t="s">
        <v>4647</v>
      </c>
      <c r="E57" s="2" t="s">
        <v>4647</v>
      </c>
      <c r="F57" s="11">
        <v>28</v>
      </c>
      <c r="G57" s="2" t="s">
        <v>4876</v>
      </c>
      <c r="H57" s="7">
        <v>996804.06</v>
      </c>
      <c r="I57" s="2">
        <v>3</v>
      </c>
      <c r="J57" s="52">
        <f t="shared" si="0"/>
        <v>2990412.18</v>
      </c>
      <c r="K57" s="50">
        <f t="shared" si="1"/>
        <v>538274.19240000006</v>
      </c>
      <c r="L57" s="51">
        <f t="shared" si="2"/>
        <v>3528686.3724000002</v>
      </c>
    </row>
    <row r="58" spans="1:12" ht="15" customHeight="1" x14ac:dyDescent="0.3">
      <c r="A58" s="2">
        <v>42</v>
      </c>
      <c r="B58" s="2" t="s">
        <v>4883</v>
      </c>
      <c r="C58" s="2" t="s">
        <v>4919</v>
      </c>
      <c r="D58" s="2"/>
      <c r="E58" s="2" t="s">
        <v>4919</v>
      </c>
      <c r="F58" s="11">
        <v>27</v>
      </c>
      <c r="G58" s="2" t="s">
        <v>4876</v>
      </c>
      <c r="H58" s="7">
        <v>996804.06</v>
      </c>
      <c r="I58" s="2">
        <v>3</v>
      </c>
      <c r="J58" s="52">
        <f t="shared" si="0"/>
        <v>2990412.18</v>
      </c>
      <c r="K58" s="50">
        <f t="shared" si="1"/>
        <v>538274.19240000006</v>
      </c>
      <c r="L58" s="51">
        <f t="shared" si="2"/>
        <v>3528686.3724000002</v>
      </c>
    </row>
    <row r="59" spans="1:12" ht="15" customHeight="1" x14ac:dyDescent="0.3">
      <c r="A59" s="2">
        <v>43</v>
      </c>
      <c r="B59" s="2" t="s">
        <v>4896</v>
      </c>
      <c r="C59" s="2" t="s">
        <v>4932</v>
      </c>
      <c r="D59" s="2"/>
      <c r="E59" s="2" t="s">
        <v>4932</v>
      </c>
      <c r="F59" s="11">
        <v>31</v>
      </c>
      <c r="G59" s="2" t="s">
        <v>4876</v>
      </c>
      <c r="H59" s="7">
        <v>996804.06</v>
      </c>
      <c r="I59" s="2">
        <v>3</v>
      </c>
      <c r="J59" s="52">
        <f t="shared" si="0"/>
        <v>2990412.18</v>
      </c>
      <c r="K59" s="50">
        <f t="shared" si="1"/>
        <v>538274.19240000006</v>
      </c>
      <c r="L59" s="51">
        <f t="shared" si="2"/>
        <v>3528686.3724000002</v>
      </c>
    </row>
    <row r="60" spans="1:12" ht="15" customHeight="1" x14ac:dyDescent="0.3">
      <c r="A60" s="2">
        <v>44</v>
      </c>
      <c r="B60" s="2" t="s">
        <v>4880</v>
      </c>
      <c r="C60" s="2" t="s">
        <v>4916</v>
      </c>
      <c r="D60" s="2"/>
      <c r="E60" s="2" t="s">
        <v>4916</v>
      </c>
      <c r="F60" s="11">
        <v>30</v>
      </c>
      <c r="G60" s="2" t="s">
        <v>4876</v>
      </c>
      <c r="H60" s="7">
        <v>996804.06</v>
      </c>
      <c r="I60" s="2">
        <v>3</v>
      </c>
      <c r="J60" s="52">
        <f t="shared" si="0"/>
        <v>2990412.18</v>
      </c>
      <c r="K60" s="50">
        <f t="shared" si="1"/>
        <v>538274.19240000006</v>
      </c>
      <c r="L60" s="51">
        <f t="shared" si="2"/>
        <v>3528686.3724000002</v>
      </c>
    </row>
    <row r="61" spans="1:12" ht="15" customHeight="1" x14ac:dyDescent="0.3">
      <c r="A61" s="2">
        <v>45</v>
      </c>
      <c r="B61" s="2" t="s">
        <v>4736</v>
      </c>
      <c r="C61" s="2" t="s">
        <v>4819</v>
      </c>
      <c r="D61" s="2" t="s">
        <v>4648</v>
      </c>
      <c r="E61" s="2" t="s">
        <v>4819</v>
      </c>
      <c r="F61" s="11">
        <v>20</v>
      </c>
      <c r="G61" s="2" t="s">
        <v>4876</v>
      </c>
      <c r="H61" s="7">
        <v>996804.06</v>
      </c>
      <c r="I61" s="2">
        <v>3</v>
      </c>
      <c r="J61" s="52">
        <f t="shared" si="0"/>
        <v>2990412.18</v>
      </c>
      <c r="K61" s="50">
        <f t="shared" si="1"/>
        <v>538274.19240000006</v>
      </c>
      <c r="L61" s="51">
        <f t="shared" si="2"/>
        <v>3528686.3724000002</v>
      </c>
    </row>
    <row r="62" spans="1:12" ht="15" customHeight="1" x14ac:dyDescent="0.3">
      <c r="A62" s="2">
        <v>46</v>
      </c>
      <c r="B62" s="2" t="s">
        <v>4737</v>
      </c>
      <c r="C62" s="2" t="s">
        <v>4820</v>
      </c>
      <c r="D62" s="2" t="s">
        <v>4649</v>
      </c>
      <c r="E62" s="2" t="s">
        <v>4820</v>
      </c>
      <c r="F62" s="11">
        <v>30</v>
      </c>
      <c r="G62" s="2" t="s">
        <v>4876</v>
      </c>
      <c r="H62" s="7">
        <v>996804.06</v>
      </c>
      <c r="I62" s="2">
        <v>3</v>
      </c>
      <c r="J62" s="52">
        <f t="shared" si="0"/>
        <v>2990412.18</v>
      </c>
      <c r="K62" s="50">
        <f t="shared" si="1"/>
        <v>538274.19240000006</v>
      </c>
      <c r="L62" s="51">
        <f t="shared" si="2"/>
        <v>3528686.3724000002</v>
      </c>
    </row>
    <row r="63" spans="1:12" ht="15" customHeight="1" x14ac:dyDescent="0.3">
      <c r="A63" s="2">
        <v>47</v>
      </c>
      <c r="B63" s="2" t="s">
        <v>4738</v>
      </c>
      <c r="C63" s="2" t="s">
        <v>4821</v>
      </c>
      <c r="D63" s="2" t="s">
        <v>4650</v>
      </c>
      <c r="E63" s="2" t="s">
        <v>4821</v>
      </c>
      <c r="F63" s="11">
        <v>23</v>
      </c>
      <c r="G63" s="2" t="s">
        <v>4876</v>
      </c>
      <c r="H63" s="7">
        <v>996804.06</v>
      </c>
      <c r="I63" s="2">
        <v>3</v>
      </c>
      <c r="J63" s="52">
        <f t="shared" si="0"/>
        <v>2990412.18</v>
      </c>
      <c r="K63" s="50">
        <f t="shared" si="1"/>
        <v>538274.19240000006</v>
      </c>
      <c r="L63" s="51">
        <f t="shared" si="2"/>
        <v>3528686.3724000002</v>
      </c>
    </row>
    <row r="64" spans="1:12" ht="15" customHeight="1" x14ac:dyDescent="0.3">
      <c r="A64" s="2">
        <v>48</v>
      </c>
      <c r="B64" s="2" t="s">
        <v>4739</v>
      </c>
      <c r="C64" s="2" t="s">
        <v>4822</v>
      </c>
      <c r="D64" s="2" t="s">
        <v>4651</v>
      </c>
      <c r="E64" s="2" t="s">
        <v>4822</v>
      </c>
      <c r="F64" s="11">
        <v>21</v>
      </c>
      <c r="G64" s="2" t="s">
        <v>4876</v>
      </c>
      <c r="H64" s="7">
        <v>996804.06</v>
      </c>
      <c r="I64" s="2">
        <v>3</v>
      </c>
      <c r="J64" s="52">
        <f t="shared" si="0"/>
        <v>2990412.18</v>
      </c>
      <c r="K64" s="50">
        <f t="shared" si="1"/>
        <v>538274.19240000006</v>
      </c>
      <c r="L64" s="51">
        <f t="shared" si="2"/>
        <v>3528686.3724000002</v>
      </c>
    </row>
    <row r="65" spans="1:12" ht="15" customHeight="1" x14ac:dyDescent="0.3">
      <c r="A65" s="2">
        <v>49</v>
      </c>
      <c r="B65" s="2" t="s">
        <v>4897</v>
      </c>
      <c r="C65" s="2" t="s">
        <v>4933</v>
      </c>
      <c r="D65" s="2"/>
      <c r="E65" s="2" t="s">
        <v>4933</v>
      </c>
      <c r="F65" s="11">
        <v>6</v>
      </c>
      <c r="G65" s="2" t="s">
        <v>4876</v>
      </c>
      <c r="H65" s="7">
        <v>734195.19999999995</v>
      </c>
      <c r="I65" s="2">
        <v>3</v>
      </c>
      <c r="J65" s="52">
        <f t="shared" si="0"/>
        <v>2202585.5999999996</v>
      </c>
      <c r="K65" s="50">
        <f t="shared" si="1"/>
        <v>396465.40799999994</v>
      </c>
      <c r="L65" s="51">
        <f t="shared" si="2"/>
        <v>2599051.0079999994</v>
      </c>
    </row>
    <row r="66" spans="1:12" ht="15" customHeight="1" x14ac:dyDescent="0.3">
      <c r="A66" s="2">
        <v>50</v>
      </c>
      <c r="B66" s="2" t="s">
        <v>4740</v>
      </c>
      <c r="C66" s="2" t="s">
        <v>4823</v>
      </c>
      <c r="D66" s="2" t="s">
        <v>4652</v>
      </c>
      <c r="E66" s="2" t="s">
        <v>4823</v>
      </c>
      <c r="F66" s="11">
        <v>24</v>
      </c>
      <c r="G66" s="2" t="s">
        <v>4876</v>
      </c>
      <c r="H66" s="7">
        <v>996804.06</v>
      </c>
      <c r="I66" s="2">
        <v>3</v>
      </c>
      <c r="J66" s="52">
        <f t="shared" si="0"/>
        <v>2990412.18</v>
      </c>
      <c r="K66" s="50">
        <f t="shared" si="1"/>
        <v>538274.19240000006</v>
      </c>
      <c r="L66" s="51">
        <f t="shared" si="2"/>
        <v>3528686.3724000002</v>
      </c>
    </row>
    <row r="67" spans="1:12" ht="15" customHeight="1" x14ac:dyDescent="0.3">
      <c r="A67" s="2">
        <v>51</v>
      </c>
      <c r="B67" s="2" t="s">
        <v>4882</v>
      </c>
      <c r="C67" s="2" t="s">
        <v>4918</v>
      </c>
      <c r="D67" s="2"/>
      <c r="E67" s="2" t="s">
        <v>4918</v>
      </c>
      <c r="F67" s="11">
        <v>32</v>
      </c>
      <c r="G67" s="2" t="s">
        <v>4876</v>
      </c>
      <c r="H67" s="7">
        <v>996804.06</v>
      </c>
      <c r="I67" s="2">
        <v>3</v>
      </c>
      <c r="J67" s="52">
        <f t="shared" si="0"/>
        <v>2990412.18</v>
      </c>
      <c r="K67" s="50">
        <f t="shared" si="1"/>
        <v>538274.19240000006</v>
      </c>
      <c r="L67" s="51">
        <f t="shared" si="2"/>
        <v>3528686.3724000002</v>
      </c>
    </row>
    <row r="68" spans="1:12" ht="15" customHeight="1" x14ac:dyDescent="0.3">
      <c r="A68" s="2">
        <v>52</v>
      </c>
      <c r="B68" s="2" t="s">
        <v>4912</v>
      </c>
      <c r="C68" s="2" t="s">
        <v>4948</v>
      </c>
      <c r="D68" s="2"/>
      <c r="E68" s="2" t="s">
        <v>4948</v>
      </c>
      <c r="F68" s="11">
        <v>22</v>
      </c>
      <c r="G68" s="2" t="s">
        <v>4876</v>
      </c>
      <c r="H68" s="7">
        <v>996804.06</v>
      </c>
      <c r="I68" s="2">
        <v>3</v>
      </c>
      <c r="J68" s="52">
        <f t="shared" si="0"/>
        <v>2990412.18</v>
      </c>
      <c r="K68" s="50">
        <f t="shared" si="1"/>
        <v>538274.19240000006</v>
      </c>
      <c r="L68" s="51">
        <f t="shared" si="2"/>
        <v>3528686.3724000002</v>
      </c>
    </row>
    <row r="69" spans="1:12" ht="15" customHeight="1" x14ac:dyDescent="0.3">
      <c r="A69" s="2">
        <v>53</v>
      </c>
      <c r="B69" s="2" t="s">
        <v>4898</v>
      </c>
      <c r="C69" s="2" t="s">
        <v>4934</v>
      </c>
      <c r="D69" s="2"/>
      <c r="E69" s="2" t="s">
        <v>4934</v>
      </c>
      <c r="F69" s="11">
        <v>24</v>
      </c>
      <c r="G69" s="2" t="s">
        <v>4876</v>
      </c>
      <c r="H69" s="7">
        <v>996804.06</v>
      </c>
      <c r="I69" s="2">
        <v>3</v>
      </c>
      <c r="J69" s="52">
        <f t="shared" si="0"/>
        <v>2990412.18</v>
      </c>
      <c r="K69" s="50">
        <f t="shared" si="1"/>
        <v>538274.19240000006</v>
      </c>
      <c r="L69" s="51">
        <f t="shared" si="2"/>
        <v>3528686.3724000002</v>
      </c>
    </row>
    <row r="70" spans="1:12" ht="15" customHeight="1" x14ac:dyDescent="0.3">
      <c r="A70" s="2">
        <v>54</v>
      </c>
      <c r="B70" s="2" t="s">
        <v>4741</v>
      </c>
      <c r="C70" s="2" t="s">
        <v>4824</v>
      </c>
      <c r="D70" s="2" t="s">
        <v>4653</v>
      </c>
      <c r="E70" s="2" t="s">
        <v>4824</v>
      </c>
      <c r="F70" s="11">
        <v>25</v>
      </c>
      <c r="G70" s="2" t="s">
        <v>4876</v>
      </c>
      <c r="H70" s="7">
        <v>996804.06</v>
      </c>
      <c r="I70" s="2">
        <v>3</v>
      </c>
      <c r="J70" s="52">
        <f t="shared" si="0"/>
        <v>2990412.18</v>
      </c>
      <c r="K70" s="50">
        <f t="shared" si="1"/>
        <v>538274.19240000006</v>
      </c>
      <c r="L70" s="51">
        <f t="shared" si="2"/>
        <v>3528686.3724000002</v>
      </c>
    </row>
    <row r="71" spans="1:12" ht="15" customHeight="1" x14ac:dyDescent="0.3">
      <c r="A71" s="2">
        <v>55</v>
      </c>
      <c r="B71" s="2" t="s">
        <v>4899</v>
      </c>
      <c r="C71" s="2" t="s">
        <v>4935</v>
      </c>
      <c r="D71" s="2"/>
      <c r="E71" s="2" t="s">
        <v>4935</v>
      </c>
      <c r="F71" s="11">
        <v>46</v>
      </c>
      <c r="G71" s="2" t="s">
        <v>4876</v>
      </c>
      <c r="H71" s="7">
        <v>1177424.7</v>
      </c>
      <c r="I71" s="2">
        <v>3</v>
      </c>
      <c r="J71" s="52">
        <f t="shared" si="0"/>
        <v>3532274.0999999996</v>
      </c>
      <c r="K71" s="50">
        <f t="shared" si="1"/>
        <v>635809.33799999987</v>
      </c>
      <c r="L71" s="51">
        <f t="shared" si="2"/>
        <v>4168083.4379999996</v>
      </c>
    </row>
    <row r="72" spans="1:12" ht="15" customHeight="1" x14ac:dyDescent="0.3">
      <c r="A72" s="2">
        <v>56</v>
      </c>
      <c r="B72" s="2" t="s">
        <v>4878</v>
      </c>
      <c r="C72" s="2" t="s">
        <v>4914</v>
      </c>
      <c r="D72" s="2"/>
      <c r="E72" s="2" t="s">
        <v>4914</v>
      </c>
      <c r="F72" s="11">
        <v>25</v>
      </c>
      <c r="G72" s="2" t="s">
        <v>4876</v>
      </c>
      <c r="H72" s="7">
        <v>996804.06</v>
      </c>
      <c r="I72" s="2">
        <v>3</v>
      </c>
      <c r="J72" s="52">
        <f t="shared" si="0"/>
        <v>2990412.18</v>
      </c>
      <c r="K72" s="50">
        <f t="shared" si="1"/>
        <v>538274.19240000006</v>
      </c>
      <c r="L72" s="51">
        <f t="shared" si="2"/>
        <v>3528686.3724000002</v>
      </c>
    </row>
    <row r="73" spans="1:12" ht="15" customHeight="1" x14ac:dyDescent="0.3">
      <c r="A73" s="2">
        <v>57</v>
      </c>
      <c r="B73" s="2" t="s">
        <v>4742</v>
      </c>
      <c r="C73" s="2" t="s">
        <v>4825</v>
      </c>
      <c r="D73" s="2" t="s">
        <v>4654</v>
      </c>
      <c r="E73" s="2" t="s">
        <v>4825</v>
      </c>
      <c r="F73" s="11">
        <v>28</v>
      </c>
      <c r="G73" s="2" t="s">
        <v>4876</v>
      </c>
      <c r="H73" s="7">
        <v>996804.06</v>
      </c>
      <c r="I73" s="2">
        <v>3</v>
      </c>
      <c r="J73" s="52">
        <f t="shared" si="0"/>
        <v>2990412.18</v>
      </c>
      <c r="K73" s="50">
        <f t="shared" si="1"/>
        <v>538274.19240000006</v>
      </c>
      <c r="L73" s="51">
        <f t="shared" si="2"/>
        <v>3528686.3724000002</v>
      </c>
    </row>
    <row r="74" spans="1:12" ht="15" customHeight="1" x14ac:dyDescent="0.3">
      <c r="A74" s="2">
        <v>58</v>
      </c>
      <c r="B74" s="2" t="s">
        <v>4743</v>
      </c>
      <c r="C74" s="2" t="s">
        <v>4826</v>
      </c>
      <c r="D74" s="2" t="s">
        <v>4655</v>
      </c>
      <c r="E74" s="2" t="s">
        <v>4826</v>
      </c>
      <c r="F74" s="11">
        <v>29</v>
      </c>
      <c r="G74" s="2" t="s">
        <v>4876</v>
      </c>
      <c r="H74" s="7">
        <v>996804.06</v>
      </c>
      <c r="I74" s="2">
        <v>3</v>
      </c>
      <c r="J74" s="52">
        <f t="shared" si="0"/>
        <v>2990412.18</v>
      </c>
      <c r="K74" s="50">
        <f t="shared" si="1"/>
        <v>538274.19240000006</v>
      </c>
      <c r="L74" s="51">
        <f t="shared" si="2"/>
        <v>3528686.3724000002</v>
      </c>
    </row>
    <row r="75" spans="1:12" ht="15" customHeight="1" x14ac:dyDescent="0.3">
      <c r="A75" s="2">
        <v>59</v>
      </c>
      <c r="B75" s="2" t="s">
        <v>4744</v>
      </c>
      <c r="C75" s="2" t="s">
        <v>4827</v>
      </c>
      <c r="D75" s="2" t="s">
        <v>4656</v>
      </c>
      <c r="E75" s="2" t="s">
        <v>4827</v>
      </c>
      <c r="F75" s="11">
        <v>30</v>
      </c>
      <c r="G75" s="2" t="s">
        <v>4876</v>
      </c>
      <c r="H75" s="7">
        <v>996804.06</v>
      </c>
      <c r="I75" s="2">
        <v>3</v>
      </c>
      <c r="J75" s="52">
        <f t="shared" si="0"/>
        <v>2990412.18</v>
      </c>
      <c r="K75" s="50">
        <f t="shared" si="1"/>
        <v>538274.19240000006</v>
      </c>
      <c r="L75" s="51">
        <f t="shared" si="2"/>
        <v>3528686.3724000002</v>
      </c>
    </row>
    <row r="76" spans="1:12" ht="15" customHeight="1" x14ac:dyDescent="0.3">
      <c r="A76" s="2">
        <v>60</v>
      </c>
      <c r="B76" s="2" t="s">
        <v>4745</v>
      </c>
      <c r="C76" s="2" t="s">
        <v>4828</v>
      </c>
      <c r="D76" s="2" t="s">
        <v>4657</v>
      </c>
      <c r="E76" s="2" t="s">
        <v>4828</v>
      </c>
      <c r="F76" s="11">
        <v>35</v>
      </c>
      <c r="G76" s="2" t="s">
        <v>4876</v>
      </c>
      <c r="H76" s="7">
        <v>1177424.7</v>
      </c>
      <c r="I76" s="2">
        <v>3</v>
      </c>
      <c r="J76" s="52">
        <f t="shared" si="0"/>
        <v>3532274.0999999996</v>
      </c>
      <c r="K76" s="50">
        <f t="shared" si="1"/>
        <v>635809.33799999987</v>
      </c>
      <c r="L76" s="51">
        <f t="shared" si="2"/>
        <v>4168083.4379999996</v>
      </c>
    </row>
    <row r="77" spans="1:12" ht="15" customHeight="1" x14ac:dyDescent="0.3">
      <c r="A77" s="2">
        <v>61</v>
      </c>
      <c r="B77" s="2" t="s">
        <v>4746</v>
      </c>
      <c r="C77" s="2" t="s">
        <v>4829</v>
      </c>
      <c r="D77" s="2" t="s">
        <v>4658</v>
      </c>
      <c r="E77" s="2" t="s">
        <v>4829</v>
      </c>
      <c r="F77" s="11">
        <v>27</v>
      </c>
      <c r="G77" s="2" t="s">
        <v>4876</v>
      </c>
      <c r="H77" s="7">
        <v>996804.06</v>
      </c>
      <c r="I77" s="2">
        <v>3</v>
      </c>
      <c r="J77" s="52">
        <f t="shared" si="0"/>
        <v>2990412.18</v>
      </c>
      <c r="K77" s="50">
        <f t="shared" si="1"/>
        <v>538274.19240000006</v>
      </c>
      <c r="L77" s="51">
        <f t="shared" si="2"/>
        <v>3528686.3724000002</v>
      </c>
    </row>
    <row r="78" spans="1:12" ht="15" customHeight="1" x14ac:dyDescent="0.3">
      <c r="A78" s="2">
        <v>62</v>
      </c>
      <c r="B78" s="2" t="s">
        <v>4747</v>
      </c>
      <c r="C78" s="2" t="s">
        <v>4830</v>
      </c>
      <c r="D78" s="2" t="s">
        <v>4659</v>
      </c>
      <c r="E78" s="2" t="s">
        <v>4830</v>
      </c>
      <c r="F78" s="11">
        <v>29</v>
      </c>
      <c r="G78" s="2" t="s">
        <v>4876</v>
      </c>
      <c r="H78" s="7">
        <v>996804.06</v>
      </c>
      <c r="I78" s="2">
        <v>3</v>
      </c>
      <c r="J78" s="52">
        <f t="shared" si="0"/>
        <v>2990412.18</v>
      </c>
      <c r="K78" s="50">
        <f t="shared" si="1"/>
        <v>538274.19240000006</v>
      </c>
      <c r="L78" s="51">
        <f t="shared" si="2"/>
        <v>3528686.3724000002</v>
      </c>
    </row>
    <row r="79" spans="1:12" ht="15" customHeight="1" x14ac:dyDescent="0.3">
      <c r="A79" s="2">
        <v>63</v>
      </c>
      <c r="B79" s="2" t="s">
        <v>4881</v>
      </c>
      <c r="C79" s="2" t="s">
        <v>4917</v>
      </c>
      <c r="D79" s="2"/>
      <c r="E79" s="2" t="s">
        <v>4917</v>
      </c>
      <c r="F79" s="11">
        <v>34</v>
      </c>
      <c r="G79" s="2" t="s">
        <v>4876</v>
      </c>
      <c r="H79" s="7">
        <v>1177424.7</v>
      </c>
      <c r="I79" s="2">
        <v>3</v>
      </c>
      <c r="J79" s="52">
        <f t="shared" si="0"/>
        <v>3532274.0999999996</v>
      </c>
      <c r="K79" s="50">
        <f t="shared" si="1"/>
        <v>635809.33799999987</v>
      </c>
      <c r="L79" s="51">
        <f t="shared" si="2"/>
        <v>4168083.4379999996</v>
      </c>
    </row>
    <row r="80" spans="1:12" ht="15" customHeight="1" x14ac:dyDescent="0.3">
      <c r="A80" s="2">
        <v>64</v>
      </c>
      <c r="B80" s="2" t="s">
        <v>4748</v>
      </c>
      <c r="C80" s="2" t="s">
        <v>4831</v>
      </c>
      <c r="D80" s="2" t="s">
        <v>4660</v>
      </c>
      <c r="E80" s="2" t="s">
        <v>4831</v>
      </c>
      <c r="F80" s="11">
        <v>50</v>
      </c>
      <c r="G80" s="2" t="s">
        <v>4876</v>
      </c>
      <c r="H80" s="7">
        <v>1430786.78</v>
      </c>
      <c r="I80" s="2">
        <v>3</v>
      </c>
      <c r="J80" s="52">
        <f t="shared" si="0"/>
        <v>4292360.34</v>
      </c>
      <c r="K80" s="50">
        <f t="shared" si="1"/>
        <v>772624.86119999993</v>
      </c>
      <c r="L80" s="51">
        <f t="shared" si="2"/>
        <v>5064985.2012</v>
      </c>
    </row>
    <row r="81" spans="1:12" ht="15" customHeight="1" x14ac:dyDescent="0.3">
      <c r="A81" s="2">
        <v>65</v>
      </c>
      <c r="B81" s="2" t="s">
        <v>4749</v>
      </c>
      <c r="C81" s="2" t="s">
        <v>4832</v>
      </c>
      <c r="D81" s="2" t="s">
        <v>4661</v>
      </c>
      <c r="E81" s="2" t="s">
        <v>4832</v>
      </c>
      <c r="F81" s="11">
        <v>30</v>
      </c>
      <c r="G81" s="2" t="s">
        <v>4876</v>
      </c>
      <c r="H81" s="7">
        <v>996804.06</v>
      </c>
      <c r="I81" s="2">
        <v>3</v>
      </c>
      <c r="J81" s="52">
        <f t="shared" si="0"/>
        <v>2990412.18</v>
      </c>
      <c r="K81" s="50">
        <f t="shared" si="1"/>
        <v>538274.19240000006</v>
      </c>
      <c r="L81" s="51">
        <f t="shared" si="2"/>
        <v>3528686.3724000002</v>
      </c>
    </row>
    <row r="82" spans="1:12" ht="15" customHeight="1" x14ac:dyDescent="0.3">
      <c r="A82" s="2">
        <v>66</v>
      </c>
      <c r="B82" s="2" t="s">
        <v>4750</v>
      </c>
      <c r="C82" s="2" t="s">
        <v>4833</v>
      </c>
      <c r="D82" s="2" t="s">
        <v>4662</v>
      </c>
      <c r="E82" s="2" t="s">
        <v>4833</v>
      </c>
      <c r="F82" s="11">
        <v>27</v>
      </c>
      <c r="G82" s="2" t="s">
        <v>4876</v>
      </c>
      <c r="H82" s="7">
        <v>996804.06</v>
      </c>
      <c r="I82" s="2">
        <v>3</v>
      </c>
      <c r="J82" s="52">
        <f t="shared" ref="J82:J141" si="3">+H82*I82</f>
        <v>2990412.18</v>
      </c>
      <c r="K82" s="50">
        <f t="shared" ref="K82:K141" si="4">+J82*0.18</f>
        <v>538274.19240000006</v>
      </c>
      <c r="L82" s="51">
        <f t="shared" ref="L82:L141" si="5">+J82+K82</f>
        <v>3528686.3724000002</v>
      </c>
    </row>
    <row r="83" spans="1:12" ht="15" customHeight="1" x14ac:dyDescent="0.3">
      <c r="A83" s="2">
        <v>67</v>
      </c>
      <c r="B83" s="2" t="s">
        <v>4751</v>
      </c>
      <c r="C83" s="2" t="s">
        <v>4834</v>
      </c>
      <c r="D83" s="2" t="s">
        <v>4663</v>
      </c>
      <c r="E83" s="2" t="s">
        <v>4834</v>
      </c>
      <c r="F83" s="11">
        <v>8</v>
      </c>
      <c r="G83" s="2" t="s">
        <v>4876</v>
      </c>
      <c r="H83" s="7">
        <v>734195.19999999995</v>
      </c>
      <c r="I83" s="2">
        <v>3</v>
      </c>
      <c r="J83" s="52">
        <f t="shared" si="3"/>
        <v>2202585.5999999996</v>
      </c>
      <c r="K83" s="50">
        <f t="shared" si="4"/>
        <v>396465.40799999994</v>
      </c>
      <c r="L83" s="51">
        <f t="shared" si="5"/>
        <v>2599051.0079999994</v>
      </c>
    </row>
    <row r="84" spans="1:12" ht="15" customHeight="1" x14ac:dyDescent="0.3">
      <c r="A84" s="2">
        <v>68</v>
      </c>
      <c r="B84" s="2" t="s">
        <v>4752</v>
      </c>
      <c r="C84" s="2" t="s">
        <v>4835</v>
      </c>
      <c r="D84" s="2" t="s">
        <v>4664</v>
      </c>
      <c r="E84" s="2" t="s">
        <v>4835</v>
      </c>
      <c r="F84" s="11">
        <v>34</v>
      </c>
      <c r="G84" s="2" t="s">
        <v>4876</v>
      </c>
      <c r="H84" s="7">
        <v>1177424.7</v>
      </c>
      <c r="I84" s="2">
        <v>3</v>
      </c>
      <c r="J84" s="52">
        <f t="shared" si="3"/>
        <v>3532274.0999999996</v>
      </c>
      <c r="K84" s="50">
        <f t="shared" si="4"/>
        <v>635809.33799999987</v>
      </c>
      <c r="L84" s="51">
        <f t="shared" si="5"/>
        <v>4168083.4379999996</v>
      </c>
    </row>
    <row r="85" spans="1:12" ht="15" customHeight="1" x14ac:dyDescent="0.3">
      <c r="A85" s="2">
        <v>69</v>
      </c>
      <c r="B85" s="2" t="s">
        <v>4753</v>
      </c>
      <c r="C85" s="2" t="s">
        <v>4836</v>
      </c>
      <c r="D85" s="2" t="s">
        <v>4665</v>
      </c>
      <c r="E85" s="2" t="s">
        <v>4836</v>
      </c>
      <c r="F85" s="11">
        <v>26</v>
      </c>
      <c r="G85" s="2" t="s">
        <v>4876</v>
      </c>
      <c r="H85" s="7">
        <v>996804.06</v>
      </c>
      <c r="I85" s="2">
        <v>3</v>
      </c>
      <c r="J85" s="52">
        <f t="shared" si="3"/>
        <v>2990412.18</v>
      </c>
      <c r="K85" s="50">
        <f t="shared" si="4"/>
        <v>538274.19240000006</v>
      </c>
      <c r="L85" s="51">
        <f t="shared" si="5"/>
        <v>3528686.3724000002</v>
      </c>
    </row>
    <row r="86" spans="1:12" ht="15" customHeight="1" x14ac:dyDescent="0.3">
      <c r="A86" s="2">
        <v>70</v>
      </c>
      <c r="B86" s="2" t="s">
        <v>4754</v>
      </c>
      <c r="C86" s="2" t="s">
        <v>4837</v>
      </c>
      <c r="D86" s="2" t="s">
        <v>4666</v>
      </c>
      <c r="E86" s="2" t="s">
        <v>4837</v>
      </c>
      <c r="F86" s="11">
        <v>52</v>
      </c>
      <c r="G86" s="2" t="s">
        <v>4876</v>
      </c>
      <c r="H86" s="7">
        <v>1430786.78</v>
      </c>
      <c r="I86" s="2">
        <v>3</v>
      </c>
      <c r="J86" s="52">
        <f t="shared" si="3"/>
        <v>4292360.34</v>
      </c>
      <c r="K86" s="50">
        <f t="shared" si="4"/>
        <v>772624.86119999993</v>
      </c>
      <c r="L86" s="51">
        <f t="shared" si="5"/>
        <v>5064985.2012</v>
      </c>
    </row>
    <row r="87" spans="1:12" ht="15" customHeight="1" x14ac:dyDescent="0.3">
      <c r="A87" s="2">
        <v>71</v>
      </c>
      <c r="B87" s="2" t="s">
        <v>4755</v>
      </c>
      <c r="C87" s="2" t="s">
        <v>4838</v>
      </c>
      <c r="D87" s="2" t="s">
        <v>4667</v>
      </c>
      <c r="E87" s="2" t="s">
        <v>4838</v>
      </c>
      <c r="F87" s="11">
        <v>27</v>
      </c>
      <c r="G87" s="2" t="s">
        <v>4876</v>
      </c>
      <c r="H87" s="7">
        <v>996804.06</v>
      </c>
      <c r="I87" s="2">
        <v>3</v>
      </c>
      <c r="J87" s="52">
        <f t="shared" si="3"/>
        <v>2990412.18</v>
      </c>
      <c r="K87" s="50">
        <f t="shared" si="4"/>
        <v>538274.19240000006</v>
      </c>
      <c r="L87" s="51">
        <f t="shared" si="5"/>
        <v>3528686.3724000002</v>
      </c>
    </row>
    <row r="88" spans="1:12" ht="15" customHeight="1" x14ac:dyDescent="0.3">
      <c r="A88" s="2">
        <v>72</v>
      </c>
      <c r="B88" s="2" t="s">
        <v>4890</v>
      </c>
      <c r="C88" s="2" t="s">
        <v>4926</v>
      </c>
      <c r="D88" s="2"/>
      <c r="E88" s="2" t="s">
        <v>4926</v>
      </c>
      <c r="F88" s="11">
        <v>27</v>
      </c>
      <c r="G88" s="2" t="s">
        <v>4876</v>
      </c>
      <c r="H88" s="7">
        <v>996804.06</v>
      </c>
      <c r="I88" s="2">
        <v>3</v>
      </c>
      <c r="J88" s="52">
        <f t="shared" si="3"/>
        <v>2990412.18</v>
      </c>
      <c r="K88" s="50">
        <f t="shared" si="4"/>
        <v>538274.19240000006</v>
      </c>
      <c r="L88" s="51">
        <f t="shared" si="5"/>
        <v>3528686.3724000002</v>
      </c>
    </row>
    <row r="89" spans="1:12" ht="15" customHeight="1" x14ac:dyDescent="0.3">
      <c r="A89" s="2">
        <v>73</v>
      </c>
      <c r="B89" s="2" t="s">
        <v>4756</v>
      </c>
      <c r="C89" s="2" t="s">
        <v>4839</v>
      </c>
      <c r="D89" s="2" t="s">
        <v>4668</v>
      </c>
      <c r="E89" s="2" t="s">
        <v>4839</v>
      </c>
      <c r="F89" s="11">
        <v>42</v>
      </c>
      <c r="G89" s="2" t="s">
        <v>4876</v>
      </c>
      <c r="H89" s="7">
        <v>1177424.7</v>
      </c>
      <c r="I89" s="2">
        <v>3</v>
      </c>
      <c r="J89" s="52">
        <f t="shared" si="3"/>
        <v>3532274.0999999996</v>
      </c>
      <c r="K89" s="50">
        <f t="shared" si="4"/>
        <v>635809.33799999987</v>
      </c>
      <c r="L89" s="51">
        <f t="shared" si="5"/>
        <v>4168083.4379999996</v>
      </c>
    </row>
    <row r="90" spans="1:12" ht="15" customHeight="1" x14ac:dyDescent="0.3">
      <c r="A90" s="2">
        <v>74</v>
      </c>
      <c r="B90" s="2" t="s">
        <v>4757</v>
      </c>
      <c r="C90" s="2" t="s">
        <v>4840</v>
      </c>
      <c r="D90" s="2" t="s">
        <v>4669</v>
      </c>
      <c r="E90" s="2" t="s">
        <v>4840</v>
      </c>
      <c r="F90" s="11">
        <v>29</v>
      </c>
      <c r="G90" s="2" t="s">
        <v>4876</v>
      </c>
      <c r="H90" s="7">
        <v>996804.06</v>
      </c>
      <c r="I90" s="2">
        <v>3</v>
      </c>
      <c r="J90" s="52">
        <f t="shared" si="3"/>
        <v>2990412.18</v>
      </c>
      <c r="K90" s="50">
        <f t="shared" si="4"/>
        <v>538274.19240000006</v>
      </c>
      <c r="L90" s="51">
        <f t="shared" si="5"/>
        <v>3528686.3724000002</v>
      </c>
    </row>
    <row r="91" spans="1:12" ht="15" customHeight="1" x14ac:dyDescent="0.3">
      <c r="A91" s="2">
        <v>75</v>
      </c>
      <c r="B91" s="2" t="s">
        <v>4758</v>
      </c>
      <c r="C91" s="2" t="s">
        <v>4841</v>
      </c>
      <c r="D91" s="2" t="s">
        <v>4670</v>
      </c>
      <c r="E91" s="2" t="s">
        <v>4841</v>
      </c>
      <c r="F91" s="11">
        <v>30</v>
      </c>
      <c r="G91" s="2" t="s">
        <v>4876</v>
      </c>
      <c r="H91" s="7">
        <v>996804.06</v>
      </c>
      <c r="I91" s="2">
        <v>3</v>
      </c>
      <c r="J91" s="52">
        <f t="shared" si="3"/>
        <v>2990412.18</v>
      </c>
      <c r="K91" s="50">
        <f t="shared" si="4"/>
        <v>538274.19240000006</v>
      </c>
      <c r="L91" s="51">
        <f t="shared" si="5"/>
        <v>3528686.3724000002</v>
      </c>
    </row>
    <row r="92" spans="1:12" ht="15" customHeight="1" x14ac:dyDescent="0.3">
      <c r="A92" s="2">
        <v>76</v>
      </c>
      <c r="B92" s="2" t="s">
        <v>4759</v>
      </c>
      <c r="C92" s="2" t="s">
        <v>4842</v>
      </c>
      <c r="D92" s="2" t="s">
        <v>4671</v>
      </c>
      <c r="E92" s="2" t="s">
        <v>4842</v>
      </c>
      <c r="F92" s="11">
        <v>30</v>
      </c>
      <c r="G92" s="2" t="s">
        <v>4876</v>
      </c>
      <c r="H92" s="7">
        <v>996804.06</v>
      </c>
      <c r="I92" s="2">
        <v>3</v>
      </c>
      <c r="J92" s="52">
        <f t="shared" si="3"/>
        <v>2990412.18</v>
      </c>
      <c r="K92" s="50">
        <f t="shared" si="4"/>
        <v>538274.19240000006</v>
      </c>
      <c r="L92" s="51">
        <f t="shared" si="5"/>
        <v>3528686.3724000002</v>
      </c>
    </row>
    <row r="93" spans="1:12" ht="15" customHeight="1" x14ac:dyDescent="0.3">
      <c r="A93" s="2">
        <v>77</v>
      </c>
      <c r="B93" s="2" t="s">
        <v>4760</v>
      </c>
      <c r="C93" s="2" t="s">
        <v>4843</v>
      </c>
      <c r="D93" s="2" t="s">
        <v>4672</v>
      </c>
      <c r="E93" s="2" t="s">
        <v>4843</v>
      </c>
      <c r="F93" s="11">
        <v>34</v>
      </c>
      <c r="G93" s="2" t="s">
        <v>4876</v>
      </c>
      <c r="H93" s="7">
        <v>1177424.7</v>
      </c>
      <c r="I93" s="2">
        <v>3</v>
      </c>
      <c r="J93" s="52">
        <f t="shared" si="3"/>
        <v>3532274.0999999996</v>
      </c>
      <c r="K93" s="50">
        <f t="shared" si="4"/>
        <v>635809.33799999987</v>
      </c>
      <c r="L93" s="51">
        <f t="shared" si="5"/>
        <v>4168083.4379999996</v>
      </c>
    </row>
    <row r="94" spans="1:12" ht="15" customHeight="1" x14ac:dyDescent="0.3">
      <c r="A94" s="2">
        <v>78</v>
      </c>
      <c r="B94" s="2" t="s">
        <v>4894</v>
      </c>
      <c r="C94" s="2" t="s">
        <v>4930</v>
      </c>
      <c r="D94" s="2"/>
      <c r="E94" s="2" t="s">
        <v>4930</v>
      </c>
      <c r="F94" s="11">
        <v>33</v>
      </c>
      <c r="G94" s="2" t="s">
        <v>4876</v>
      </c>
      <c r="H94" s="7">
        <v>1177424.7</v>
      </c>
      <c r="I94" s="2">
        <v>3</v>
      </c>
      <c r="J94" s="52">
        <f t="shared" si="3"/>
        <v>3532274.0999999996</v>
      </c>
      <c r="K94" s="50">
        <f t="shared" si="4"/>
        <v>635809.33799999987</v>
      </c>
      <c r="L94" s="51">
        <f t="shared" si="5"/>
        <v>4168083.4379999996</v>
      </c>
    </row>
    <row r="95" spans="1:12" ht="15" customHeight="1" x14ac:dyDescent="0.3">
      <c r="A95" s="2">
        <v>79</v>
      </c>
      <c r="B95" s="2" t="s">
        <v>4761</v>
      </c>
      <c r="C95" s="2" t="s">
        <v>4844</v>
      </c>
      <c r="D95" s="2" t="s">
        <v>4673</v>
      </c>
      <c r="E95" s="2" t="s">
        <v>4844</v>
      </c>
      <c r="F95" s="11">
        <v>39</v>
      </c>
      <c r="G95" s="2" t="s">
        <v>4876</v>
      </c>
      <c r="H95" s="7">
        <v>1177424.7</v>
      </c>
      <c r="I95" s="2">
        <v>3</v>
      </c>
      <c r="J95" s="52">
        <f t="shared" si="3"/>
        <v>3532274.0999999996</v>
      </c>
      <c r="K95" s="50">
        <f t="shared" si="4"/>
        <v>635809.33799999987</v>
      </c>
      <c r="L95" s="51">
        <f t="shared" si="5"/>
        <v>4168083.4379999996</v>
      </c>
    </row>
    <row r="96" spans="1:12" ht="15" customHeight="1" x14ac:dyDescent="0.3">
      <c r="A96" s="2">
        <v>80</v>
      </c>
      <c r="B96" s="2" t="s">
        <v>4893</v>
      </c>
      <c r="C96" s="2" t="s">
        <v>4929</v>
      </c>
      <c r="D96" s="2"/>
      <c r="E96" s="2" t="s">
        <v>4929</v>
      </c>
      <c r="F96" s="11">
        <v>34</v>
      </c>
      <c r="G96" s="2" t="s">
        <v>4876</v>
      </c>
      <c r="H96" s="7">
        <v>1177424.7</v>
      </c>
      <c r="I96" s="2">
        <v>3</v>
      </c>
      <c r="J96" s="52">
        <f t="shared" si="3"/>
        <v>3532274.0999999996</v>
      </c>
      <c r="K96" s="50">
        <f t="shared" si="4"/>
        <v>635809.33799999987</v>
      </c>
      <c r="L96" s="51">
        <f t="shared" si="5"/>
        <v>4168083.4379999996</v>
      </c>
    </row>
    <row r="97" spans="1:12" ht="15" customHeight="1" x14ac:dyDescent="0.3">
      <c r="A97" s="2">
        <v>81</v>
      </c>
      <c r="B97" s="2" t="s">
        <v>4762</v>
      </c>
      <c r="C97" s="2" t="s">
        <v>4845</v>
      </c>
      <c r="D97" s="2" t="s">
        <v>4674</v>
      </c>
      <c r="E97" s="2" t="s">
        <v>4845</v>
      </c>
      <c r="F97" s="11">
        <v>26</v>
      </c>
      <c r="G97" s="2" t="s">
        <v>4876</v>
      </c>
      <c r="H97" s="7">
        <v>996804.06</v>
      </c>
      <c r="I97" s="2">
        <v>3</v>
      </c>
      <c r="J97" s="52">
        <f t="shared" si="3"/>
        <v>2990412.18</v>
      </c>
      <c r="K97" s="50">
        <f t="shared" si="4"/>
        <v>538274.19240000006</v>
      </c>
      <c r="L97" s="51">
        <f t="shared" si="5"/>
        <v>3528686.3724000002</v>
      </c>
    </row>
    <row r="98" spans="1:12" ht="15" customHeight="1" x14ac:dyDescent="0.3">
      <c r="A98" s="2">
        <v>82</v>
      </c>
      <c r="B98" s="2" t="s">
        <v>4763</v>
      </c>
      <c r="C98" s="2" t="s">
        <v>4846</v>
      </c>
      <c r="D98" s="2" t="s">
        <v>4675</v>
      </c>
      <c r="E98" s="2" t="s">
        <v>4846</v>
      </c>
      <c r="F98" s="11">
        <v>35</v>
      </c>
      <c r="G98" s="2" t="s">
        <v>4876</v>
      </c>
      <c r="H98" s="7">
        <v>1177424.7</v>
      </c>
      <c r="I98" s="2">
        <v>3</v>
      </c>
      <c r="J98" s="52">
        <f t="shared" si="3"/>
        <v>3532274.0999999996</v>
      </c>
      <c r="K98" s="50">
        <f t="shared" si="4"/>
        <v>635809.33799999987</v>
      </c>
      <c r="L98" s="51">
        <f t="shared" si="5"/>
        <v>4168083.4379999996</v>
      </c>
    </row>
    <row r="99" spans="1:12" ht="15" customHeight="1" x14ac:dyDescent="0.3">
      <c r="A99" s="2">
        <v>83</v>
      </c>
      <c r="B99" s="2" t="s">
        <v>4764</v>
      </c>
      <c r="C99" s="2" t="s">
        <v>4847</v>
      </c>
      <c r="D99" s="2" t="s">
        <v>4676</v>
      </c>
      <c r="E99" s="2" t="s">
        <v>4847</v>
      </c>
      <c r="F99" s="11">
        <v>34</v>
      </c>
      <c r="G99" s="2" t="s">
        <v>4876</v>
      </c>
      <c r="H99" s="7">
        <v>1177424.7</v>
      </c>
      <c r="I99" s="2">
        <v>3</v>
      </c>
      <c r="J99" s="52">
        <f t="shared" si="3"/>
        <v>3532274.0999999996</v>
      </c>
      <c r="K99" s="50">
        <f t="shared" si="4"/>
        <v>635809.33799999987</v>
      </c>
      <c r="L99" s="51">
        <f t="shared" si="5"/>
        <v>4168083.4379999996</v>
      </c>
    </row>
    <row r="100" spans="1:12" ht="15" customHeight="1" x14ac:dyDescent="0.3">
      <c r="A100" s="2">
        <v>84</v>
      </c>
      <c r="B100" s="2" t="s">
        <v>4765</v>
      </c>
      <c r="C100" s="2" t="s">
        <v>4848</v>
      </c>
      <c r="D100" s="2" t="s">
        <v>4677</v>
      </c>
      <c r="E100" s="2" t="s">
        <v>4848</v>
      </c>
      <c r="F100" s="11">
        <v>33</v>
      </c>
      <c r="G100" s="2" t="s">
        <v>4876</v>
      </c>
      <c r="H100" s="7">
        <v>1177424.7</v>
      </c>
      <c r="I100" s="2">
        <v>3</v>
      </c>
      <c r="J100" s="52">
        <f t="shared" si="3"/>
        <v>3532274.0999999996</v>
      </c>
      <c r="K100" s="50">
        <f t="shared" si="4"/>
        <v>635809.33799999987</v>
      </c>
      <c r="L100" s="51">
        <f t="shared" si="5"/>
        <v>4168083.4379999996</v>
      </c>
    </row>
    <row r="101" spans="1:12" ht="15" customHeight="1" x14ac:dyDescent="0.3">
      <c r="A101" s="2">
        <v>85</v>
      </c>
      <c r="B101" s="2" t="s">
        <v>4766</v>
      </c>
      <c r="C101" s="2" t="s">
        <v>4849</v>
      </c>
      <c r="D101" s="2" t="s">
        <v>4678</v>
      </c>
      <c r="E101" s="2" t="s">
        <v>4849</v>
      </c>
      <c r="F101" s="11">
        <v>29</v>
      </c>
      <c r="G101" s="2" t="s">
        <v>4876</v>
      </c>
      <c r="H101" s="7">
        <v>996804.06</v>
      </c>
      <c r="I101" s="2">
        <v>3</v>
      </c>
      <c r="J101" s="52">
        <f t="shared" si="3"/>
        <v>2990412.18</v>
      </c>
      <c r="K101" s="50">
        <f t="shared" si="4"/>
        <v>538274.19240000006</v>
      </c>
      <c r="L101" s="51">
        <f t="shared" si="5"/>
        <v>3528686.3724000002</v>
      </c>
    </row>
    <row r="102" spans="1:12" ht="15" customHeight="1" x14ac:dyDescent="0.3">
      <c r="A102" s="2">
        <v>86</v>
      </c>
      <c r="B102" s="2" t="s">
        <v>4767</v>
      </c>
      <c r="C102" s="2" t="s">
        <v>4850</v>
      </c>
      <c r="D102" s="2" t="s">
        <v>4679</v>
      </c>
      <c r="E102" s="2" t="s">
        <v>4850</v>
      </c>
      <c r="F102" s="11">
        <v>35</v>
      </c>
      <c r="G102" s="2" t="s">
        <v>4876</v>
      </c>
      <c r="H102" s="7">
        <v>1177424.7</v>
      </c>
      <c r="I102" s="2">
        <v>3</v>
      </c>
      <c r="J102" s="52">
        <f t="shared" si="3"/>
        <v>3532274.0999999996</v>
      </c>
      <c r="K102" s="50">
        <f t="shared" si="4"/>
        <v>635809.33799999987</v>
      </c>
      <c r="L102" s="51">
        <f t="shared" si="5"/>
        <v>4168083.4379999996</v>
      </c>
    </row>
    <row r="103" spans="1:12" ht="15" customHeight="1" x14ac:dyDescent="0.3">
      <c r="A103" s="2">
        <v>87</v>
      </c>
      <c r="B103" s="2" t="s">
        <v>4768</v>
      </c>
      <c r="C103" s="2" t="s">
        <v>4851</v>
      </c>
      <c r="D103" s="2" t="s">
        <v>4680</v>
      </c>
      <c r="E103" s="2" t="s">
        <v>4851</v>
      </c>
      <c r="F103" s="11">
        <v>29</v>
      </c>
      <c r="G103" s="2" t="s">
        <v>4876</v>
      </c>
      <c r="H103" s="7">
        <v>996804.06</v>
      </c>
      <c r="I103" s="2">
        <v>3</v>
      </c>
      <c r="J103" s="52">
        <f t="shared" si="3"/>
        <v>2990412.18</v>
      </c>
      <c r="K103" s="50">
        <f t="shared" si="4"/>
        <v>538274.19240000006</v>
      </c>
      <c r="L103" s="51">
        <f t="shared" si="5"/>
        <v>3528686.3724000002</v>
      </c>
    </row>
    <row r="104" spans="1:12" ht="15" customHeight="1" x14ac:dyDescent="0.3">
      <c r="A104" s="2">
        <v>88</v>
      </c>
      <c r="B104" s="2" t="s">
        <v>4769</v>
      </c>
      <c r="C104" s="2" t="s">
        <v>4852</v>
      </c>
      <c r="D104" s="2" t="s">
        <v>4681</v>
      </c>
      <c r="E104" s="2" t="s">
        <v>4852</v>
      </c>
      <c r="F104" s="11">
        <v>34</v>
      </c>
      <c r="G104" s="2" t="s">
        <v>4876</v>
      </c>
      <c r="H104" s="7">
        <v>1177424.7</v>
      </c>
      <c r="I104" s="2">
        <v>3</v>
      </c>
      <c r="J104" s="52">
        <f t="shared" si="3"/>
        <v>3532274.0999999996</v>
      </c>
      <c r="K104" s="50">
        <f t="shared" si="4"/>
        <v>635809.33799999987</v>
      </c>
      <c r="L104" s="51">
        <f t="shared" si="5"/>
        <v>4168083.4379999996</v>
      </c>
    </row>
    <row r="105" spans="1:12" ht="15" customHeight="1" x14ac:dyDescent="0.3">
      <c r="A105" s="2">
        <v>89</v>
      </c>
      <c r="B105" s="2" t="s">
        <v>4770</v>
      </c>
      <c r="C105" s="2" t="s">
        <v>4853</v>
      </c>
      <c r="D105" s="2" t="s">
        <v>4682</v>
      </c>
      <c r="E105" s="2" t="s">
        <v>4853</v>
      </c>
      <c r="F105" s="11">
        <v>29</v>
      </c>
      <c r="G105" s="2" t="s">
        <v>4876</v>
      </c>
      <c r="H105" s="7">
        <v>996804.06</v>
      </c>
      <c r="I105" s="2">
        <v>3</v>
      </c>
      <c r="J105" s="52">
        <f t="shared" si="3"/>
        <v>2990412.18</v>
      </c>
      <c r="K105" s="50">
        <f t="shared" si="4"/>
        <v>538274.19240000006</v>
      </c>
      <c r="L105" s="51">
        <f t="shared" si="5"/>
        <v>3528686.3724000002</v>
      </c>
    </row>
    <row r="106" spans="1:12" ht="15" customHeight="1" x14ac:dyDescent="0.3">
      <c r="A106" s="2">
        <v>90</v>
      </c>
      <c r="B106" s="2" t="s">
        <v>4771</v>
      </c>
      <c r="C106" s="2" t="s">
        <v>4854</v>
      </c>
      <c r="D106" s="2" t="s">
        <v>4683</v>
      </c>
      <c r="E106" s="2" t="s">
        <v>4854</v>
      </c>
      <c r="F106" s="11">
        <v>33</v>
      </c>
      <c r="G106" s="2" t="s">
        <v>4876</v>
      </c>
      <c r="H106" s="7">
        <v>1177424.7</v>
      </c>
      <c r="I106" s="2">
        <v>3</v>
      </c>
      <c r="J106" s="52">
        <f t="shared" si="3"/>
        <v>3532274.0999999996</v>
      </c>
      <c r="K106" s="50">
        <f t="shared" si="4"/>
        <v>635809.33799999987</v>
      </c>
      <c r="L106" s="51">
        <f t="shared" si="5"/>
        <v>4168083.4379999996</v>
      </c>
    </row>
    <row r="107" spans="1:12" ht="15" customHeight="1" x14ac:dyDescent="0.3">
      <c r="A107" s="2">
        <v>91</v>
      </c>
      <c r="B107" s="2" t="s">
        <v>4772</v>
      </c>
      <c r="C107" s="2" t="s">
        <v>4855</v>
      </c>
      <c r="D107" s="2" t="s">
        <v>4684</v>
      </c>
      <c r="E107" s="2" t="s">
        <v>4855</v>
      </c>
      <c r="F107" s="11">
        <v>35</v>
      </c>
      <c r="G107" s="2" t="s">
        <v>4876</v>
      </c>
      <c r="H107" s="7">
        <v>1177424.7</v>
      </c>
      <c r="I107" s="2">
        <v>3</v>
      </c>
      <c r="J107" s="52">
        <f t="shared" si="3"/>
        <v>3532274.0999999996</v>
      </c>
      <c r="K107" s="50">
        <f t="shared" si="4"/>
        <v>635809.33799999987</v>
      </c>
      <c r="L107" s="51">
        <f t="shared" si="5"/>
        <v>4168083.4379999996</v>
      </c>
    </row>
    <row r="108" spans="1:12" ht="15" customHeight="1" x14ac:dyDescent="0.3">
      <c r="A108" s="2">
        <v>92</v>
      </c>
      <c r="B108" s="2" t="s">
        <v>4905</v>
      </c>
      <c r="C108" s="2" t="s">
        <v>4941</v>
      </c>
      <c r="D108" s="2"/>
      <c r="E108" s="2" t="s">
        <v>4941</v>
      </c>
      <c r="F108" s="11">
        <v>38</v>
      </c>
      <c r="G108" s="2" t="s">
        <v>4876</v>
      </c>
      <c r="H108" s="7">
        <v>1177424.7</v>
      </c>
      <c r="I108" s="2">
        <v>3</v>
      </c>
      <c r="J108" s="52">
        <f t="shared" si="3"/>
        <v>3532274.0999999996</v>
      </c>
      <c r="K108" s="50">
        <f t="shared" si="4"/>
        <v>635809.33799999987</v>
      </c>
      <c r="L108" s="51">
        <f t="shared" si="5"/>
        <v>4168083.4379999996</v>
      </c>
    </row>
    <row r="109" spans="1:12" ht="15" customHeight="1" x14ac:dyDescent="0.3">
      <c r="A109" s="2">
        <v>93</v>
      </c>
      <c r="B109" s="2" t="s">
        <v>4773</v>
      </c>
      <c r="C109" s="2" t="s">
        <v>4856</v>
      </c>
      <c r="D109" s="2" t="s">
        <v>4685</v>
      </c>
      <c r="E109" s="2" t="s">
        <v>4856</v>
      </c>
      <c r="F109" s="11">
        <v>55</v>
      </c>
      <c r="G109" s="2" t="s">
        <v>4876</v>
      </c>
      <c r="H109" s="7">
        <v>1430786.78</v>
      </c>
      <c r="I109" s="2">
        <v>3</v>
      </c>
      <c r="J109" s="52">
        <f t="shared" si="3"/>
        <v>4292360.34</v>
      </c>
      <c r="K109" s="50">
        <f t="shared" si="4"/>
        <v>772624.86119999993</v>
      </c>
      <c r="L109" s="51">
        <f t="shared" si="5"/>
        <v>5064985.2012</v>
      </c>
    </row>
    <row r="110" spans="1:12" ht="15" customHeight="1" x14ac:dyDescent="0.3">
      <c r="A110" s="2">
        <v>94</v>
      </c>
      <c r="B110" s="2" t="s">
        <v>4774</v>
      </c>
      <c r="C110" s="2" t="s">
        <v>3003</v>
      </c>
      <c r="D110" s="2" t="s">
        <v>4686</v>
      </c>
      <c r="E110" s="2" t="s">
        <v>3003</v>
      </c>
      <c r="F110" s="11">
        <v>38</v>
      </c>
      <c r="G110" s="2" t="s">
        <v>4876</v>
      </c>
      <c r="H110" s="7">
        <v>1177424.7</v>
      </c>
      <c r="I110" s="2">
        <v>3</v>
      </c>
      <c r="J110" s="52">
        <f t="shared" si="3"/>
        <v>3532274.0999999996</v>
      </c>
      <c r="K110" s="50">
        <f t="shared" si="4"/>
        <v>635809.33799999987</v>
      </c>
      <c r="L110" s="51">
        <f t="shared" si="5"/>
        <v>4168083.4379999996</v>
      </c>
    </row>
    <row r="111" spans="1:12" ht="15" customHeight="1" x14ac:dyDescent="0.3">
      <c r="A111" s="2">
        <v>95</v>
      </c>
      <c r="B111" s="2" t="s">
        <v>4775</v>
      </c>
      <c r="C111" s="2" t="s">
        <v>1997</v>
      </c>
      <c r="D111" s="2" t="s">
        <v>4687</v>
      </c>
      <c r="E111" s="2" t="s">
        <v>1997</v>
      </c>
      <c r="F111" s="11">
        <v>40</v>
      </c>
      <c r="G111" s="2" t="s">
        <v>4876</v>
      </c>
      <c r="H111" s="7">
        <v>1177424.7</v>
      </c>
      <c r="I111" s="2">
        <v>3</v>
      </c>
      <c r="J111" s="52">
        <f t="shared" si="3"/>
        <v>3532274.0999999996</v>
      </c>
      <c r="K111" s="50">
        <f t="shared" si="4"/>
        <v>635809.33799999987</v>
      </c>
      <c r="L111" s="51">
        <f t="shared" si="5"/>
        <v>4168083.4379999996</v>
      </c>
    </row>
    <row r="112" spans="1:12" ht="15" customHeight="1" x14ac:dyDescent="0.3">
      <c r="A112" s="2">
        <v>96</v>
      </c>
      <c r="B112" s="2" t="s">
        <v>4776</v>
      </c>
      <c r="C112" s="2" t="s">
        <v>4857</v>
      </c>
      <c r="D112" s="2" t="s">
        <v>4688</v>
      </c>
      <c r="E112" s="2" t="s">
        <v>4857</v>
      </c>
      <c r="F112" s="11">
        <v>28</v>
      </c>
      <c r="G112" s="2" t="s">
        <v>4876</v>
      </c>
      <c r="H112" s="7">
        <v>996804.06</v>
      </c>
      <c r="I112" s="2">
        <v>3</v>
      </c>
      <c r="J112" s="52">
        <f t="shared" si="3"/>
        <v>2990412.18</v>
      </c>
      <c r="K112" s="50">
        <f t="shared" si="4"/>
        <v>538274.19240000006</v>
      </c>
      <c r="L112" s="51">
        <f t="shared" si="5"/>
        <v>3528686.3724000002</v>
      </c>
    </row>
    <row r="113" spans="1:12" ht="15" customHeight="1" x14ac:dyDescent="0.3">
      <c r="A113" s="2">
        <v>97</v>
      </c>
      <c r="B113" s="2" t="s">
        <v>4777</v>
      </c>
      <c r="C113" s="2" t="s">
        <v>4858</v>
      </c>
      <c r="D113" s="2" t="s">
        <v>4689</v>
      </c>
      <c r="E113" s="2" t="s">
        <v>4858</v>
      </c>
      <c r="F113" s="11">
        <v>27</v>
      </c>
      <c r="G113" s="2" t="s">
        <v>4876</v>
      </c>
      <c r="H113" s="7">
        <v>996804.06</v>
      </c>
      <c r="I113" s="2">
        <v>3</v>
      </c>
      <c r="J113" s="52">
        <f t="shared" si="3"/>
        <v>2990412.18</v>
      </c>
      <c r="K113" s="50">
        <f t="shared" si="4"/>
        <v>538274.19240000006</v>
      </c>
      <c r="L113" s="51">
        <f t="shared" si="5"/>
        <v>3528686.3724000002</v>
      </c>
    </row>
    <row r="114" spans="1:12" ht="15" customHeight="1" x14ac:dyDescent="0.3">
      <c r="A114" s="2">
        <v>98</v>
      </c>
      <c r="B114" s="2" t="s">
        <v>4886</v>
      </c>
      <c r="C114" s="2" t="s">
        <v>4922</v>
      </c>
      <c r="D114" s="2"/>
      <c r="E114" s="2" t="s">
        <v>4922</v>
      </c>
      <c r="F114" s="11">
        <v>27</v>
      </c>
      <c r="G114" s="2" t="s">
        <v>4876</v>
      </c>
      <c r="H114" s="7">
        <v>996804.06</v>
      </c>
      <c r="I114" s="2">
        <v>3</v>
      </c>
      <c r="J114" s="52">
        <f t="shared" si="3"/>
        <v>2990412.18</v>
      </c>
      <c r="K114" s="50">
        <f t="shared" si="4"/>
        <v>538274.19240000006</v>
      </c>
      <c r="L114" s="51">
        <f t="shared" si="5"/>
        <v>3528686.3724000002</v>
      </c>
    </row>
    <row r="115" spans="1:12" ht="15" customHeight="1" x14ac:dyDescent="0.3">
      <c r="A115" s="2">
        <v>99</v>
      </c>
      <c r="B115" s="2" t="s">
        <v>4778</v>
      </c>
      <c r="C115" s="2" t="s">
        <v>4859</v>
      </c>
      <c r="D115" s="2" t="s">
        <v>4690</v>
      </c>
      <c r="E115" s="2" t="s">
        <v>4859</v>
      </c>
      <c r="F115" s="11">
        <v>27</v>
      </c>
      <c r="G115" s="2" t="s">
        <v>4876</v>
      </c>
      <c r="H115" s="7">
        <v>996804.06</v>
      </c>
      <c r="I115" s="2">
        <v>3</v>
      </c>
      <c r="J115" s="52">
        <f t="shared" si="3"/>
        <v>2990412.18</v>
      </c>
      <c r="K115" s="50">
        <f t="shared" si="4"/>
        <v>538274.19240000006</v>
      </c>
      <c r="L115" s="51">
        <f t="shared" si="5"/>
        <v>3528686.3724000002</v>
      </c>
    </row>
    <row r="116" spans="1:12" ht="15" customHeight="1" x14ac:dyDescent="0.3">
      <c r="A116" s="2">
        <v>100</v>
      </c>
      <c r="B116" s="2" t="s">
        <v>4779</v>
      </c>
      <c r="C116" s="2" t="s">
        <v>4860</v>
      </c>
      <c r="D116" s="2" t="s">
        <v>4691</v>
      </c>
      <c r="E116" s="2" t="s">
        <v>4860</v>
      </c>
      <c r="F116" s="11">
        <v>53</v>
      </c>
      <c r="G116" s="2" t="s">
        <v>4876</v>
      </c>
      <c r="H116" s="7">
        <v>1430786.78</v>
      </c>
      <c r="I116" s="2">
        <v>3</v>
      </c>
      <c r="J116" s="52">
        <f t="shared" si="3"/>
        <v>4292360.34</v>
      </c>
      <c r="K116" s="50">
        <f t="shared" si="4"/>
        <v>772624.86119999993</v>
      </c>
      <c r="L116" s="51">
        <f t="shared" si="5"/>
        <v>5064985.2012</v>
      </c>
    </row>
    <row r="117" spans="1:12" ht="15" customHeight="1" x14ac:dyDescent="0.3">
      <c r="A117" s="2">
        <v>101</v>
      </c>
      <c r="B117" s="2" t="s">
        <v>4780</v>
      </c>
      <c r="C117" s="2" t="s">
        <v>4861</v>
      </c>
      <c r="D117" s="2" t="s">
        <v>4692</v>
      </c>
      <c r="E117" s="2" t="s">
        <v>4861</v>
      </c>
      <c r="F117" s="11">
        <v>27</v>
      </c>
      <c r="G117" s="2" t="s">
        <v>4876</v>
      </c>
      <c r="H117" s="7">
        <v>996804.06</v>
      </c>
      <c r="I117" s="2">
        <v>3</v>
      </c>
      <c r="J117" s="52">
        <f t="shared" si="3"/>
        <v>2990412.18</v>
      </c>
      <c r="K117" s="50">
        <f t="shared" si="4"/>
        <v>538274.19240000006</v>
      </c>
      <c r="L117" s="51">
        <f t="shared" si="5"/>
        <v>3528686.3724000002</v>
      </c>
    </row>
    <row r="118" spans="1:12" ht="15" customHeight="1" x14ac:dyDescent="0.3">
      <c r="A118" s="2">
        <v>102</v>
      </c>
      <c r="B118" s="2" t="s">
        <v>4781</v>
      </c>
      <c r="C118" s="2" t="s">
        <v>4862</v>
      </c>
      <c r="D118" s="2" t="s">
        <v>4693</v>
      </c>
      <c r="E118" s="2" t="s">
        <v>4862</v>
      </c>
      <c r="F118" s="11">
        <v>53</v>
      </c>
      <c r="G118" s="2" t="s">
        <v>4876</v>
      </c>
      <c r="H118" s="7">
        <v>1430786.78</v>
      </c>
      <c r="I118" s="2">
        <v>3</v>
      </c>
      <c r="J118" s="52">
        <f t="shared" si="3"/>
        <v>4292360.34</v>
      </c>
      <c r="K118" s="50">
        <f t="shared" si="4"/>
        <v>772624.86119999993</v>
      </c>
      <c r="L118" s="51">
        <f t="shared" si="5"/>
        <v>5064985.2012</v>
      </c>
    </row>
    <row r="119" spans="1:12" ht="15" customHeight="1" x14ac:dyDescent="0.3">
      <c r="A119" s="2">
        <v>103</v>
      </c>
      <c r="B119" s="2" t="s">
        <v>4782</v>
      </c>
      <c r="C119" s="2" t="s">
        <v>4863</v>
      </c>
      <c r="D119" s="2" t="s">
        <v>4694</v>
      </c>
      <c r="E119" s="2" t="s">
        <v>4863</v>
      </c>
      <c r="F119" s="11">
        <v>34</v>
      </c>
      <c r="G119" s="2" t="s">
        <v>4876</v>
      </c>
      <c r="H119" s="7">
        <v>1177424.7</v>
      </c>
      <c r="I119" s="2">
        <v>3</v>
      </c>
      <c r="J119" s="52">
        <f t="shared" si="3"/>
        <v>3532274.0999999996</v>
      </c>
      <c r="K119" s="50">
        <f t="shared" si="4"/>
        <v>635809.33799999987</v>
      </c>
      <c r="L119" s="51">
        <f t="shared" si="5"/>
        <v>4168083.4379999996</v>
      </c>
    </row>
    <row r="120" spans="1:12" ht="15" customHeight="1" x14ac:dyDescent="0.3">
      <c r="A120" s="2">
        <v>104</v>
      </c>
      <c r="B120" s="2" t="s">
        <v>4783</v>
      </c>
      <c r="C120" s="2" t="s">
        <v>4864</v>
      </c>
      <c r="D120" s="2" t="s">
        <v>4695</v>
      </c>
      <c r="E120" s="2" t="s">
        <v>4864</v>
      </c>
      <c r="F120" s="11">
        <v>36</v>
      </c>
      <c r="G120" s="2" t="s">
        <v>4876</v>
      </c>
      <c r="H120" s="7">
        <v>1177424.7</v>
      </c>
      <c r="I120" s="2">
        <v>3</v>
      </c>
      <c r="J120" s="52">
        <f t="shared" si="3"/>
        <v>3532274.0999999996</v>
      </c>
      <c r="K120" s="50">
        <f t="shared" si="4"/>
        <v>635809.33799999987</v>
      </c>
      <c r="L120" s="51">
        <f t="shared" si="5"/>
        <v>4168083.4379999996</v>
      </c>
    </row>
    <row r="121" spans="1:12" ht="15" customHeight="1" x14ac:dyDescent="0.3">
      <c r="A121" s="2">
        <v>105</v>
      </c>
      <c r="B121" s="2" t="s">
        <v>4784</v>
      </c>
      <c r="C121" s="2" t="s">
        <v>4865</v>
      </c>
      <c r="D121" s="2" t="s">
        <v>4696</v>
      </c>
      <c r="E121" s="2" t="s">
        <v>4865</v>
      </c>
      <c r="F121" s="11">
        <v>26</v>
      </c>
      <c r="G121" s="2" t="s">
        <v>4876</v>
      </c>
      <c r="H121" s="7">
        <v>996804.06</v>
      </c>
      <c r="I121" s="2">
        <v>3</v>
      </c>
      <c r="J121" s="52">
        <f t="shared" si="3"/>
        <v>2990412.18</v>
      </c>
      <c r="K121" s="50">
        <f t="shared" si="4"/>
        <v>538274.19240000006</v>
      </c>
      <c r="L121" s="51">
        <f t="shared" si="5"/>
        <v>3528686.3724000002</v>
      </c>
    </row>
    <row r="122" spans="1:12" ht="15" customHeight="1" x14ac:dyDescent="0.3">
      <c r="A122" s="2">
        <v>106</v>
      </c>
      <c r="B122" s="2" t="s">
        <v>4785</v>
      </c>
      <c r="C122" s="2" t="s">
        <v>4866</v>
      </c>
      <c r="D122" s="2" t="s">
        <v>4697</v>
      </c>
      <c r="E122" s="2" t="s">
        <v>4866</v>
      </c>
      <c r="F122" s="11">
        <v>34</v>
      </c>
      <c r="G122" s="2" t="s">
        <v>4876</v>
      </c>
      <c r="H122" s="7">
        <v>1177424.7</v>
      </c>
      <c r="I122" s="2">
        <v>3</v>
      </c>
      <c r="J122" s="52">
        <f t="shared" si="3"/>
        <v>3532274.0999999996</v>
      </c>
      <c r="K122" s="50">
        <f t="shared" si="4"/>
        <v>635809.33799999987</v>
      </c>
      <c r="L122" s="51">
        <f t="shared" si="5"/>
        <v>4168083.4379999996</v>
      </c>
    </row>
    <row r="123" spans="1:12" ht="15" customHeight="1" x14ac:dyDescent="0.3">
      <c r="A123" s="2">
        <v>107</v>
      </c>
      <c r="B123" s="2" t="s">
        <v>4909</v>
      </c>
      <c r="C123" s="2" t="s">
        <v>4945</v>
      </c>
      <c r="D123" s="2"/>
      <c r="E123" s="2" t="s">
        <v>4945</v>
      </c>
      <c r="F123" s="11">
        <v>78</v>
      </c>
      <c r="G123" s="2" t="s">
        <v>4876</v>
      </c>
      <c r="H123" s="7">
        <v>2006301.73</v>
      </c>
      <c r="I123" s="2">
        <v>3</v>
      </c>
      <c r="J123" s="52">
        <f t="shared" si="3"/>
        <v>6018905.1899999995</v>
      </c>
      <c r="K123" s="50">
        <f t="shared" si="4"/>
        <v>1083402.9341999998</v>
      </c>
      <c r="L123" s="51">
        <f t="shared" si="5"/>
        <v>7102308.1241999995</v>
      </c>
    </row>
    <row r="124" spans="1:12" ht="15" customHeight="1" x14ac:dyDescent="0.3">
      <c r="A124" s="2">
        <v>108</v>
      </c>
      <c r="B124" s="2" t="s">
        <v>4908</v>
      </c>
      <c r="C124" s="2" t="s">
        <v>4944</v>
      </c>
      <c r="D124" s="2"/>
      <c r="E124" s="2" t="s">
        <v>4944</v>
      </c>
      <c r="F124" s="11">
        <v>54</v>
      </c>
      <c r="G124" s="2" t="s">
        <v>4876</v>
      </c>
      <c r="H124" s="7">
        <v>1430786.78</v>
      </c>
      <c r="I124" s="2">
        <v>3</v>
      </c>
      <c r="J124" s="52">
        <f t="shared" si="3"/>
        <v>4292360.34</v>
      </c>
      <c r="K124" s="50">
        <f t="shared" si="4"/>
        <v>772624.86119999993</v>
      </c>
      <c r="L124" s="51">
        <f t="shared" si="5"/>
        <v>5064985.2012</v>
      </c>
    </row>
    <row r="125" spans="1:12" ht="15" customHeight="1" x14ac:dyDescent="0.3">
      <c r="A125" s="2">
        <v>109</v>
      </c>
      <c r="B125" s="2" t="s">
        <v>4907</v>
      </c>
      <c r="C125" s="2" t="s">
        <v>4943</v>
      </c>
      <c r="D125" s="2"/>
      <c r="E125" s="2" t="s">
        <v>4943</v>
      </c>
      <c r="F125" s="11">
        <v>40</v>
      </c>
      <c r="G125" s="2" t="s">
        <v>4876</v>
      </c>
      <c r="H125" s="7">
        <v>1177424.7</v>
      </c>
      <c r="I125" s="2">
        <v>3</v>
      </c>
      <c r="J125" s="52">
        <f t="shared" si="3"/>
        <v>3532274.0999999996</v>
      </c>
      <c r="K125" s="50">
        <f t="shared" si="4"/>
        <v>635809.33799999987</v>
      </c>
      <c r="L125" s="51">
        <f t="shared" si="5"/>
        <v>4168083.4379999996</v>
      </c>
    </row>
    <row r="126" spans="1:12" ht="15" customHeight="1" x14ac:dyDescent="0.3">
      <c r="A126" s="2">
        <v>110</v>
      </c>
      <c r="B126" s="2" t="s">
        <v>4888</v>
      </c>
      <c r="C126" s="2" t="s">
        <v>4924</v>
      </c>
      <c r="D126" s="2"/>
      <c r="E126" s="2" t="s">
        <v>4924</v>
      </c>
      <c r="F126" s="11">
        <v>30</v>
      </c>
      <c r="G126" s="2" t="s">
        <v>4876</v>
      </c>
      <c r="H126" s="7">
        <v>996804.06</v>
      </c>
      <c r="I126" s="2">
        <v>3</v>
      </c>
      <c r="J126" s="52">
        <f t="shared" si="3"/>
        <v>2990412.18</v>
      </c>
      <c r="K126" s="50">
        <f t="shared" si="4"/>
        <v>538274.19240000006</v>
      </c>
      <c r="L126" s="51">
        <f t="shared" si="5"/>
        <v>3528686.3724000002</v>
      </c>
    </row>
    <row r="127" spans="1:12" ht="15" customHeight="1" x14ac:dyDescent="0.3">
      <c r="A127" s="2">
        <v>111</v>
      </c>
      <c r="B127" s="2" t="s">
        <v>4786</v>
      </c>
      <c r="C127" s="2" t="s">
        <v>4867</v>
      </c>
      <c r="D127" s="2" t="s">
        <v>4698</v>
      </c>
      <c r="E127" s="2" t="s">
        <v>4867</v>
      </c>
      <c r="F127" s="11">
        <v>34</v>
      </c>
      <c r="G127" s="2" t="s">
        <v>4876</v>
      </c>
      <c r="H127" s="7">
        <v>1177424.7</v>
      </c>
      <c r="I127" s="2">
        <v>3</v>
      </c>
      <c r="J127" s="52">
        <f t="shared" si="3"/>
        <v>3532274.0999999996</v>
      </c>
      <c r="K127" s="50">
        <f t="shared" si="4"/>
        <v>635809.33799999987</v>
      </c>
      <c r="L127" s="51">
        <f t="shared" si="5"/>
        <v>4168083.4379999996</v>
      </c>
    </row>
    <row r="128" spans="1:12" s="57" customFormat="1" ht="15" customHeight="1" x14ac:dyDescent="0.3">
      <c r="A128" s="2">
        <v>112</v>
      </c>
      <c r="B128" s="55" t="s">
        <v>4787</v>
      </c>
      <c r="C128" s="55" t="s">
        <v>4868</v>
      </c>
      <c r="D128" s="55" t="s">
        <v>4699</v>
      </c>
      <c r="E128" s="55" t="s">
        <v>4868</v>
      </c>
      <c r="F128" s="56">
        <v>27</v>
      </c>
      <c r="G128" s="55" t="s">
        <v>4876</v>
      </c>
      <c r="H128" s="7">
        <v>996804.06</v>
      </c>
      <c r="I128" s="55">
        <v>3</v>
      </c>
      <c r="J128" s="52">
        <f t="shared" si="3"/>
        <v>2990412.18</v>
      </c>
      <c r="K128" s="50">
        <f t="shared" si="4"/>
        <v>538274.19240000006</v>
      </c>
      <c r="L128" s="51">
        <f t="shared" si="5"/>
        <v>3528686.3724000002</v>
      </c>
    </row>
    <row r="129" spans="1:12" ht="15" customHeight="1" x14ac:dyDescent="0.3">
      <c r="A129" s="2">
        <v>113</v>
      </c>
      <c r="B129" s="2" t="s">
        <v>4788</v>
      </c>
      <c r="C129" s="2" t="s">
        <v>4869</v>
      </c>
      <c r="D129" s="2" t="s">
        <v>4700</v>
      </c>
      <c r="E129" s="2" t="s">
        <v>4869</v>
      </c>
      <c r="F129" s="11">
        <v>27</v>
      </c>
      <c r="G129" s="2" t="s">
        <v>4876</v>
      </c>
      <c r="H129" s="7">
        <v>996804.06</v>
      </c>
      <c r="I129" s="2">
        <v>3</v>
      </c>
      <c r="J129" s="52">
        <f t="shared" si="3"/>
        <v>2990412.18</v>
      </c>
      <c r="K129" s="50">
        <f t="shared" si="4"/>
        <v>538274.19240000006</v>
      </c>
      <c r="L129" s="51">
        <f t="shared" si="5"/>
        <v>3528686.3724000002</v>
      </c>
    </row>
    <row r="130" spans="1:12" ht="15" customHeight="1" x14ac:dyDescent="0.3">
      <c r="A130" s="2">
        <v>114</v>
      </c>
      <c r="B130" s="2" t="s">
        <v>4789</v>
      </c>
      <c r="C130" s="2" t="s">
        <v>4870</v>
      </c>
      <c r="D130" s="2" t="s">
        <v>4701</v>
      </c>
      <c r="E130" s="2" t="s">
        <v>4870</v>
      </c>
      <c r="F130" s="11">
        <v>27</v>
      </c>
      <c r="G130" s="2" t="s">
        <v>4876</v>
      </c>
      <c r="H130" s="7">
        <v>996804.06</v>
      </c>
      <c r="I130" s="2">
        <v>3</v>
      </c>
      <c r="J130" s="52">
        <f t="shared" si="3"/>
        <v>2990412.18</v>
      </c>
      <c r="K130" s="50">
        <f t="shared" si="4"/>
        <v>538274.19240000006</v>
      </c>
      <c r="L130" s="51">
        <f t="shared" si="5"/>
        <v>3528686.3724000002</v>
      </c>
    </row>
    <row r="131" spans="1:12" ht="15" customHeight="1" x14ac:dyDescent="0.3">
      <c r="A131" s="2">
        <v>115</v>
      </c>
      <c r="B131" s="2" t="s">
        <v>4790</v>
      </c>
      <c r="C131" s="2" t="s">
        <v>4871</v>
      </c>
      <c r="D131" s="2" t="s">
        <v>4702</v>
      </c>
      <c r="E131" s="2" t="s">
        <v>4871</v>
      </c>
      <c r="F131" s="11">
        <v>34</v>
      </c>
      <c r="G131" s="2" t="s">
        <v>4876</v>
      </c>
      <c r="H131" s="7">
        <v>1177424.7</v>
      </c>
      <c r="I131" s="2">
        <v>3</v>
      </c>
      <c r="J131" s="52">
        <f t="shared" si="3"/>
        <v>3532274.0999999996</v>
      </c>
      <c r="K131" s="50">
        <f t="shared" si="4"/>
        <v>635809.33799999987</v>
      </c>
      <c r="L131" s="51">
        <f t="shared" si="5"/>
        <v>4168083.4379999996</v>
      </c>
    </row>
    <row r="132" spans="1:12" ht="15" customHeight="1" x14ac:dyDescent="0.3">
      <c r="A132" s="2">
        <v>116</v>
      </c>
      <c r="B132" s="2" t="s">
        <v>4791</v>
      </c>
      <c r="C132" s="2" t="s">
        <v>4872</v>
      </c>
      <c r="D132" s="2" t="s">
        <v>4703</v>
      </c>
      <c r="E132" s="2" t="s">
        <v>4872</v>
      </c>
      <c r="F132" s="11">
        <v>30</v>
      </c>
      <c r="G132" s="2" t="s">
        <v>4876</v>
      </c>
      <c r="H132" s="7">
        <v>996804.06</v>
      </c>
      <c r="I132" s="2">
        <v>3</v>
      </c>
      <c r="J132" s="52">
        <f t="shared" si="3"/>
        <v>2990412.18</v>
      </c>
      <c r="K132" s="50">
        <f t="shared" si="4"/>
        <v>538274.19240000006</v>
      </c>
      <c r="L132" s="51">
        <f t="shared" si="5"/>
        <v>3528686.3724000002</v>
      </c>
    </row>
    <row r="133" spans="1:12" ht="15" customHeight="1" x14ac:dyDescent="0.3">
      <c r="A133" s="2">
        <v>117</v>
      </c>
      <c r="B133" s="2" t="s">
        <v>4792</v>
      </c>
      <c r="C133" s="2" t="s">
        <v>4873</v>
      </c>
      <c r="D133" s="2" t="s">
        <v>4704</v>
      </c>
      <c r="E133" s="2" t="s">
        <v>4873</v>
      </c>
      <c r="F133" s="11">
        <v>30</v>
      </c>
      <c r="G133" s="2" t="s">
        <v>4876</v>
      </c>
      <c r="H133" s="7">
        <v>996804.06</v>
      </c>
      <c r="I133" s="2">
        <v>3</v>
      </c>
      <c r="J133" s="52">
        <f t="shared" si="3"/>
        <v>2990412.18</v>
      </c>
      <c r="K133" s="50">
        <f t="shared" si="4"/>
        <v>538274.19240000006</v>
      </c>
      <c r="L133" s="51">
        <f t="shared" si="5"/>
        <v>3528686.3724000002</v>
      </c>
    </row>
    <row r="134" spans="1:12" ht="15" customHeight="1" x14ac:dyDescent="0.3">
      <c r="A134" s="2">
        <v>118</v>
      </c>
      <c r="B134" s="2" t="s">
        <v>4889</v>
      </c>
      <c r="C134" s="2" t="s">
        <v>4925</v>
      </c>
      <c r="D134" s="2"/>
      <c r="E134" s="2" t="s">
        <v>4925</v>
      </c>
      <c r="F134" s="11">
        <v>28</v>
      </c>
      <c r="G134" s="2" t="s">
        <v>4876</v>
      </c>
      <c r="H134" s="7">
        <v>996804.06</v>
      </c>
      <c r="I134" s="2">
        <v>3</v>
      </c>
      <c r="J134" s="52">
        <f t="shared" si="3"/>
        <v>2990412.18</v>
      </c>
      <c r="K134" s="50">
        <f t="shared" si="4"/>
        <v>538274.19240000006</v>
      </c>
      <c r="L134" s="51">
        <f t="shared" si="5"/>
        <v>3528686.3724000002</v>
      </c>
    </row>
    <row r="135" spans="1:12" ht="15" customHeight="1" x14ac:dyDescent="0.3">
      <c r="A135" s="2">
        <v>119</v>
      </c>
      <c r="B135" s="2" t="s">
        <v>4891</v>
      </c>
      <c r="C135" s="2" t="s">
        <v>4927</v>
      </c>
      <c r="D135" s="2"/>
      <c r="E135" s="2" t="s">
        <v>4927</v>
      </c>
      <c r="F135" s="11">
        <v>32</v>
      </c>
      <c r="G135" s="2" t="s">
        <v>4876</v>
      </c>
      <c r="H135" s="7">
        <v>996804.06</v>
      </c>
      <c r="I135" s="2">
        <v>3</v>
      </c>
      <c r="J135" s="52">
        <f t="shared" si="3"/>
        <v>2990412.18</v>
      </c>
      <c r="K135" s="50">
        <f t="shared" si="4"/>
        <v>538274.19240000006</v>
      </c>
      <c r="L135" s="51">
        <f t="shared" si="5"/>
        <v>3528686.3724000002</v>
      </c>
    </row>
    <row r="136" spans="1:12" ht="15" customHeight="1" x14ac:dyDescent="0.3">
      <c r="A136" s="2">
        <v>120</v>
      </c>
      <c r="B136" s="2" t="s">
        <v>4793</v>
      </c>
      <c r="C136" s="2" t="s">
        <v>4874</v>
      </c>
      <c r="D136" s="2" t="s">
        <v>4705</v>
      </c>
      <c r="E136" s="2" t="s">
        <v>4874</v>
      </c>
      <c r="F136" s="11">
        <v>58</v>
      </c>
      <c r="G136" s="2" t="s">
        <v>4876</v>
      </c>
      <c r="H136" s="7">
        <v>1430786.78</v>
      </c>
      <c r="I136" s="2">
        <v>3</v>
      </c>
      <c r="J136" s="52">
        <f t="shared" si="3"/>
        <v>4292360.34</v>
      </c>
      <c r="K136" s="50">
        <f t="shared" si="4"/>
        <v>772624.86119999993</v>
      </c>
      <c r="L136" s="51">
        <f t="shared" si="5"/>
        <v>5064985.2012</v>
      </c>
    </row>
    <row r="137" spans="1:12" ht="15" customHeight="1" x14ac:dyDescent="0.3">
      <c r="A137" s="2">
        <v>121</v>
      </c>
      <c r="B137" s="2" t="s">
        <v>4964</v>
      </c>
      <c r="C137" s="2" t="s">
        <v>4965</v>
      </c>
      <c r="D137" s="2" t="s">
        <v>4965</v>
      </c>
      <c r="E137" s="2" t="s">
        <v>4965</v>
      </c>
      <c r="F137" s="11">
        <v>53</v>
      </c>
      <c r="G137" s="2" t="s">
        <v>4876</v>
      </c>
      <c r="H137" s="7">
        <v>1430786.78</v>
      </c>
      <c r="I137" s="2">
        <v>3</v>
      </c>
      <c r="J137" s="52">
        <f t="shared" si="3"/>
        <v>4292360.34</v>
      </c>
      <c r="K137" s="50">
        <f t="shared" si="4"/>
        <v>772624.86119999993</v>
      </c>
      <c r="L137" s="51">
        <f t="shared" si="5"/>
        <v>5064985.2012</v>
      </c>
    </row>
    <row r="138" spans="1:12" ht="15" customHeight="1" x14ac:dyDescent="0.3">
      <c r="A138" s="2">
        <v>122</v>
      </c>
      <c r="B138" s="2" t="s">
        <v>4877</v>
      </c>
      <c r="C138" s="2" t="s">
        <v>4913</v>
      </c>
      <c r="D138" s="2"/>
      <c r="E138" s="2" t="s">
        <v>4913</v>
      </c>
      <c r="F138" s="11">
        <v>37</v>
      </c>
      <c r="G138" s="2" t="s">
        <v>4876</v>
      </c>
      <c r="H138" s="7">
        <v>1177424.7</v>
      </c>
      <c r="I138" s="2">
        <v>3</v>
      </c>
      <c r="J138" s="52">
        <f t="shared" si="3"/>
        <v>3532274.0999999996</v>
      </c>
      <c r="K138" s="50">
        <f t="shared" si="4"/>
        <v>635809.33799999987</v>
      </c>
      <c r="L138" s="51">
        <f t="shared" si="5"/>
        <v>4168083.4379999996</v>
      </c>
    </row>
    <row r="139" spans="1:12" ht="15" customHeight="1" x14ac:dyDescent="0.3">
      <c r="A139" s="2">
        <v>123</v>
      </c>
      <c r="B139" s="2" t="s">
        <v>4910</v>
      </c>
      <c r="C139" s="2" t="s">
        <v>4946</v>
      </c>
      <c r="D139" s="2"/>
      <c r="E139" s="2" t="s">
        <v>4946</v>
      </c>
      <c r="F139" s="11">
        <v>69</v>
      </c>
      <c r="G139" s="2" t="s">
        <v>4876</v>
      </c>
      <c r="H139" s="7">
        <v>1430786.78</v>
      </c>
      <c r="I139" s="2">
        <v>3</v>
      </c>
      <c r="J139" s="52">
        <f t="shared" si="3"/>
        <v>4292360.34</v>
      </c>
      <c r="K139" s="50">
        <f t="shared" si="4"/>
        <v>772624.86119999993</v>
      </c>
      <c r="L139" s="51">
        <f t="shared" si="5"/>
        <v>5064985.2012</v>
      </c>
    </row>
    <row r="140" spans="1:12" ht="15" customHeight="1" x14ac:dyDescent="0.3">
      <c r="A140" s="2">
        <v>124</v>
      </c>
      <c r="B140" s="2" t="s">
        <v>4794</v>
      </c>
      <c r="C140" s="2" t="s">
        <v>4875</v>
      </c>
      <c r="D140" s="2" t="s">
        <v>4706</v>
      </c>
      <c r="E140" s="2" t="s">
        <v>4875</v>
      </c>
      <c r="F140" s="11">
        <v>30</v>
      </c>
      <c r="G140" s="2" t="s">
        <v>4876</v>
      </c>
      <c r="H140" s="7">
        <v>996804.06</v>
      </c>
      <c r="I140" s="2">
        <v>3</v>
      </c>
      <c r="J140" s="52">
        <f t="shared" si="3"/>
        <v>2990412.18</v>
      </c>
      <c r="K140" s="50">
        <f t="shared" si="4"/>
        <v>538274.19240000006</v>
      </c>
      <c r="L140" s="51">
        <f t="shared" si="5"/>
        <v>3528686.3724000002</v>
      </c>
    </row>
    <row r="141" spans="1:12" ht="15" customHeight="1" x14ac:dyDescent="0.3">
      <c r="A141" s="2">
        <v>125</v>
      </c>
      <c r="B141" s="2" t="s">
        <v>4887</v>
      </c>
      <c r="C141" s="2" t="s">
        <v>4923</v>
      </c>
      <c r="D141" s="2"/>
      <c r="E141" s="2" t="s">
        <v>4923</v>
      </c>
      <c r="F141" s="54">
        <v>34</v>
      </c>
      <c r="G141" s="2" t="s">
        <v>4876</v>
      </c>
      <c r="H141" s="7">
        <v>1177424.7</v>
      </c>
      <c r="I141" s="2">
        <v>3</v>
      </c>
      <c r="J141" s="52">
        <f t="shared" si="3"/>
        <v>3532274.0999999996</v>
      </c>
      <c r="K141" s="50">
        <f t="shared" si="4"/>
        <v>635809.33799999987</v>
      </c>
      <c r="L141" s="51">
        <f t="shared" si="5"/>
        <v>4168083.4379999996</v>
      </c>
    </row>
  </sheetData>
  <autoFilter ref="A16:L141" xr:uid="{00000000-0009-0000-0000-000007000000}"/>
  <conditionalFormatting sqref="H1">
    <cfRule type="duplicateValues" dxfId="33" priority="10"/>
  </conditionalFormatting>
  <conditionalFormatting sqref="B1:C140 B142:C1048576">
    <cfRule type="duplicateValues" dxfId="32" priority="11289"/>
  </conditionalFormatting>
  <conditionalFormatting sqref="B141">
    <cfRule type="duplicateValues" dxfId="31" priority="1"/>
  </conditionalFormatting>
  <conditionalFormatting sqref="D1:D140">
    <cfRule type="duplicateValues" dxfId="30" priority="11298"/>
  </conditionalFormatting>
  <conditionalFormatting sqref="B1:C140">
    <cfRule type="duplicateValues" dxfId="29" priority="11299"/>
  </conditionalFormatting>
  <conditionalFormatting sqref="B1:C140">
    <cfRule type="duplicateValues" dxfId="28" priority="11300"/>
    <cfRule type="duplicateValues" dxfId="27" priority="11301"/>
  </conditionalFormatting>
  <conditionalFormatting sqref="B1:C140">
    <cfRule type="duplicateValues" dxfId="26" priority="11305"/>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sheetPr>
  <dimension ref="A1:K166"/>
  <sheetViews>
    <sheetView topLeftCell="A3" zoomScale="81" zoomScaleNormal="80" workbookViewId="0">
      <selection activeCell="I7" sqref="I7"/>
    </sheetView>
  </sheetViews>
  <sheetFormatPr baseColWidth="10" defaultColWidth="9.109375" defaultRowHeight="14.4" x14ac:dyDescent="0.3"/>
  <cols>
    <col min="2" max="2" width="21.44140625" bestFit="1" customWidth="1"/>
    <col min="3" max="3" width="30.33203125" bestFit="1" customWidth="1"/>
    <col min="4" max="4" width="44" bestFit="1" customWidth="1"/>
    <col min="5" max="5" width="17.44140625" bestFit="1" customWidth="1"/>
    <col min="6" max="6" width="21.5546875" customWidth="1"/>
    <col min="7" max="7" width="17.6640625" bestFit="1" customWidth="1"/>
    <col min="9" max="9" width="17" customWidth="1"/>
    <col min="10" max="10" width="15.33203125" customWidth="1"/>
    <col min="11" max="11" width="25.109375" customWidth="1"/>
  </cols>
  <sheetData>
    <row r="1" spans="1:11" x14ac:dyDescent="0.3">
      <c r="G1" s="1" t="s">
        <v>2</v>
      </c>
    </row>
    <row r="2" spans="1:11" x14ac:dyDescent="0.3">
      <c r="G2" s="2">
        <f>COUNTIF(F$17:F$166,$G$1)</f>
        <v>150</v>
      </c>
    </row>
    <row r="3" spans="1:11" x14ac:dyDescent="0.3">
      <c r="F3" s="18" t="s">
        <v>4508</v>
      </c>
      <c r="G3" s="27" t="s">
        <v>5271</v>
      </c>
    </row>
    <row r="4" spans="1:11" x14ac:dyDescent="0.3">
      <c r="G4" s="4"/>
    </row>
    <row r="5" spans="1:11" x14ac:dyDescent="0.3">
      <c r="F5" s="5" t="s">
        <v>4</v>
      </c>
      <c r="G5" s="6"/>
    </row>
    <row r="6" spans="1:11" x14ac:dyDescent="0.3">
      <c r="F6" s="2" t="s">
        <v>4958</v>
      </c>
      <c r="G6" s="257">
        <v>895360</v>
      </c>
    </row>
    <row r="7" spans="1:11" x14ac:dyDescent="0.3">
      <c r="F7" s="2" t="s">
        <v>4952</v>
      </c>
      <c r="G7" s="257">
        <v>1215614.7</v>
      </c>
    </row>
    <row r="8" spans="1:11" x14ac:dyDescent="0.3">
      <c r="F8" s="2" t="s">
        <v>4953</v>
      </c>
      <c r="G8" s="257">
        <v>1435883.79</v>
      </c>
    </row>
    <row r="9" spans="1:11" x14ac:dyDescent="0.3">
      <c r="F9" s="2" t="s">
        <v>4954</v>
      </c>
      <c r="G9" s="257">
        <v>1744861.9281030595</v>
      </c>
    </row>
    <row r="10" spans="1:11" x14ac:dyDescent="0.3">
      <c r="E10" s="6"/>
      <c r="F10" s="36" t="s">
        <v>4955</v>
      </c>
      <c r="G10" s="257">
        <v>2446709.4300000002</v>
      </c>
    </row>
    <row r="11" spans="1:11" x14ac:dyDescent="0.3">
      <c r="E11" s="6"/>
      <c r="F11" s="7" t="s">
        <v>4962</v>
      </c>
      <c r="G11" s="257">
        <v>2993554.6</v>
      </c>
    </row>
    <row r="12" spans="1:11" x14ac:dyDescent="0.3">
      <c r="E12" s="6"/>
      <c r="F12" s="6"/>
    </row>
    <row r="13" spans="1:11" x14ac:dyDescent="0.3">
      <c r="D13" s="20" t="s">
        <v>5258</v>
      </c>
      <c r="E13" s="6"/>
      <c r="F13" s="6"/>
    </row>
    <row r="14" spans="1:11" x14ac:dyDescent="0.3">
      <c r="G14" s="9"/>
    </row>
    <row r="15" spans="1:11" s="6" customFormat="1" ht="16.5" customHeight="1" x14ac:dyDescent="0.3">
      <c r="G15" s="16">
        <f>SUBTOTAL(9,G17:G166)</f>
        <v>229004774.79999959</v>
      </c>
      <c r="I15" s="17">
        <f>SUBTOTAL(9,I17:I166)</f>
        <v>687014324.39999998</v>
      </c>
      <c r="J15" s="17">
        <f>SUBTOTAL(9,J17:J166)</f>
        <v>123662578.39200011</v>
      </c>
      <c r="K15" s="17">
        <f>SUBTOTAL(9,K17:K166)</f>
        <v>810676902.79199934</v>
      </c>
    </row>
    <row r="16" spans="1:11" s="5" customFormat="1" ht="16.5" customHeight="1" x14ac:dyDescent="0.3">
      <c r="A16" s="10" t="s">
        <v>5</v>
      </c>
      <c r="B16" s="10" t="s">
        <v>6</v>
      </c>
      <c r="C16" s="10" t="s">
        <v>7</v>
      </c>
      <c r="D16" s="10" t="s">
        <v>8</v>
      </c>
      <c r="E16" s="10" t="s">
        <v>9</v>
      </c>
      <c r="F16" s="10" t="s">
        <v>10</v>
      </c>
      <c r="G16" s="10" t="str">
        <f t="shared" ref="G16" si="0">G1</f>
        <v>BTS</v>
      </c>
      <c r="H16" s="10" t="s">
        <v>4504</v>
      </c>
      <c r="I16" s="24" t="s">
        <v>4505</v>
      </c>
      <c r="J16" s="24" t="s">
        <v>4506</v>
      </c>
      <c r="K16" s="14" t="s">
        <v>5272</v>
      </c>
    </row>
    <row r="17" spans="1:11" ht="15" customHeight="1" x14ac:dyDescent="0.3">
      <c r="A17" s="2">
        <v>1</v>
      </c>
      <c r="B17" s="2" t="s">
        <v>691</v>
      </c>
      <c r="C17" s="2" t="s">
        <v>692</v>
      </c>
      <c r="D17" s="2" t="s">
        <v>692</v>
      </c>
      <c r="E17" s="2">
        <v>60</v>
      </c>
      <c r="F17" s="2" t="s">
        <v>2</v>
      </c>
      <c r="G17" s="7">
        <v>1744861.92</v>
      </c>
      <c r="H17" s="2">
        <v>3</v>
      </c>
      <c r="I17" s="7">
        <f>+G17*H17</f>
        <v>5234585.76</v>
      </c>
      <c r="J17" s="7">
        <f>+I17*0.18</f>
        <v>942225.43679999991</v>
      </c>
      <c r="K17" s="7">
        <f>+I17+J17</f>
        <v>6176811.1968</v>
      </c>
    </row>
    <row r="18" spans="1:11" ht="15" customHeight="1" x14ac:dyDescent="0.3">
      <c r="A18" s="2">
        <v>2</v>
      </c>
      <c r="B18" s="2" t="s">
        <v>451</v>
      </c>
      <c r="C18" s="2" t="s">
        <v>4978</v>
      </c>
      <c r="D18" s="2" t="s">
        <v>4978</v>
      </c>
      <c r="E18" s="2">
        <v>42</v>
      </c>
      <c r="F18" s="2" t="s">
        <v>2</v>
      </c>
      <c r="G18" s="7">
        <v>1435883.79</v>
      </c>
      <c r="H18" s="2">
        <v>3</v>
      </c>
      <c r="I18" s="7">
        <f t="shared" ref="I18:I81" si="1">+G18*H18</f>
        <v>4307651.37</v>
      </c>
      <c r="J18" s="7">
        <f t="shared" ref="J18:J81" si="2">+I18*0.18</f>
        <v>775377.24659999995</v>
      </c>
      <c r="K18" s="7">
        <f t="shared" ref="K18:K81" si="3">+I18+J18</f>
        <v>5083028.6166000003</v>
      </c>
    </row>
    <row r="19" spans="1:11" ht="15" customHeight="1" x14ac:dyDescent="0.3">
      <c r="A19" s="2">
        <v>3</v>
      </c>
      <c r="B19" s="2" t="s">
        <v>235</v>
      </c>
      <c r="C19" s="2" t="s">
        <v>236</v>
      </c>
      <c r="D19" s="2" t="s">
        <v>236</v>
      </c>
      <c r="E19" s="2">
        <v>79</v>
      </c>
      <c r="F19" s="2" t="s">
        <v>2</v>
      </c>
      <c r="G19" s="7">
        <v>2446709.4300000002</v>
      </c>
      <c r="H19" s="2">
        <v>3</v>
      </c>
      <c r="I19" s="7">
        <f t="shared" si="1"/>
        <v>7340128.290000001</v>
      </c>
      <c r="J19" s="7">
        <f t="shared" si="2"/>
        <v>1321223.0922000001</v>
      </c>
      <c r="K19" s="7">
        <f t="shared" si="3"/>
        <v>8661351.3822000008</v>
      </c>
    </row>
    <row r="20" spans="1:11" ht="15" customHeight="1" x14ac:dyDescent="0.3">
      <c r="A20" s="2">
        <v>4</v>
      </c>
      <c r="B20" s="2" t="s">
        <v>664</v>
      </c>
      <c r="C20" s="2" t="s">
        <v>665</v>
      </c>
      <c r="D20" s="2" t="s">
        <v>665</v>
      </c>
      <c r="E20" s="2">
        <v>83</v>
      </c>
      <c r="F20" s="2" t="s">
        <v>2</v>
      </c>
      <c r="G20" s="7">
        <v>2446709.4300000002</v>
      </c>
      <c r="H20" s="2">
        <v>3</v>
      </c>
      <c r="I20" s="7">
        <f t="shared" si="1"/>
        <v>7340128.290000001</v>
      </c>
      <c r="J20" s="7">
        <f t="shared" si="2"/>
        <v>1321223.0922000001</v>
      </c>
      <c r="K20" s="7">
        <f t="shared" si="3"/>
        <v>8661351.3822000008</v>
      </c>
    </row>
    <row r="21" spans="1:11" ht="15" customHeight="1" x14ac:dyDescent="0.3">
      <c r="A21" s="2">
        <v>5</v>
      </c>
      <c r="B21" s="2" t="s">
        <v>653</v>
      </c>
      <c r="C21" s="2" t="s">
        <v>654</v>
      </c>
      <c r="D21" s="2" t="s">
        <v>654</v>
      </c>
      <c r="E21" s="2">
        <v>54</v>
      </c>
      <c r="F21" s="2" t="s">
        <v>2</v>
      </c>
      <c r="G21" s="7">
        <v>1744861.92</v>
      </c>
      <c r="H21" s="2">
        <v>3</v>
      </c>
      <c r="I21" s="7">
        <f t="shared" si="1"/>
        <v>5234585.76</v>
      </c>
      <c r="J21" s="7">
        <f t="shared" si="2"/>
        <v>942225.43679999991</v>
      </c>
      <c r="K21" s="7">
        <f t="shared" si="3"/>
        <v>6176811.1968</v>
      </c>
    </row>
    <row r="22" spans="1:11" ht="15" customHeight="1" x14ac:dyDescent="0.3">
      <c r="A22" s="2">
        <v>6</v>
      </c>
      <c r="B22" s="2" t="s">
        <v>662</v>
      </c>
      <c r="C22" s="2" t="s">
        <v>663</v>
      </c>
      <c r="D22" s="2" t="s">
        <v>663</v>
      </c>
      <c r="E22" s="2">
        <v>62</v>
      </c>
      <c r="F22" s="2" t="s">
        <v>2</v>
      </c>
      <c r="G22" s="7">
        <v>1744861.92</v>
      </c>
      <c r="H22" s="2">
        <v>3</v>
      </c>
      <c r="I22" s="7">
        <f t="shared" si="1"/>
        <v>5234585.76</v>
      </c>
      <c r="J22" s="7">
        <f t="shared" si="2"/>
        <v>942225.43679999991</v>
      </c>
      <c r="K22" s="7">
        <f t="shared" si="3"/>
        <v>6176811.1968</v>
      </c>
    </row>
    <row r="23" spans="1:11" ht="15" customHeight="1" x14ac:dyDescent="0.3">
      <c r="A23" s="2">
        <v>7</v>
      </c>
      <c r="B23" s="2" t="s">
        <v>766</v>
      </c>
      <c r="C23" s="2" t="s">
        <v>767</v>
      </c>
      <c r="D23" s="2" t="s">
        <v>767</v>
      </c>
      <c r="E23" s="2">
        <v>62</v>
      </c>
      <c r="F23" s="2" t="s">
        <v>2</v>
      </c>
      <c r="G23" s="7">
        <v>1744861.92</v>
      </c>
      <c r="H23" s="2">
        <v>3</v>
      </c>
      <c r="I23" s="7">
        <f t="shared" si="1"/>
        <v>5234585.76</v>
      </c>
      <c r="J23" s="7">
        <f t="shared" si="2"/>
        <v>942225.43679999991</v>
      </c>
      <c r="K23" s="7">
        <f t="shared" si="3"/>
        <v>6176811.1968</v>
      </c>
    </row>
    <row r="24" spans="1:11" ht="15" customHeight="1" x14ac:dyDescent="0.3">
      <c r="A24" s="2">
        <v>8</v>
      </c>
      <c r="B24" s="2" t="s">
        <v>584</v>
      </c>
      <c r="C24" s="2" t="s">
        <v>585</v>
      </c>
      <c r="D24" s="2" t="s">
        <v>585</v>
      </c>
      <c r="E24" s="2">
        <v>55</v>
      </c>
      <c r="F24" s="2" t="s">
        <v>2</v>
      </c>
      <c r="G24" s="7">
        <v>1744861.92</v>
      </c>
      <c r="H24" s="2">
        <v>3</v>
      </c>
      <c r="I24" s="7">
        <f t="shared" si="1"/>
        <v>5234585.76</v>
      </c>
      <c r="J24" s="7">
        <f t="shared" si="2"/>
        <v>942225.43679999991</v>
      </c>
      <c r="K24" s="7">
        <f t="shared" si="3"/>
        <v>6176811.1968</v>
      </c>
    </row>
    <row r="25" spans="1:11" ht="15" customHeight="1" x14ac:dyDescent="0.3">
      <c r="A25" s="2">
        <v>9</v>
      </c>
      <c r="B25" s="2" t="s">
        <v>3469</v>
      </c>
      <c r="C25" s="2" t="s">
        <v>3482</v>
      </c>
      <c r="D25" s="2" t="s">
        <v>3482</v>
      </c>
      <c r="E25" s="2">
        <v>52</v>
      </c>
      <c r="F25" s="2" t="s">
        <v>2</v>
      </c>
      <c r="G25" s="7">
        <v>1744861.92</v>
      </c>
      <c r="H25" s="2">
        <v>3</v>
      </c>
      <c r="I25" s="7">
        <f t="shared" si="1"/>
        <v>5234585.76</v>
      </c>
      <c r="J25" s="7">
        <f t="shared" si="2"/>
        <v>942225.43679999991</v>
      </c>
      <c r="K25" s="7">
        <f t="shared" si="3"/>
        <v>6176811.1968</v>
      </c>
    </row>
    <row r="26" spans="1:11" ht="15" customHeight="1" x14ac:dyDescent="0.3">
      <c r="A26" s="2">
        <v>10</v>
      </c>
      <c r="B26" s="2" t="s">
        <v>98</v>
      </c>
      <c r="C26" s="2" t="s">
        <v>4979</v>
      </c>
      <c r="D26" s="2" t="s">
        <v>4979</v>
      </c>
      <c r="E26" s="2">
        <v>78</v>
      </c>
      <c r="F26" s="2" t="s">
        <v>2</v>
      </c>
      <c r="G26" s="7">
        <v>2446709.4300000002</v>
      </c>
      <c r="H26" s="2">
        <v>3</v>
      </c>
      <c r="I26" s="7">
        <f t="shared" si="1"/>
        <v>7340128.290000001</v>
      </c>
      <c r="J26" s="7">
        <f t="shared" si="2"/>
        <v>1321223.0922000001</v>
      </c>
      <c r="K26" s="7">
        <f t="shared" si="3"/>
        <v>8661351.3822000008</v>
      </c>
    </row>
    <row r="27" spans="1:11" ht="15" customHeight="1" x14ac:dyDescent="0.3">
      <c r="A27" s="2">
        <v>11</v>
      </c>
      <c r="B27" s="2" t="s">
        <v>492</v>
      </c>
      <c r="C27" s="2" t="s">
        <v>4980</v>
      </c>
      <c r="D27" s="2" t="s">
        <v>4980</v>
      </c>
      <c r="E27" s="2">
        <v>40</v>
      </c>
      <c r="F27" s="2" t="s">
        <v>2</v>
      </c>
      <c r="G27" s="7">
        <v>1435883.79</v>
      </c>
      <c r="H27" s="2">
        <v>3</v>
      </c>
      <c r="I27" s="7">
        <f t="shared" si="1"/>
        <v>4307651.37</v>
      </c>
      <c r="J27" s="7">
        <f t="shared" si="2"/>
        <v>775377.24659999995</v>
      </c>
      <c r="K27" s="7">
        <f t="shared" si="3"/>
        <v>5083028.6166000003</v>
      </c>
    </row>
    <row r="28" spans="1:11" ht="15" customHeight="1" x14ac:dyDescent="0.3">
      <c r="A28" s="2">
        <v>12</v>
      </c>
      <c r="B28" s="2" t="s">
        <v>239</v>
      </c>
      <c r="C28" s="2" t="s">
        <v>4981</v>
      </c>
      <c r="D28" s="2" t="s">
        <v>4981</v>
      </c>
      <c r="E28" s="2">
        <v>69</v>
      </c>
      <c r="F28" s="2" t="s">
        <v>2</v>
      </c>
      <c r="G28" s="7">
        <v>1744861.92</v>
      </c>
      <c r="H28" s="2">
        <v>3</v>
      </c>
      <c r="I28" s="7">
        <f t="shared" si="1"/>
        <v>5234585.76</v>
      </c>
      <c r="J28" s="7">
        <f t="shared" si="2"/>
        <v>942225.43679999991</v>
      </c>
      <c r="K28" s="7">
        <f t="shared" si="3"/>
        <v>6176811.1968</v>
      </c>
    </row>
    <row r="29" spans="1:11" ht="15" customHeight="1" x14ac:dyDescent="0.3">
      <c r="A29" s="2">
        <v>13</v>
      </c>
      <c r="B29" s="2" t="s">
        <v>362</v>
      </c>
      <c r="C29" s="2" t="s">
        <v>363</v>
      </c>
      <c r="D29" s="2" t="s">
        <v>363</v>
      </c>
      <c r="E29" s="2">
        <v>68</v>
      </c>
      <c r="F29" s="2" t="s">
        <v>2</v>
      </c>
      <c r="G29" s="7">
        <v>1744861.92</v>
      </c>
      <c r="H29" s="2">
        <v>3</v>
      </c>
      <c r="I29" s="7">
        <f t="shared" si="1"/>
        <v>5234585.76</v>
      </c>
      <c r="J29" s="7">
        <f t="shared" si="2"/>
        <v>942225.43679999991</v>
      </c>
      <c r="K29" s="7">
        <f t="shared" si="3"/>
        <v>6176811.1968</v>
      </c>
    </row>
    <row r="30" spans="1:11" ht="15" customHeight="1" x14ac:dyDescent="0.3">
      <c r="A30" s="2">
        <v>14</v>
      </c>
      <c r="B30" s="2" t="s">
        <v>99</v>
      </c>
      <c r="C30" s="2" t="s">
        <v>4982</v>
      </c>
      <c r="D30" s="2" t="s">
        <v>4982</v>
      </c>
      <c r="E30" s="2">
        <v>30</v>
      </c>
      <c r="F30" s="2" t="s">
        <v>2</v>
      </c>
      <c r="G30" s="7">
        <v>1215614.7</v>
      </c>
      <c r="H30" s="2">
        <v>3</v>
      </c>
      <c r="I30" s="7">
        <f t="shared" si="1"/>
        <v>3646844.0999999996</v>
      </c>
      <c r="J30" s="7">
        <f t="shared" si="2"/>
        <v>656431.93799999997</v>
      </c>
      <c r="K30" s="7">
        <f t="shared" si="3"/>
        <v>4303276.0379999997</v>
      </c>
    </row>
    <row r="31" spans="1:11" ht="15" customHeight="1" x14ac:dyDescent="0.3">
      <c r="A31" s="2">
        <v>15</v>
      </c>
      <c r="B31" s="2" t="s">
        <v>164</v>
      </c>
      <c r="C31" s="2" t="s">
        <v>165</v>
      </c>
      <c r="D31" s="2" t="s">
        <v>165</v>
      </c>
      <c r="E31" s="2">
        <v>67</v>
      </c>
      <c r="F31" s="2" t="s">
        <v>2</v>
      </c>
      <c r="G31" s="7">
        <v>1744861.92</v>
      </c>
      <c r="H31" s="2">
        <v>3</v>
      </c>
      <c r="I31" s="7">
        <f t="shared" si="1"/>
        <v>5234585.76</v>
      </c>
      <c r="J31" s="7">
        <f t="shared" si="2"/>
        <v>942225.43679999991</v>
      </c>
      <c r="K31" s="7">
        <f t="shared" si="3"/>
        <v>6176811.1968</v>
      </c>
    </row>
    <row r="32" spans="1:11" ht="15" customHeight="1" x14ac:dyDescent="0.3">
      <c r="A32" s="2">
        <v>16</v>
      </c>
      <c r="B32" s="2" t="s">
        <v>3471</v>
      </c>
      <c r="C32" s="2" t="s">
        <v>3488</v>
      </c>
      <c r="D32" s="2" t="s">
        <v>3488</v>
      </c>
      <c r="E32" s="2">
        <v>71</v>
      </c>
      <c r="F32" s="2" t="s">
        <v>2</v>
      </c>
      <c r="G32" s="7">
        <v>1744861.92</v>
      </c>
      <c r="H32" s="2">
        <v>3</v>
      </c>
      <c r="I32" s="7">
        <f t="shared" si="1"/>
        <v>5234585.76</v>
      </c>
      <c r="J32" s="7">
        <f t="shared" si="2"/>
        <v>942225.43679999991</v>
      </c>
      <c r="K32" s="7">
        <f t="shared" si="3"/>
        <v>6176811.1968</v>
      </c>
    </row>
    <row r="33" spans="1:11" ht="15" customHeight="1" x14ac:dyDescent="0.3">
      <c r="A33" s="2">
        <v>17</v>
      </c>
      <c r="B33" s="2" t="s">
        <v>844</v>
      </c>
      <c r="C33" s="2" t="s">
        <v>845</v>
      </c>
      <c r="D33" s="2" t="s">
        <v>845</v>
      </c>
      <c r="E33" s="2">
        <v>46</v>
      </c>
      <c r="F33" s="2" t="s">
        <v>2</v>
      </c>
      <c r="G33" s="7">
        <v>1435883.79</v>
      </c>
      <c r="H33" s="2">
        <v>3</v>
      </c>
      <c r="I33" s="7">
        <f t="shared" si="1"/>
        <v>4307651.37</v>
      </c>
      <c r="J33" s="7">
        <f t="shared" si="2"/>
        <v>775377.24659999995</v>
      </c>
      <c r="K33" s="7">
        <f t="shared" si="3"/>
        <v>5083028.6166000003</v>
      </c>
    </row>
    <row r="34" spans="1:11" ht="15" customHeight="1" x14ac:dyDescent="0.3">
      <c r="A34" s="2">
        <v>18</v>
      </c>
      <c r="B34" s="2" t="s">
        <v>775</v>
      </c>
      <c r="C34" s="2" t="s">
        <v>776</v>
      </c>
      <c r="D34" s="2" t="s">
        <v>776</v>
      </c>
      <c r="E34" s="2">
        <v>65</v>
      </c>
      <c r="F34" s="2" t="s">
        <v>2</v>
      </c>
      <c r="G34" s="7">
        <v>1744861.92</v>
      </c>
      <c r="H34" s="2">
        <v>3</v>
      </c>
      <c r="I34" s="7">
        <f t="shared" si="1"/>
        <v>5234585.76</v>
      </c>
      <c r="J34" s="7">
        <f t="shared" si="2"/>
        <v>942225.43679999991</v>
      </c>
      <c r="K34" s="7">
        <f t="shared" si="3"/>
        <v>6176811.1968</v>
      </c>
    </row>
    <row r="35" spans="1:11" ht="15" customHeight="1" x14ac:dyDescent="0.3">
      <c r="A35" s="2">
        <v>19</v>
      </c>
      <c r="B35" s="2" t="s">
        <v>770</v>
      </c>
      <c r="C35" s="2" t="s">
        <v>771</v>
      </c>
      <c r="D35" s="2" t="s">
        <v>771</v>
      </c>
      <c r="E35" s="2">
        <v>70</v>
      </c>
      <c r="F35" s="2" t="s">
        <v>2</v>
      </c>
      <c r="G35" s="7">
        <v>1744861.92</v>
      </c>
      <c r="H35" s="2">
        <v>3</v>
      </c>
      <c r="I35" s="7">
        <f t="shared" si="1"/>
        <v>5234585.76</v>
      </c>
      <c r="J35" s="7">
        <f t="shared" si="2"/>
        <v>942225.43679999991</v>
      </c>
      <c r="K35" s="7">
        <f t="shared" si="3"/>
        <v>6176811.1968</v>
      </c>
    </row>
    <row r="36" spans="1:11" ht="15" customHeight="1" x14ac:dyDescent="0.3">
      <c r="A36" s="2">
        <v>20</v>
      </c>
      <c r="B36" s="2" t="s">
        <v>777</v>
      </c>
      <c r="C36" s="2" t="s">
        <v>778</v>
      </c>
      <c r="D36" s="2" t="s">
        <v>778</v>
      </c>
      <c r="E36" s="2">
        <v>72</v>
      </c>
      <c r="F36" s="2" t="s">
        <v>2</v>
      </c>
      <c r="G36" s="7">
        <v>1744861.92</v>
      </c>
      <c r="H36" s="2">
        <v>3</v>
      </c>
      <c r="I36" s="7">
        <f t="shared" si="1"/>
        <v>5234585.76</v>
      </c>
      <c r="J36" s="7">
        <f t="shared" si="2"/>
        <v>942225.43679999991</v>
      </c>
      <c r="K36" s="7">
        <f t="shared" si="3"/>
        <v>6176811.1968</v>
      </c>
    </row>
    <row r="37" spans="1:11" ht="15" customHeight="1" x14ac:dyDescent="0.3">
      <c r="A37" s="2">
        <v>21</v>
      </c>
      <c r="B37" s="2" t="s">
        <v>842</v>
      </c>
      <c r="C37" s="2" t="s">
        <v>843</v>
      </c>
      <c r="D37" s="2" t="s">
        <v>843</v>
      </c>
      <c r="E37" s="2">
        <v>62</v>
      </c>
      <c r="F37" s="2" t="s">
        <v>2</v>
      </c>
      <c r="G37" s="7">
        <v>1744861.92</v>
      </c>
      <c r="H37" s="2">
        <v>3</v>
      </c>
      <c r="I37" s="7">
        <f t="shared" si="1"/>
        <v>5234585.76</v>
      </c>
      <c r="J37" s="7">
        <f t="shared" si="2"/>
        <v>942225.43679999991</v>
      </c>
      <c r="K37" s="7">
        <f t="shared" si="3"/>
        <v>6176811.1968</v>
      </c>
    </row>
    <row r="38" spans="1:11" ht="15" customHeight="1" x14ac:dyDescent="0.3">
      <c r="A38" s="2">
        <v>22</v>
      </c>
      <c r="B38" s="2" t="s">
        <v>804</v>
      </c>
      <c r="C38" s="2" t="s">
        <v>805</v>
      </c>
      <c r="D38" s="2" t="s">
        <v>805</v>
      </c>
      <c r="E38" s="2">
        <v>62</v>
      </c>
      <c r="F38" s="2" t="s">
        <v>2</v>
      </c>
      <c r="G38" s="7">
        <v>1744861.92</v>
      </c>
      <c r="H38" s="2">
        <v>3</v>
      </c>
      <c r="I38" s="7">
        <f t="shared" si="1"/>
        <v>5234585.76</v>
      </c>
      <c r="J38" s="7">
        <f t="shared" si="2"/>
        <v>942225.43679999991</v>
      </c>
      <c r="K38" s="7">
        <f t="shared" si="3"/>
        <v>6176811.1968</v>
      </c>
    </row>
    <row r="39" spans="1:11" ht="15" customHeight="1" x14ac:dyDescent="0.3">
      <c r="A39" s="2">
        <v>23</v>
      </c>
      <c r="B39" s="2" t="s">
        <v>671</v>
      </c>
      <c r="C39" s="2" t="s">
        <v>672</v>
      </c>
      <c r="D39" s="2" t="s">
        <v>672</v>
      </c>
      <c r="E39" s="2">
        <v>62</v>
      </c>
      <c r="F39" s="2" t="s">
        <v>2</v>
      </c>
      <c r="G39" s="7">
        <v>1744861.92</v>
      </c>
      <c r="H39" s="2">
        <v>3</v>
      </c>
      <c r="I39" s="7">
        <f t="shared" si="1"/>
        <v>5234585.76</v>
      </c>
      <c r="J39" s="7">
        <f t="shared" si="2"/>
        <v>942225.43679999991</v>
      </c>
      <c r="K39" s="7">
        <f t="shared" si="3"/>
        <v>6176811.1968</v>
      </c>
    </row>
    <row r="40" spans="1:11" ht="15" customHeight="1" x14ac:dyDescent="0.3">
      <c r="A40" s="2">
        <v>24</v>
      </c>
      <c r="B40" s="2" t="s">
        <v>4586</v>
      </c>
      <c r="C40" s="2" t="s">
        <v>4605</v>
      </c>
      <c r="D40" s="2" t="s">
        <v>4605</v>
      </c>
      <c r="E40" s="2">
        <v>46</v>
      </c>
      <c r="F40" s="2" t="s">
        <v>2</v>
      </c>
      <c r="G40" s="7">
        <v>1435883.79</v>
      </c>
      <c r="H40" s="2">
        <v>3</v>
      </c>
      <c r="I40" s="7">
        <f t="shared" si="1"/>
        <v>4307651.37</v>
      </c>
      <c r="J40" s="7">
        <f t="shared" si="2"/>
        <v>775377.24659999995</v>
      </c>
      <c r="K40" s="7">
        <f t="shared" si="3"/>
        <v>5083028.6166000003</v>
      </c>
    </row>
    <row r="41" spans="1:11" ht="15" customHeight="1" x14ac:dyDescent="0.3">
      <c r="A41" s="2">
        <v>25</v>
      </c>
      <c r="B41" s="2" t="s">
        <v>758</v>
      </c>
      <c r="C41" s="2" t="s">
        <v>759</v>
      </c>
      <c r="D41" s="2" t="s">
        <v>759</v>
      </c>
      <c r="E41" s="2">
        <v>64</v>
      </c>
      <c r="F41" s="2" t="s">
        <v>2</v>
      </c>
      <c r="G41" s="7">
        <v>1744861.92</v>
      </c>
      <c r="H41" s="2">
        <v>3</v>
      </c>
      <c r="I41" s="7">
        <f t="shared" si="1"/>
        <v>5234585.76</v>
      </c>
      <c r="J41" s="7">
        <f t="shared" si="2"/>
        <v>942225.43679999991</v>
      </c>
      <c r="K41" s="7">
        <f t="shared" si="3"/>
        <v>6176811.1968</v>
      </c>
    </row>
    <row r="42" spans="1:11" ht="15" customHeight="1" x14ac:dyDescent="0.3">
      <c r="A42" s="2">
        <v>26</v>
      </c>
      <c r="B42" s="2" t="s">
        <v>754</v>
      </c>
      <c r="C42" s="2" t="s">
        <v>755</v>
      </c>
      <c r="D42" s="2" t="s">
        <v>755</v>
      </c>
      <c r="E42" s="2">
        <v>64</v>
      </c>
      <c r="F42" s="2" t="s">
        <v>2</v>
      </c>
      <c r="G42" s="7">
        <v>1744861.92</v>
      </c>
      <c r="H42" s="2">
        <v>3</v>
      </c>
      <c r="I42" s="7">
        <f t="shared" si="1"/>
        <v>5234585.76</v>
      </c>
      <c r="J42" s="7">
        <f t="shared" si="2"/>
        <v>942225.43679999991</v>
      </c>
      <c r="K42" s="7">
        <f t="shared" si="3"/>
        <v>6176811.1968</v>
      </c>
    </row>
    <row r="43" spans="1:11" ht="15" customHeight="1" x14ac:dyDescent="0.3">
      <c r="A43" s="2">
        <v>27</v>
      </c>
      <c r="B43" s="2" t="s">
        <v>676</v>
      </c>
      <c r="C43" s="2" t="s">
        <v>677</v>
      </c>
      <c r="D43" s="2" t="s">
        <v>677</v>
      </c>
      <c r="E43" s="2">
        <v>65</v>
      </c>
      <c r="F43" s="2" t="s">
        <v>2</v>
      </c>
      <c r="G43" s="7">
        <v>1744861.92</v>
      </c>
      <c r="H43" s="2">
        <v>3</v>
      </c>
      <c r="I43" s="7">
        <f t="shared" si="1"/>
        <v>5234585.76</v>
      </c>
      <c r="J43" s="7">
        <f t="shared" si="2"/>
        <v>942225.43679999991</v>
      </c>
      <c r="K43" s="7">
        <f t="shared" si="3"/>
        <v>6176811.1968</v>
      </c>
    </row>
    <row r="44" spans="1:11" ht="15" customHeight="1" x14ac:dyDescent="0.3">
      <c r="A44" s="2">
        <v>28</v>
      </c>
      <c r="B44" s="2" t="s">
        <v>614</v>
      </c>
      <c r="C44" s="2" t="s">
        <v>615</v>
      </c>
      <c r="D44" s="2" t="s">
        <v>615</v>
      </c>
      <c r="E44" s="2">
        <v>52</v>
      </c>
      <c r="F44" s="2" t="s">
        <v>2</v>
      </c>
      <c r="G44" s="7">
        <v>1744861.92</v>
      </c>
      <c r="H44" s="2">
        <v>3</v>
      </c>
      <c r="I44" s="7">
        <f t="shared" si="1"/>
        <v>5234585.76</v>
      </c>
      <c r="J44" s="7">
        <f t="shared" si="2"/>
        <v>942225.43679999991</v>
      </c>
      <c r="K44" s="7">
        <f t="shared" si="3"/>
        <v>6176811.1968</v>
      </c>
    </row>
    <row r="45" spans="1:11" ht="15" customHeight="1" x14ac:dyDescent="0.3">
      <c r="A45" s="2">
        <v>29</v>
      </c>
      <c r="B45" s="2" t="s">
        <v>582</v>
      </c>
      <c r="C45" s="2" t="s">
        <v>583</v>
      </c>
      <c r="D45" s="2" t="s">
        <v>583</v>
      </c>
      <c r="E45" s="2">
        <v>62</v>
      </c>
      <c r="F45" s="2" t="s">
        <v>2</v>
      </c>
      <c r="G45" s="7">
        <v>1744861.92</v>
      </c>
      <c r="H45" s="2">
        <v>3</v>
      </c>
      <c r="I45" s="7">
        <f t="shared" si="1"/>
        <v>5234585.76</v>
      </c>
      <c r="J45" s="7">
        <f t="shared" si="2"/>
        <v>942225.43679999991</v>
      </c>
      <c r="K45" s="7">
        <f t="shared" si="3"/>
        <v>6176811.1968</v>
      </c>
    </row>
    <row r="46" spans="1:11" ht="15" customHeight="1" x14ac:dyDescent="0.3">
      <c r="A46" s="2">
        <v>30</v>
      </c>
      <c r="B46" s="2" t="s">
        <v>571</v>
      </c>
      <c r="C46" s="2" t="s">
        <v>572</v>
      </c>
      <c r="D46" s="2" t="s">
        <v>572</v>
      </c>
      <c r="E46" s="2">
        <v>52</v>
      </c>
      <c r="F46" s="2" t="s">
        <v>2</v>
      </c>
      <c r="G46" s="7">
        <v>1744861.92</v>
      </c>
      <c r="H46" s="2">
        <v>3</v>
      </c>
      <c r="I46" s="7">
        <f t="shared" si="1"/>
        <v>5234585.76</v>
      </c>
      <c r="J46" s="7">
        <f t="shared" si="2"/>
        <v>942225.43679999991</v>
      </c>
      <c r="K46" s="7">
        <f t="shared" si="3"/>
        <v>6176811.1968</v>
      </c>
    </row>
    <row r="47" spans="1:11" ht="15" customHeight="1" x14ac:dyDescent="0.3">
      <c r="A47" s="2">
        <v>31</v>
      </c>
      <c r="B47" s="2" t="s">
        <v>607</v>
      </c>
      <c r="C47" s="2" t="s">
        <v>608</v>
      </c>
      <c r="D47" s="2" t="s">
        <v>608</v>
      </c>
      <c r="E47" s="2">
        <v>47</v>
      </c>
      <c r="F47" s="2" t="s">
        <v>2</v>
      </c>
      <c r="G47" s="7">
        <v>1435883.79</v>
      </c>
      <c r="H47" s="2">
        <v>3</v>
      </c>
      <c r="I47" s="7">
        <f t="shared" si="1"/>
        <v>4307651.37</v>
      </c>
      <c r="J47" s="7">
        <f t="shared" si="2"/>
        <v>775377.24659999995</v>
      </c>
      <c r="K47" s="7">
        <f t="shared" si="3"/>
        <v>5083028.6166000003</v>
      </c>
    </row>
    <row r="48" spans="1:11" ht="15" customHeight="1" x14ac:dyDescent="0.3">
      <c r="A48" s="2">
        <v>32</v>
      </c>
      <c r="B48" s="2" t="s">
        <v>125</v>
      </c>
      <c r="C48" s="2" t="s">
        <v>126</v>
      </c>
      <c r="D48" s="2" t="s">
        <v>126</v>
      </c>
      <c r="E48" s="2">
        <v>69</v>
      </c>
      <c r="F48" s="2" t="s">
        <v>2</v>
      </c>
      <c r="G48" s="7">
        <v>1744861.92</v>
      </c>
      <c r="H48" s="2">
        <v>3</v>
      </c>
      <c r="I48" s="7">
        <f t="shared" si="1"/>
        <v>5234585.76</v>
      </c>
      <c r="J48" s="7">
        <f t="shared" si="2"/>
        <v>942225.43679999991</v>
      </c>
      <c r="K48" s="7">
        <f t="shared" si="3"/>
        <v>6176811.1968</v>
      </c>
    </row>
    <row r="49" spans="1:11" ht="15" customHeight="1" x14ac:dyDescent="0.3">
      <c r="A49" s="2">
        <v>33</v>
      </c>
      <c r="B49" s="2" t="s">
        <v>123</v>
      </c>
      <c r="C49" s="2" t="s">
        <v>124</v>
      </c>
      <c r="D49" s="2" t="s">
        <v>124</v>
      </c>
      <c r="E49" s="2">
        <v>72</v>
      </c>
      <c r="F49" s="2" t="s">
        <v>2</v>
      </c>
      <c r="G49" s="7">
        <v>1744861.92</v>
      </c>
      <c r="H49" s="2">
        <v>3</v>
      </c>
      <c r="I49" s="7">
        <f t="shared" si="1"/>
        <v>5234585.76</v>
      </c>
      <c r="J49" s="7">
        <f t="shared" si="2"/>
        <v>942225.43679999991</v>
      </c>
      <c r="K49" s="7">
        <f t="shared" si="3"/>
        <v>6176811.1968</v>
      </c>
    </row>
    <row r="50" spans="1:11" ht="15" customHeight="1" x14ac:dyDescent="0.3">
      <c r="A50" s="2">
        <v>34</v>
      </c>
      <c r="B50" s="2" t="s">
        <v>101</v>
      </c>
      <c r="C50" s="2" t="s">
        <v>102</v>
      </c>
      <c r="D50" s="2" t="s">
        <v>102</v>
      </c>
      <c r="E50" s="2">
        <v>71</v>
      </c>
      <c r="F50" s="2" t="s">
        <v>2</v>
      </c>
      <c r="G50" s="7">
        <v>1744861.92</v>
      </c>
      <c r="H50" s="2">
        <v>3</v>
      </c>
      <c r="I50" s="7">
        <f t="shared" si="1"/>
        <v>5234585.76</v>
      </c>
      <c r="J50" s="7">
        <f t="shared" si="2"/>
        <v>942225.43679999991</v>
      </c>
      <c r="K50" s="7">
        <f t="shared" si="3"/>
        <v>6176811.1968</v>
      </c>
    </row>
    <row r="51" spans="1:11" ht="15" customHeight="1" x14ac:dyDescent="0.3">
      <c r="A51" s="2">
        <v>35</v>
      </c>
      <c r="B51" s="2" t="s">
        <v>802</v>
      </c>
      <c r="C51" s="2" t="s">
        <v>803</v>
      </c>
      <c r="D51" s="2" t="s">
        <v>803</v>
      </c>
      <c r="E51" s="2">
        <v>62</v>
      </c>
      <c r="F51" s="2" t="s">
        <v>2</v>
      </c>
      <c r="G51" s="7">
        <v>1744861.92</v>
      </c>
      <c r="H51" s="2">
        <v>3</v>
      </c>
      <c r="I51" s="7">
        <f t="shared" si="1"/>
        <v>5234585.76</v>
      </c>
      <c r="J51" s="7">
        <f t="shared" si="2"/>
        <v>942225.43679999991</v>
      </c>
      <c r="K51" s="7">
        <f t="shared" si="3"/>
        <v>6176811.1968</v>
      </c>
    </row>
    <row r="52" spans="1:11" ht="15" customHeight="1" x14ac:dyDescent="0.3">
      <c r="A52" s="2">
        <v>36</v>
      </c>
      <c r="B52" s="2" t="s">
        <v>699</v>
      </c>
      <c r="C52" s="2" t="s">
        <v>700</v>
      </c>
      <c r="D52" s="2" t="s">
        <v>700</v>
      </c>
      <c r="E52" s="2">
        <v>63</v>
      </c>
      <c r="F52" s="2" t="s">
        <v>2</v>
      </c>
      <c r="G52" s="7">
        <v>1744861.92</v>
      </c>
      <c r="H52" s="2">
        <v>3</v>
      </c>
      <c r="I52" s="7">
        <f t="shared" si="1"/>
        <v>5234585.76</v>
      </c>
      <c r="J52" s="7">
        <f t="shared" si="2"/>
        <v>942225.43679999991</v>
      </c>
      <c r="K52" s="7">
        <f t="shared" si="3"/>
        <v>6176811.1968</v>
      </c>
    </row>
    <row r="53" spans="1:11" ht="15" customHeight="1" x14ac:dyDescent="0.3">
      <c r="A53" s="2">
        <v>37</v>
      </c>
      <c r="B53" s="2" t="s">
        <v>596</v>
      </c>
      <c r="C53" s="2" t="s">
        <v>4983</v>
      </c>
      <c r="D53" s="2" t="s">
        <v>4983</v>
      </c>
      <c r="E53" s="2">
        <v>40</v>
      </c>
      <c r="F53" s="2" t="s">
        <v>2</v>
      </c>
      <c r="G53" s="7">
        <v>1435883.79</v>
      </c>
      <c r="H53" s="2">
        <v>3</v>
      </c>
      <c r="I53" s="7">
        <f t="shared" si="1"/>
        <v>4307651.37</v>
      </c>
      <c r="J53" s="7">
        <f t="shared" si="2"/>
        <v>775377.24659999995</v>
      </c>
      <c r="K53" s="7">
        <f t="shared" si="3"/>
        <v>5083028.6166000003</v>
      </c>
    </row>
    <row r="54" spans="1:11" ht="15" customHeight="1" x14ac:dyDescent="0.3">
      <c r="A54" s="2">
        <v>38</v>
      </c>
      <c r="B54" s="2" t="s">
        <v>617</v>
      </c>
      <c r="C54" s="2" t="s">
        <v>4984</v>
      </c>
      <c r="D54" s="2" t="s">
        <v>4984</v>
      </c>
      <c r="E54" s="2">
        <v>40</v>
      </c>
      <c r="F54" s="2" t="s">
        <v>2</v>
      </c>
      <c r="G54" s="7">
        <v>1435883.79</v>
      </c>
      <c r="H54" s="2">
        <v>3</v>
      </c>
      <c r="I54" s="7">
        <f t="shared" si="1"/>
        <v>4307651.37</v>
      </c>
      <c r="J54" s="7">
        <f t="shared" si="2"/>
        <v>775377.24659999995</v>
      </c>
      <c r="K54" s="7">
        <f t="shared" si="3"/>
        <v>5083028.6166000003</v>
      </c>
    </row>
    <row r="55" spans="1:11" ht="15" customHeight="1" x14ac:dyDescent="0.3">
      <c r="A55" s="2">
        <v>39</v>
      </c>
      <c r="B55" s="2" t="s">
        <v>321</v>
      </c>
      <c r="C55" s="2" t="s">
        <v>322</v>
      </c>
      <c r="D55" s="2" t="s">
        <v>322</v>
      </c>
      <c r="E55" s="2">
        <v>71</v>
      </c>
      <c r="F55" s="2" t="s">
        <v>2</v>
      </c>
      <c r="G55" s="7">
        <v>1744861.92</v>
      </c>
      <c r="H55" s="2">
        <v>3</v>
      </c>
      <c r="I55" s="7">
        <f t="shared" si="1"/>
        <v>5234585.76</v>
      </c>
      <c r="J55" s="7">
        <f t="shared" si="2"/>
        <v>942225.43679999991</v>
      </c>
      <c r="K55" s="7">
        <f t="shared" si="3"/>
        <v>6176811.1968</v>
      </c>
    </row>
    <row r="56" spans="1:11" ht="15" customHeight="1" x14ac:dyDescent="0.3">
      <c r="A56" s="2">
        <v>40</v>
      </c>
      <c r="B56" s="2" t="s">
        <v>508</v>
      </c>
      <c r="C56" s="2" t="s">
        <v>4985</v>
      </c>
      <c r="D56" s="2" t="s">
        <v>4985</v>
      </c>
      <c r="E56" s="2">
        <v>32</v>
      </c>
      <c r="F56" s="2" t="s">
        <v>2</v>
      </c>
      <c r="G56" s="7">
        <v>1215614.7</v>
      </c>
      <c r="H56" s="2">
        <v>3</v>
      </c>
      <c r="I56" s="7">
        <f t="shared" si="1"/>
        <v>3646844.0999999996</v>
      </c>
      <c r="J56" s="7">
        <f t="shared" si="2"/>
        <v>656431.93799999997</v>
      </c>
      <c r="K56" s="7">
        <f t="shared" si="3"/>
        <v>4303276.0379999997</v>
      </c>
    </row>
    <row r="57" spans="1:11" ht="15" customHeight="1" x14ac:dyDescent="0.3">
      <c r="A57" s="2">
        <v>41</v>
      </c>
      <c r="B57" s="2" t="s">
        <v>323</v>
      </c>
      <c r="C57" s="2" t="s">
        <v>4986</v>
      </c>
      <c r="D57" s="2" t="s">
        <v>4986</v>
      </c>
      <c r="E57" s="2">
        <v>40</v>
      </c>
      <c r="F57" s="2" t="s">
        <v>2</v>
      </c>
      <c r="G57" s="7">
        <v>1435883.79</v>
      </c>
      <c r="H57" s="2">
        <v>3</v>
      </c>
      <c r="I57" s="7">
        <f t="shared" si="1"/>
        <v>4307651.37</v>
      </c>
      <c r="J57" s="7">
        <f t="shared" si="2"/>
        <v>775377.24659999995</v>
      </c>
      <c r="K57" s="7">
        <f t="shared" si="3"/>
        <v>5083028.6166000003</v>
      </c>
    </row>
    <row r="58" spans="1:11" ht="15" customHeight="1" x14ac:dyDescent="0.3">
      <c r="A58" s="2">
        <v>42</v>
      </c>
      <c r="B58" s="2" t="s">
        <v>726</v>
      </c>
      <c r="C58" s="2" t="s">
        <v>727</v>
      </c>
      <c r="D58" s="2" t="s">
        <v>727</v>
      </c>
      <c r="E58" s="2">
        <v>60</v>
      </c>
      <c r="F58" s="2" t="s">
        <v>2</v>
      </c>
      <c r="G58" s="7">
        <v>1744861.92</v>
      </c>
      <c r="H58" s="2">
        <v>3</v>
      </c>
      <c r="I58" s="7">
        <f t="shared" si="1"/>
        <v>5234585.76</v>
      </c>
      <c r="J58" s="7">
        <f t="shared" si="2"/>
        <v>942225.43679999991</v>
      </c>
      <c r="K58" s="7">
        <f t="shared" si="3"/>
        <v>6176811.1968</v>
      </c>
    </row>
    <row r="59" spans="1:11" ht="15" customHeight="1" x14ac:dyDescent="0.3">
      <c r="A59" s="2">
        <v>43</v>
      </c>
      <c r="B59" s="2" t="s">
        <v>666</v>
      </c>
      <c r="C59" s="2" t="s">
        <v>667</v>
      </c>
      <c r="D59" s="2" t="s">
        <v>667</v>
      </c>
      <c r="E59" s="2">
        <v>72</v>
      </c>
      <c r="F59" s="2" t="s">
        <v>2</v>
      </c>
      <c r="G59" s="7">
        <v>1744861.92</v>
      </c>
      <c r="H59" s="2">
        <v>3</v>
      </c>
      <c r="I59" s="7">
        <f t="shared" si="1"/>
        <v>5234585.76</v>
      </c>
      <c r="J59" s="7">
        <f t="shared" si="2"/>
        <v>942225.43679999991</v>
      </c>
      <c r="K59" s="7">
        <f t="shared" si="3"/>
        <v>6176811.1968</v>
      </c>
    </row>
    <row r="60" spans="1:11" ht="15" customHeight="1" x14ac:dyDescent="0.3">
      <c r="A60" s="2">
        <v>44</v>
      </c>
      <c r="B60" s="2" t="s">
        <v>4587</v>
      </c>
      <c r="C60" s="2" t="s">
        <v>4987</v>
      </c>
      <c r="D60" s="2" t="s">
        <v>4987</v>
      </c>
      <c r="E60" s="2">
        <v>40</v>
      </c>
      <c r="F60" s="2" t="s">
        <v>2</v>
      </c>
      <c r="G60" s="7">
        <v>1435883.79</v>
      </c>
      <c r="H60" s="2">
        <v>3</v>
      </c>
      <c r="I60" s="7">
        <f t="shared" si="1"/>
        <v>4307651.37</v>
      </c>
      <c r="J60" s="7">
        <f t="shared" si="2"/>
        <v>775377.24659999995</v>
      </c>
      <c r="K60" s="7">
        <f t="shared" si="3"/>
        <v>5083028.6166000003</v>
      </c>
    </row>
    <row r="61" spans="1:11" ht="15" customHeight="1" x14ac:dyDescent="0.3">
      <c r="A61" s="2">
        <v>45</v>
      </c>
      <c r="B61" s="2" t="s">
        <v>557</v>
      </c>
      <c r="C61" s="2" t="s">
        <v>558</v>
      </c>
      <c r="D61" s="2" t="s">
        <v>558</v>
      </c>
      <c r="E61" s="2">
        <v>43</v>
      </c>
      <c r="F61" s="2" t="s">
        <v>2</v>
      </c>
      <c r="G61" s="7">
        <v>1435883.79</v>
      </c>
      <c r="H61" s="2">
        <v>3</v>
      </c>
      <c r="I61" s="7">
        <f t="shared" si="1"/>
        <v>4307651.37</v>
      </c>
      <c r="J61" s="7">
        <f t="shared" si="2"/>
        <v>775377.24659999995</v>
      </c>
      <c r="K61" s="7">
        <f t="shared" si="3"/>
        <v>5083028.6166000003</v>
      </c>
    </row>
    <row r="62" spans="1:11" ht="15" customHeight="1" x14ac:dyDescent="0.3">
      <c r="A62" s="2">
        <v>46</v>
      </c>
      <c r="B62" s="2" t="s">
        <v>366</v>
      </c>
      <c r="C62" s="2" t="s">
        <v>367</v>
      </c>
      <c r="D62" s="2" t="s">
        <v>367</v>
      </c>
      <c r="E62" s="2">
        <v>67</v>
      </c>
      <c r="F62" s="2" t="s">
        <v>2</v>
      </c>
      <c r="G62" s="7">
        <v>1744861.92</v>
      </c>
      <c r="H62" s="2">
        <v>3</v>
      </c>
      <c r="I62" s="7">
        <f t="shared" si="1"/>
        <v>5234585.76</v>
      </c>
      <c r="J62" s="7">
        <f t="shared" si="2"/>
        <v>942225.43679999991</v>
      </c>
      <c r="K62" s="7">
        <f t="shared" si="3"/>
        <v>6176811.1968</v>
      </c>
    </row>
    <row r="63" spans="1:11" ht="15" customHeight="1" x14ac:dyDescent="0.3">
      <c r="A63" s="2">
        <v>47</v>
      </c>
      <c r="B63" s="2" t="s">
        <v>4588</v>
      </c>
      <c r="C63" s="2" t="s">
        <v>4606</v>
      </c>
      <c r="D63" s="2" t="s">
        <v>4606</v>
      </c>
      <c r="E63" s="2">
        <v>15</v>
      </c>
      <c r="F63" s="2" t="s">
        <v>2</v>
      </c>
      <c r="G63" s="7">
        <v>895360</v>
      </c>
      <c r="H63" s="2">
        <v>3</v>
      </c>
      <c r="I63" s="7">
        <f t="shared" si="1"/>
        <v>2686080</v>
      </c>
      <c r="J63" s="7">
        <f t="shared" si="2"/>
        <v>483494.39999999997</v>
      </c>
      <c r="K63" s="7">
        <f t="shared" si="3"/>
        <v>3169574.4</v>
      </c>
    </row>
    <row r="64" spans="1:11" ht="15" customHeight="1" x14ac:dyDescent="0.3">
      <c r="A64" s="2">
        <v>48</v>
      </c>
      <c r="B64" s="2" t="s">
        <v>876</v>
      </c>
      <c r="C64" s="2" t="s">
        <v>877</v>
      </c>
      <c r="D64" s="2" t="s">
        <v>877</v>
      </c>
      <c r="E64" s="2">
        <v>21</v>
      </c>
      <c r="F64" s="2" t="s">
        <v>2</v>
      </c>
      <c r="G64" s="7">
        <v>1215614.7</v>
      </c>
      <c r="H64" s="2">
        <v>3</v>
      </c>
      <c r="I64" s="7">
        <f t="shared" si="1"/>
        <v>3646844.0999999996</v>
      </c>
      <c r="J64" s="7">
        <f t="shared" si="2"/>
        <v>656431.93799999997</v>
      </c>
      <c r="K64" s="7">
        <f t="shared" si="3"/>
        <v>4303276.0379999997</v>
      </c>
    </row>
    <row r="65" spans="1:11" ht="15" customHeight="1" x14ac:dyDescent="0.3">
      <c r="A65" s="2">
        <v>49</v>
      </c>
      <c r="B65" s="2" t="s">
        <v>879</v>
      </c>
      <c r="C65" s="2" t="s">
        <v>880</v>
      </c>
      <c r="D65" s="2" t="s">
        <v>880</v>
      </c>
      <c r="E65" s="2">
        <v>32</v>
      </c>
      <c r="F65" s="2" t="s">
        <v>2</v>
      </c>
      <c r="G65" s="7">
        <v>1215614.7</v>
      </c>
      <c r="H65" s="2">
        <v>3</v>
      </c>
      <c r="I65" s="7">
        <f t="shared" si="1"/>
        <v>3646844.0999999996</v>
      </c>
      <c r="J65" s="7">
        <f t="shared" si="2"/>
        <v>656431.93799999997</v>
      </c>
      <c r="K65" s="7">
        <f t="shared" si="3"/>
        <v>4303276.0379999997</v>
      </c>
    </row>
    <row r="66" spans="1:11" ht="15" customHeight="1" x14ac:dyDescent="0.3">
      <c r="A66" s="2">
        <v>50</v>
      </c>
      <c r="B66" s="2" t="s">
        <v>878</v>
      </c>
      <c r="C66" s="2" t="s">
        <v>4988</v>
      </c>
      <c r="D66" s="2" t="s">
        <v>4988</v>
      </c>
      <c r="E66" s="2">
        <v>27</v>
      </c>
      <c r="F66" s="2" t="s">
        <v>2</v>
      </c>
      <c r="G66" s="7">
        <v>1215614.7</v>
      </c>
      <c r="H66" s="2">
        <v>3</v>
      </c>
      <c r="I66" s="7">
        <f t="shared" si="1"/>
        <v>3646844.0999999996</v>
      </c>
      <c r="J66" s="7">
        <f t="shared" si="2"/>
        <v>656431.93799999997</v>
      </c>
      <c r="K66" s="7">
        <f t="shared" si="3"/>
        <v>4303276.0379999997</v>
      </c>
    </row>
    <row r="67" spans="1:11" ht="15" customHeight="1" x14ac:dyDescent="0.3">
      <c r="A67" s="2">
        <v>51</v>
      </c>
      <c r="B67" s="2" t="s">
        <v>4589</v>
      </c>
      <c r="C67" s="2" t="s">
        <v>4607</v>
      </c>
      <c r="D67" s="2" t="s">
        <v>4607</v>
      </c>
      <c r="E67" s="2">
        <v>9</v>
      </c>
      <c r="F67" s="2" t="s">
        <v>2</v>
      </c>
      <c r="G67" s="7">
        <v>895360</v>
      </c>
      <c r="H67" s="2">
        <v>3</v>
      </c>
      <c r="I67" s="7">
        <f t="shared" si="1"/>
        <v>2686080</v>
      </c>
      <c r="J67" s="7">
        <f t="shared" si="2"/>
        <v>483494.39999999997</v>
      </c>
      <c r="K67" s="7">
        <f t="shared" si="3"/>
        <v>3169574.4</v>
      </c>
    </row>
    <row r="68" spans="1:11" ht="15" customHeight="1" x14ac:dyDescent="0.3">
      <c r="A68" s="2">
        <v>52</v>
      </c>
      <c r="B68" s="2" t="s">
        <v>874</v>
      </c>
      <c r="C68" s="2" t="s">
        <v>875</v>
      </c>
      <c r="D68" s="2" t="s">
        <v>875</v>
      </c>
      <c r="E68" s="2">
        <v>28</v>
      </c>
      <c r="F68" s="2" t="s">
        <v>2</v>
      </c>
      <c r="G68" s="7">
        <v>1215614.7</v>
      </c>
      <c r="H68" s="2">
        <v>3</v>
      </c>
      <c r="I68" s="7">
        <f t="shared" si="1"/>
        <v>3646844.0999999996</v>
      </c>
      <c r="J68" s="7">
        <f t="shared" si="2"/>
        <v>656431.93799999997</v>
      </c>
      <c r="K68" s="7">
        <f t="shared" si="3"/>
        <v>4303276.0379999997</v>
      </c>
    </row>
    <row r="69" spans="1:11" ht="15" customHeight="1" x14ac:dyDescent="0.3">
      <c r="A69" s="2">
        <v>53</v>
      </c>
      <c r="B69" s="2" t="s">
        <v>852</v>
      </c>
      <c r="C69" s="2" t="s">
        <v>853</v>
      </c>
      <c r="D69" s="2" t="s">
        <v>853</v>
      </c>
      <c r="E69" s="2">
        <v>24</v>
      </c>
      <c r="F69" s="2" t="s">
        <v>2</v>
      </c>
      <c r="G69" s="7">
        <v>1215614.7</v>
      </c>
      <c r="H69" s="2">
        <v>3</v>
      </c>
      <c r="I69" s="7">
        <f t="shared" si="1"/>
        <v>3646844.0999999996</v>
      </c>
      <c r="J69" s="7">
        <f t="shared" si="2"/>
        <v>656431.93799999997</v>
      </c>
      <c r="K69" s="7">
        <f t="shared" si="3"/>
        <v>4303276.0379999997</v>
      </c>
    </row>
    <row r="70" spans="1:11" ht="15" customHeight="1" x14ac:dyDescent="0.3">
      <c r="A70" s="2">
        <v>54</v>
      </c>
      <c r="B70" s="2" t="s">
        <v>857</v>
      </c>
      <c r="C70" s="2" t="s">
        <v>858</v>
      </c>
      <c r="D70" s="2" t="s">
        <v>858</v>
      </c>
      <c r="E70" s="2">
        <v>28</v>
      </c>
      <c r="F70" s="2" t="s">
        <v>2</v>
      </c>
      <c r="G70" s="7">
        <v>1215614.7</v>
      </c>
      <c r="H70" s="2">
        <v>3</v>
      </c>
      <c r="I70" s="7">
        <f t="shared" si="1"/>
        <v>3646844.0999999996</v>
      </c>
      <c r="J70" s="7">
        <f t="shared" si="2"/>
        <v>656431.93799999997</v>
      </c>
      <c r="K70" s="7">
        <f t="shared" si="3"/>
        <v>4303276.0379999997</v>
      </c>
    </row>
    <row r="71" spans="1:11" ht="15" customHeight="1" x14ac:dyDescent="0.3">
      <c r="A71" s="2">
        <v>55</v>
      </c>
      <c r="B71" s="2" t="s">
        <v>4590</v>
      </c>
      <c r="C71" s="2" t="s">
        <v>4608</v>
      </c>
      <c r="D71" s="2" t="s">
        <v>4608</v>
      </c>
      <c r="E71" s="2">
        <v>28</v>
      </c>
      <c r="F71" s="2" t="s">
        <v>2</v>
      </c>
      <c r="G71" s="7">
        <v>1215614.7</v>
      </c>
      <c r="H71" s="2">
        <v>3</v>
      </c>
      <c r="I71" s="7">
        <f t="shared" si="1"/>
        <v>3646844.0999999996</v>
      </c>
      <c r="J71" s="7">
        <f t="shared" si="2"/>
        <v>656431.93799999997</v>
      </c>
      <c r="K71" s="7">
        <f t="shared" si="3"/>
        <v>4303276.0379999997</v>
      </c>
    </row>
    <row r="72" spans="1:11" ht="15" customHeight="1" x14ac:dyDescent="0.3">
      <c r="A72" s="2">
        <v>56</v>
      </c>
      <c r="B72" s="2" t="s">
        <v>840</v>
      </c>
      <c r="C72" s="2" t="s">
        <v>841</v>
      </c>
      <c r="D72" s="2" t="s">
        <v>841</v>
      </c>
      <c r="E72" s="2">
        <v>28</v>
      </c>
      <c r="F72" s="2" t="s">
        <v>2</v>
      </c>
      <c r="G72" s="7">
        <v>1215614.7</v>
      </c>
      <c r="H72" s="2">
        <v>3</v>
      </c>
      <c r="I72" s="7">
        <f t="shared" si="1"/>
        <v>3646844.0999999996</v>
      </c>
      <c r="J72" s="7">
        <f t="shared" si="2"/>
        <v>656431.93799999997</v>
      </c>
      <c r="K72" s="7">
        <f t="shared" si="3"/>
        <v>4303276.0379999997</v>
      </c>
    </row>
    <row r="73" spans="1:11" ht="15" customHeight="1" x14ac:dyDescent="0.3">
      <c r="A73" s="2">
        <v>57</v>
      </c>
      <c r="B73" s="2" t="s">
        <v>818</v>
      </c>
      <c r="C73" s="2" t="s">
        <v>819</v>
      </c>
      <c r="D73" s="2" t="s">
        <v>819</v>
      </c>
      <c r="E73" s="2">
        <v>21</v>
      </c>
      <c r="F73" s="2" t="s">
        <v>2</v>
      </c>
      <c r="G73" s="7">
        <v>1215614.7</v>
      </c>
      <c r="H73" s="2">
        <v>3</v>
      </c>
      <c r="I73" s="7">
        <f t="shared" si="1"/>
        <v>3646844.0999999996</v>
      </c>
      <c r="J73" s="7">
        <f t="shared" si="2"/>
        <v>656431.93799999997</v>
      </c>
      <c r="K73" s="7">
        <f t="shared" si="3"/>
        <v>4303276.0379999997</v>
      </c>
    </row>
    <row r="74" spans="1:11" ht="15" customHeight="1" x14ac:dyDescent="0.3">
      <c r="A74" s="2">
        <v>58</v>
      </c>
      <c r="B74" s="2" t="s">
        <v>701</v>
      </c>
      <c r="C74" s="2" t="s">
        <v>702</v>
      </c>
      <c r="D74" s="2" t="s">
        <v>702</v>
      </c>
      <c r="E74" s="2">
        <v>15</v>
      </c>
      <c r="F74" s="2" t="s">
        <v>2</v>
      </c>
      <c r="G74" s="7">
        <v>895360</v>
      </c>
      <c r="H74" s="2">
        <v>3</v>
      </c>
      <c r="I74" s="7">
        <f t="shared" si="1"/>
        <v>2686080</v>
      </c>
      <c r="J74" s="7">
        <f t="shared" si="2"/>
        <v>483494.39999999997</v>
      </c>
      <c r="K74" s="7">
        <f t="shared" si="3"/>
        <v>3169574.4</v>
      </c>
    </row>
    <row r="75" spans="1:11" ht="15" customHeight="1" x14ac:dyDescent="0.3">
      <c r="A75" s="2">
        <v>59</v>
      </c>
      <c r="B75" s="2" t="s">
        <v>705</v>
      </c>
      <c r="C75" s="2" t="s">
        <v>706</v>
      </c>
      <c r="D75" s="2" t="s">
        <v>706</v>
      </c>
      <c r="E75" s="2">
        <v>6</v>
      </c>
      <c r="F75" s="2" t="s">
        <v>2</v>
      </c>
      <c r="G75" s="7">
        <v>895360</v>
      </c>
      <c r="H75" s="2">
        <v>3</v>
      </c>
      <c r="I75" s="7">
        <f t="shared" si="1"/>
        <v>2686080</v>
      </c>
      <c r="J75" s="7">
        <f t="shared" si="2"/>
        <v>483494.39999999997</v>
      </c>
      <c r="K75" s="7">
        <f t="shared" si="3"/>
        <v>3169574.4</v>
      </c>
    </row>
    <row r="76" spans="1:11" ht="15" customHeight="1" x14ac:dyDescent="0.3">
      <c r="A76" s="2">
        <v>60</v>
      </c>
      <c r="B76" s="2" t="s">
        <v>4591</v>
      </c>
      <c r="C76" s="2" t="s">
        <v>4609</v>
      </c>
      <c r="D76" s="2" t="s">
        <v>4609</v>
      </c>
      <c r="E76" s="2">
        <v>16</v>
      </c>
      <c r="F76" s="2" t="s">
        <v>2</v>
      </c>
      <c r="G76" s="7">
        <v>895360</v>
      </c>
      <c r="H76" s="2">
        <v>3</v>
      </c>
      <c r="I76" s="7">
        <f t="shared" si="1"/>
        <v>2686080</v>
      </c>
      <c r="J76" s="7">
        <f t="shared" si="2"/>
        <v>483494.39999999997</v>
      </c>
      <c r="K76" s="7">
        <f t="shared" si="3"/>
        <v>3169574.4</v>
      </c>
    </row>
    <row r="77" spans="1:11" ht="15" customHeight="1" x14ac:dyDescent="0.3">
      <c r="A77" s="2">
        <v>61</v>
      </c>
      <c r="B77" s="2" t="s">
        <v>820</v>
      </c>
      <c r="C77" s="2" t="s">
        <v>821</v>
      </c>
      <c r="D77" s="2" t="s">
        <v>821</v>
      </c>
      <c r="E77" s="2">
        <v>9</v>
      </c>
      <c r="F77" s="2" t="s">
        <v>2</v>
      </c>
      <c r="G77" s="7">
        <v>895360</v>
      </c>
      <c r="H77" s="2">
        <v>3</v>
      </c>
      <c r="I77" s="7">
        <f t="shared" si="1"/>
        <v>2686080</v>
      </c>
      <c r="J77" s="7">
        <f t="shared" si="2"/>
        <v>483494.39999999997</v>
      </c>
      <c r="K77" s="7">
        <f t="shared" si="3"/>
        <v>3169574.4</v>
      </c>
    </row>
    <row r="78" spans="1:11" ht="15" customHeight="1" x14ac:dyDescent="0.3">
      <c r="A78" s="2">
        <v>62</v>
      </c>
      <c r="B78" s="2" t="s">
        <v>4592</v>
      </c>
      <c r="C78" s="2" t="s">
        <v>4610</v>
      </c>
      <c r="D78" s="2" t="s">
        <v>4610</v>
      </c>
      <c r="E78" s="2">
        <v>9</v>
      </c>
      <c r="F78" s="2" t="s">
        <v>2</v>
      </c>
      <c r="G78" s="7">
        <v>895360</v>
      </c>
      <c r="H78" s="2">
        <v>3</v>
      </c>
      <c r="I78" s="7">
        <f t="shared" si="1"/>
        <v>2686080</v>
      </c>
      <c r="J78" s="7">
        <f t="shared" si="2"/>
        <v>483494.39999999997</v>
      </c>
      <c r="K78" s="7">
        <f t="shared" si="3"/>
        <v>3169574.4</v>
      </c>
    </row>
    <row r="79" spans="1:11" ht="15" customHeight="1" x14ac:dyDescent="0.3">
      <c r="A79" s="2">
        <v>63</v>
      </c>
      <c r="B79" s="2" t="s">
        <v>779</v>
      </c>
      <c r="C79" s="2" t="s">
        <v>780</v>
      </c>
      <c r="D79" s="2" t="s">
        <v>780</v>
      </c>
      <c r="E79" s="2">
        <v>32</v>
      </c>
      <c r="F79" s="2" t="s">
        <v>2</v>
      </c>
      <c r="G79" s="7">
        <v>1215614.7</v>
      </c>
      <c r="H79" s="2">
        <v>3</v>
      </c>
      <c r="I79" s="7">
        <f t="shared" si="1"/>
        <v>3646844.0999999996</v>
      </c>
      <c r="J79" s="7">
        <f t="shared" si="2"/>
        <v>656431.93799999997</v>
      </c>
      <c r="K79" s="7">
        <f t="shared" si="3"/>
        <v>4303276.0379999997</v>
      </c>
    </row>
    <row r="80" spans="1:11" ht="15" customHeight="1" x14ac:dyDescent="0.3">
      <c r="A80" s="2">
        <v>64</v>
      </c>
      <c r="B80" s="2" t="s">
        <v>4593</v>
      </c>
      <c r="C80" s="2" t="s">
        <v>4611</v>
      </c>
      <c r="D80" s="2" t="s">
        <v>4611</v>
      </c>
      <c r="E80" s="2">
        <v>20</v>
      </c>
      <c r="F80" s="2" t="s">
        <v>2</v>
      </c>
      <c r="G80" s="7">
        <v>1215614.7</v>
      </c>
      <c r="H80" s="2">
        <v>3</v>
      </c>
      <c r="I80" s="7">
        <f t="shared" si="1"/>
        <v>3646844.0999999996</v>
      </c>
      <c r="J80" s="7">
        <f t="shared" si="2"/>
        <v>656431.93799999997</v>
      </c>
      <c r="K80" s="7">
        <f t="shared" si="3"/>
        <v>4303276.0379999997</v>
      </c>
    </row>
    <row r="81" spans="1:11" ht="15" customHeight="1" x14ac:dyDescent="0.3">
      <c r="A81" s="2">
        <v>65</v>
      </c>
      <c r="B81" s="2" t="s">
        <v>4594</v>
      </c>
      <c r="C81" s="2" t="s">
        <v>4612</v>
      </c>
      <c r="D81" s="2" t="s">
        <v>4612</v>
      </c>
      <c r="E81" s="2">
        <v>15</v>
      </c>
      <c r="F81" s="2" t="s">
        <v>2</v>
      </c>
      <c r="G81" s="7">
        <v>895360</v>
      </c>
      <c r="H81" s="2">
        <v>3</v>
      </c>
      <c r="I81" s="7">
        <f t="shared" si="1"/>
        <v>2686080</v>
      </c>
      <c r="J81" s="7">
        <f t="shared" si="2"/>
        <v>483494.39999999997</v>
      </c>
      <c r="K81" s="7">
        <f t="shared" si="3"/>
        <v>3169574.4</v>
      </c>
    </row>
    <row r="82" spans="1:11" ht="15" customHeight="1" x14ac:dyDescent="0.3">
      <c r="A82" s="2">
        <v>66</v>
      </c>
      <c r="B82" s="2" t="s">
        <v>4595</v>
      </c>
      <c r="C82" s="2" t="s">
        <v>4613</v>
      </c>
      <c r="D82" s="2" t="s">
        <v>4613</v>
      </c>
      <c r="E82" s="2">
        <v>15</v>
      </c>
      <c r="F82" s="2" t="s">
        <v>2</v>
      </c>
      <c r="G82" s="7">
        <v>895360</v>
      </c>
      <c r="H82" s="2">
        <v>3</v>
      </c>
      <c r="I82" s="7">
        <f t="shared" ref="I82:I145" si="4">+G82*H82</f>
        <v>2686080</v>
      </c>
      <c r="J82" s="7">
        <f t="shared" ref="J82:J145" si="5">+I82*0.18</f>
        <v>483494.39999999997</v>
      </c>
      <c r="K82" s="7">
        <f t="shared" ref="K82:K145" si="6">+I82+J82</f>
        <v>3169574.4</v>
      </c>
    </row>
    <row r="83" spans="1:11" ht="15" customHeight="1" x14ac:dyDescent="0.3">
      <c r="A83" s="2">
        <v>67</v>
      </c>
      <c r="B83" s="2" t="s">
        <v>4596</v>
      </c>
      <c r="C83" s="2" t="s">
        <v>4614</v>
      </c>
      <c r="D83" s="2" t="s">
        <v>4614</v>
      </c>
      <c r="E83" s="2">
        <v>16</v>
      </c>
      <c r="F83" s="2" t="s">
        <v>2</v>
      </c>
      <c r="G83" s="7">
        <v>895360</v>
      </c>
      <c r="H83" s="2">
        <v>3</v>
      </c>
      <c r="I83" s="7">
        <f t="shared" si="4"/>
        <v>2686080</v>
      </c>
      <c r="J83" s="7">
        <f t="shared" si="5"/>
        <v>483494.39999999997</v>
      </c>
      <c r="K83" s="7">
        <f t="shared" si="6"/>
        <v>3169574.4</v>
      </c>
    </row>
    <row r="84" spans="1:11" ht="15" customHeight="1" x14ac:dyDescent="0.3">
      <c r="A84" s="2">
        <v>68</v>
      </c>
      <c r="B84" s="2" t="s">
        <v>4597</v>
      </c>
      <c r="C84" s="2" t="s">
        <v>4989</v>
      </c>
      <c r="D84" s="2" t="s">
        <v>4989</v>
      </c>
      <c r="E84" s="2">
        <v>23</v>
      </c>
      <c r="F84" s="2" t="s">
        <v>2</v>
      </c>
      <c r="G84" s="7">
        <v>1215614.7</v>
      </c>
      <c r="H84" s="2">
        <v>3</v>
      </c>
      <c r="I84" s="7">
        <f t="shared" si="4"/>
        <v>3646844.0999999996</v>
      </c>
      <c r="J84" s="7">
        <f t="shared" si="5"/>
        <v>656431.93799999997</v>
      </c>
      <c r="K84" s="7">
        <f t="shared" si="6"/>
        <v>4303276.0379999997</v>
      </c>
    </row>
    <row r="85" spans="1:11" ht="15" customHeight="1" x14ac:dyDescent="0.3">
      <c r="A85" s="2">
        <v>69</v>
      </c>
      <c r="B85" s="2" t="s">
        <v>621</v>
      </c>
      <c r="C85" s="2" t="s">
        <v>622</v>
      </c>
      <c r="D85" s="2" t="s">
        <v>622</v>
      </c>
      <c r="E85" s="2">
        <v>25</v>
      </c>
      <c r="F85" s="2" t="s">
        <v>2</v>
      </c>
      <c r="G85" s="7">
        <v>1215614.7</v>
      </c>
      <c r="H85" s="2">
        <v>3</v>
      </c>
      <c r="I85" s="7">
        <f t="shared" si="4"/>
        <v>3646844.0999999996</v>
      </c>
      <c r="J85" s="7">
        <f t="shared" si="5"/>
        <v>656431.93799999997</v>
      </c>
      <c r="K85" s="7">
        <f t="shared" si="6"/>
        <v>4303276.0379999997</v>
      </c>
    </row>
    <row r="86" spans="1:11" ht="15" customHeight="1" x14ac:dyDescent="0.3">
      <c r="A86" s="2">
        <v>70</v>
      </c>
      <c r="B86" s="2" t="s">
        <v>624</v>
      </c>
      <c r="C86" s="2" t="s">
        <v>625</v>
      </c>
      <c r="D86" s="2" t="s">
        <v>625</v>
      </c>
      <c r="E86" s="2">
        <v>17.850000000000001</v>
      </c>
      <c r="F86" s="2" t="s">
        <v>2</v>
      </c>
      <c r="G86" s="7">
        <v>895360</v>
      </c>
      <c r="H86" s="2">
        <v>3</v>
      </c>
      <c r="I86" s="7">
        <f t="shared" si="4"/>
        <v>2686080</v>
      </c>
      <c r="J86" s="7">
        <f t="shared" si="5"/>
        <v>483494.39999999997</v>
      </c>
      <c r="K86" s="7">
        <f t="shared" si="6"/>
        <v>3169574.4</v>
      </c>
    </row>
    <row r="87" spans="1:11" ht="15" customHeight="1" x14ac:dyDescent="0.3">
      <c r="A87" s="2">
        <v>71</v>
      </c>
      <c r="B87" s="2" t="s">
        <v>4598</v>
      </c>
      <c r="C87" s="2" t="s">
        <v>4990</v>
      </c>
      <c r="D87" s="2" t="s">
        <v>4990</v>
      </c>
      <c r="E87" s="2">
        <v>24</v>
      </c>
      <c r="F87" s="2" t="s">
        <v>2</v>
      </c>
      <c r="G87" s="7">
        <v>1215614.7</v>
      </c>
      <c r="H87" s="2">
        <v>3</v>
      </c>
      <c r="I87" s="7">
        <f t="shared" si="4"/>
        <v>3646844.0999999996</v>
      </c>
      <c r="J87" s="7">
        <f t="shared" si="5"/>
        <v>656431.93799999997</v>
      </c>
      <c r="K87" s="7">
        <f t="shared" si="6"/>
        <v>4303276.0379999997</v>
      </c>
    </row>
    <row r="88" spans="1:11" ht="15" customHeight="1" x14ac:dyDescent="0.3">
      <c r="A88" s="2">
        <v>72</v>
      </c>
      <c r="B88" s="2" t="s">
        <v>524</v>
      </c>
      <c r="C88" s="2" t="s">
        <v>525</v>
      </c>
      <c r="D88" s="2" t="s">
        <v>525</v>
      </c>
      <c r="E88" s="2">
        <v>20</v>
      </c>
      <c r="F88" s="2" t="s">
        <v>2</v>
      </c>
      <c r="G88" s="7">
        <v>1215614.7</v>
      </c>
      <c r="H88" s="2">
        <v>3</v>
      </c>
      <c r="I88" s="7">
        <f t="shared" si="4"/>
        <v>3646844.0999999996</v>
      </c>
      <c r="J88" s="7">
        <f t="shared" si="5"/>
        <v>656431.93799999997</v>
      </c>
      <c r="K88" s="7">
        <f t="shared" si="6"/>
        <v>4303276.0379999997</v>
      </c>
    </row>
    <row r="89" spans="1:11" ht="15" customHeight="1" x14ac:dyDescent="0.3">
      <c r="A89" s="2">
        <v>73</v>
      </c>
      <c r="B89" s="2" t="s">
        <v>580</v>
      </c>
      <c r="C89" s="2" t="s">
        <v>4991</v>
      </c>
      <c r="D89" s="2" t="s">
        <v>4991</v>
      </c>
      <c r="E89" s="2">
        <v>9</v>
      </c>
      <c r="F89" s="2" t="s">
        <v>2</v>
      </c>
      <c r="G89" s="7">
        <v>895360</v>
      </c>
      <c r="H89" s="2">
        <v>3</v>
      </c>
      <c r="I89" s="7">
        <f t="shared" si="4"/>
        <v>2686080</v>
      </c>
      <c r="J89" s="7">
        <f t="shared" si="5"/>
        <v>483494.39999999997</v>
      </c>
      <c r="K89" s="7">
        <f t="shared" si="6"/>
        <v>3169574.4</v>
      </c>
    </row>
    <row r="90" spans="1:11" ht="15" customHeight="1" x14ac:dyDescent="0.3">
      <c r="A90" s="2">
        <v>74</v>
      </c>
      <c r="B90" s="2" t="s">
        <v>579</v>
      </c>
      <c r="C90" s="2" t="s">
        <v>4992</v>
      </c>
      <c r="D90" s="2" t="s">
        <v>4992</v>
      </c>
      <c r="E90" s="2">
        <v>9</v>
      </c>
      <c r="F90" s="2" t="s">
        <v>2</v>
      </c>
      <c r="G90" s="7">
        <v>895360</v>
      </c>
      <c r="H90" s="2">
        <v>3</v>
      </c>
      <c r="I90" s="7">
        <f t="shared" si="4"/>
        <v>2686080</v>
      </c>
      <c r="J90" s="7">
        <f t="shared" si="5"/>
        <v>483494.39999999997</v>
      </c>
      <c r="K90" s="7">
        <f t="shared" si="6"/>
        <v>3169574.4</v>
      </c>
    </row>
    <row r="91" spans="1:11" ht="15" customHeight="1" x14ac:dyDescent="0.3">
      <c r="A91" s="2">
        <v>75</v>
      </c>
      <c r="B91" s="2" t="s">
        <v>609</v>
      </c>
      <c r="C91" s="2" t="s">
        <v>610</v>
      </c>
      <c r="D91" s="2" t="s">
        <v>610</v>
      </c>
      <c r="E91" s="2">
        <v>30</v>
      </c>
      <c r="F91" s="2" t="s">
        <v>2</v>
      </c>
      <c r="G91" s="7">
        <v>1215614.7</v>
      </c>
      <c r="H91" s="2">
        <v>3</v>
      </c>
      <c r="I91" s="7">
        <f t="shared" si="4"/>
        <v>3646844.0999999996</v>
      </c>
      <c r="J91" s="7">
        <f t="shared" si="5"/>
        <v>656431.93799999997</v>
      </c>
      <c r="K91" s="7">
        <f t="shared" si="6"/>
        <v>4303276.0379999997</v>
      </c>
    </row>
    <row r="92" spans="1:11" ht="15" customHeight="1" x14ac:dyDescent="0.3">
      <c r="A92" s="2">
        <v>76</v>
      </c>
      <c r="B92" s="2" t="s">
        <v>620</v>
      </c>
      <c r="C92" s="2" t="s">
        <v>4993</v>
      </c>
      <c r="D92" s="2" t="s">
        <v>4993</v>
      </c>
      <c r="E92" s="2">
        <v>30</v>
      </c>
      <c r="F92" s="2" t="s">
        <v>2</v>
      </c>
      <c r="G92" s="7">
        <v>1215614.7</v>
      </c>
      <c r="H92" s="2">
        <v>3</v>
      </c>
      <c r="I92" s="7">
        <f t="shared" si="4"/>
        <v>3646844.0999999996</v>
      </c>
      <c r="J92" s="7">
        <f t="shared" si="5"/>
        <v>656431.93799999997</v>
      </c>
      <c r="K92" s="7">
        <f t="shared" si="6"/>
        <v>4303276.0379999997</v>
      </c>
    </row>
    <row r="93" spans="1:11" ht="15" customHeight="1" x14ac:dyDescent="0.3">
      <c r="A93" s="2">
        <v>77</v>
      </c>
      <c r="B93" s="2" t="s">
        <v>4966</v>
      </c>
      <c r="C93" s="2" t="s">
        <v>4994</v>
      </c>
      <c r="D93" s="2" t="s">
        <v>4994</v>
      </c>
      <c r="E93" s="2">
        <v>17</v>
      </c>
      <c r="F93" s="2" t="s">
        <v>2</v>
      </c>
      <c r="G93" s="7">
        <v>895360</v>
      </c>
      <c r="H93" s="2">
        <v>3</v>
      </c>
      <c r="I93" s="7">
        <f t="shared" si="4"/>
        <v>2686080</v>
      </c>
      <c r="J93" s="7">
        <f t="shared" si="5"/>
        <v>483494.39999999997</v>
      </c>
      <c r="K93" s="7">
        <f t="shared" si="6"/>
        <v>3169574.4</v>
      </c>
    </row>
    <row r="94" spans="1:11" ht="15" customHeight="1" x14ac:dyDescent="0.3">
      <c r="A94" s="2">
        <v>78</v>
      </c>
      <c r="B94" s="2" t="s">
        <v>528</v>
      </c>
      <c r="C94" s="2" t="s">
        <v>529</v>
      </c>
      <c r="D94" s="2" t="s">
        <v>529</v>
      </c>
      <c r="E94" s="2">
        <v>15</v>
      </c>
      <c r="F94" s="2" t="s">
        <v>2</v>
      </c>
      <c r="G94" s="7">
        <v>895360</v>
      </c>
      <c r="H94" s="2">
        <v>3</v>
      </c>
      <c r="I94" s="7">
        <f t="shared" si="4"/>
        <v>2686080</v>
      </c>
      <c r="J94" s="7">
        <f t="shared" si="5"/>
        <v>483494.39999999997</v>
      </c>
      <c r="K94" s="7">
        <f t="shared" si="6"/>
        <v>3169574.4</v>
      </c>
    </row>
    <row r="95" spans="1:11" ht="15" customHeight="1" x14ac:dyDescent="0.3">
      <c r="A95" s="2">
        <v>79</v>
      </c>
      <c r="B95" s="2" t="s">
        <v>626</v>
      </c>
      <c r="C95" s="2" t="s">
        <v>4995</v>
      </c>
      <c r="D95" s="2" t="s">
        <v>4995</v>
      </c>
      <c r="E95" s="2">
        <v>45</v>
      </c>
      <c r="F95" s="2" t="s">
        <v>2</v>
      </c>
      <c r="G95" s="7">
        <v>1435883.79</v>
      </c>
      <c r="H95" s="2">
        <v>3</v>
      </c>
      <c r="I95" s="7">
        <f t="shared" si="4"/>
        <v>4307651.37</v>
      </c>
      <c r="J95" s="7">
        <f t="shared" si="5"/>
        <v>775377.24659999995</v>
      </c>
      <c r="K95" s="7">
        <f t="shared" si="6"/>
        <v>5083028.6166000003</v>
      </c>
    </row>
    <row r="96" spans="1:11" ht="15" customHeight="1" x14ac:dyDescent="0.3">
      <c r="A96" s="2">
        <v>80</v>
      </c>
      <c r="B96" s="2" t="s">
        <v>623</v>
      </c>
      <c r="C96" s="2" t="s">
        <v>4996</v>
      </c>
      <c r="D96" s="2" t="s">
        <v>4996</v>
      </c>
      <c r="E96" s="2">
        <v>50</v>
      </c>
      <c r="F96" s="2" t="s">
        <v>2</v>
      </c>
      <c r="G96" s="7">
        <v>1744861.92</v>
      </c>
      <c r="H96" s="2">
        <v>3</v>
      </c>
      <c r="I96" s="7">
        <f t="shared" si="4"/>
        <v>5234585.76</v>
      </c>
      <c r="J96" s="7">
        <f t="shared" si="5"/>
        <v>942225.43679999991</v>
      </c>
      <c r="K96" s="7">
        <f t="shared" si="6"/>
        <v>6176811.1968</v>
      </c>
    </row>
    <row r="97" spans="1:11" ht="15" customHeight="1" x14ac:dyDescent="0.3">
      <c r="A97" s="2">
        <v>81</v>
      </c>
      <c r="B97" s="2" t="s">
        <v>586</v>
      </c>
      <c r="C97" s="2" t="s">
        <v>587</v>
      </c>
      <c r="D97" s="2" t="s">
        <v>587</v>
      </c>
      <c r="E97" s="2">
        <v>40</v>
      </c>
      <c r="F97" s="2" t="s">
        <v>2</v>
      </c>
      <c r="G97" s="7">
        <v>1435883.79</v>
      </c>
      <c r="H97" s="2">
        <v>3</v>
      </c>
      <c r="I97" s="7">
        <f t="shared" si="4"/>
        <v>4307651.37</v>
      </c>
      <c r="J97" s="7">
        <f t="shared" si="5"/>
        <v>775377.24659999995</v>
      </c>
      <c r="K97" s="7">
        <f t="shared" si="6"/>
        <v>5083028.6166000003</v>
      </c>
    </row>
    <row r="98" spans="1:11" ht="15" customHeight="1" x14ac:dyDescent="0.3">
      <c r="A98" s="2">
        <v>82</v>
      </c>
      <c r="B98" s="2" t="s">
        <v>526</v>
      </c>
      <c r="C98" s="2" t="s">
        <v>527</v>
      </c>
      <c r="D98" s="2" t="s">
        <v>527</v>
      </c>
      <c r="E98" s="2">
        <v>18</v>
      </c>
      <c r="F98" s="2" t="s">
        <v>2</v>
      </c>
      <c r="G98" s="7">
        <v>895360</v>
      </c>
      <c r="H98" s="2">
        <v>3</v>
      </c>
      <c r="I98" s="7">
        <f t="shared" si="4"/>
        <v>2686080</v>
      </c>
      <c r="J98" s="7">
        <f t="shared" si="5"/>
        <v>483494.39999999997</v>
      </c>
      <c r="K98" s="7">
        <f t="shared" si="6"/>
        <v>3169574.4</v>
      </c>
    </row>
    <row r="99" spans="1:11" ht="15" customHeight="1" x14ac:dyDescent="0.3">
      <c r="A99" s="2">
        <v>83</v>
      </c>
      <c r="B99" s="2" t="s">
        <v>505</v>
      </c>
      <c r="C99" s="2" t="s">
        <v>506</v>
      </c>
      <c r="D99" s="2" t="s">
        <v>506</v>
      </c>
      <c r="E99" s="2">
        <v>40</v>
      </c>
      <c r="F99" s="2" t="s">
        <v>2</v>
      </c>
      <c r="G99" s="7">
        <v>1435883.79</v>
      </c>
      <c r="H99" s="2">
        <v>3</v>
      </c>
      <c r="I99" s="7">
        <f t="shared" si="4"/>
        <v>4307651.37</v>
      </c>
      <c r="J99" s="7">
        <f t="shared" si="5"/>
        <v>775377.24659999995</v>
      </c>
      <c r="K99" s="7">
        <f t="shared" si="6"/>
        <v>5083028.6166000003</v>
      </c>
    </row>
    <row r="100" spans="1:11" ht="15" customHeight="1" x14ac:dyDescent="0.3">
      <c r="A100" s="2">
        <v>84</v>
      </c>
      <c r="B100" s="2" t="s">
        <v>237</v>
      </c>
      <c r="C100" s="2" t="s">
        <v>238</v>
      </c>
      <c r="D100" s="2" t="s">
        <v>238</v>
      </c>
      <c r="E100" s="2">
        <v>35</v>
      </c>
      <c r="F100" s="2" t="s">
        <v>2</v>
      </c>
      <c r="G100" s="7">
        <v>1435883.79</v>
      </c>
      <c r="H100" s="2">
        <v>3</v>
      </c>
      <c r="I100" s="7">
        <f t="shared" si="4"/>
        <v>4307651.37</v>
      </c>
      <c r="J100" s="7">
        <f t="shared" si="5"/>
        <v>775377.24659999995</v>
      </c>
      <c r="K100" s="7">
        <f t="shared" si="6"/>
        <v>5083028.6166000003</v>
      </c>
    </row>
    <row r="101" spans="1:11" ht="15" customHeight="1" x14ac:dyDescent="0.3">
      <c r="A101" s="2">
        <v>85</v>
      </c>
      <c r="B101" s="2" t="s">
        <v>166</v>
      </c>
      <c r="C101" s="2" t="s">
        <v>167</v>
      </c>
      <c r="D101" s="2" t="s">
        <v>167</v>
      </c>
      <c r="E101" s="2">
        <v>40</v>
      </c>
      <c r="F101" s="2" t="s">
        <v>2</v>
      </c>
      <c r="G101" s="7">
        <v>1435883.79</v>
      </c>
      <c r="H101" s="2">
        <v>3</v>
      </c>
      <c r="I101" s="7">
        <f t="shared" si="4"/>
        <v>4307651.37</v>
      </c>
      <c r="J101" s="7">
        <f t="shared" si="5"/>
        <v>775377.24659999995</v>
      </c>
      <c r="K101" s="7">
        <f t="shared" si="6"/>
        <v>5083028.6166000003</v>
      </c>
    </row>
    <row r="102" spans="1:11" ht="15" customHeight="1" x14ac:dyDescent="0.3">
      <c r="A102" s="2">
        <v>86</v>
      </c>
      <c r="B102" s="2" t="s">
        <v>493</v>
      </c>
      <c r="C102" s="2" t="s">
        <v>4997</v>
      </c>
      <c r="D102" s="2" t="s">
        <v>4997</v>
      </c>
      <c r="E102" s="2">
        <v>20</v>
      </c>
      <c r="F102" s="2" t="s">
        <v>2</v>
      </c>
      <c r="G102" s="7">
        <v>1215614.7</v>
      </c>
      <c r="H102" s="2">
        <v>3</v>
      </c>
      <c r="I102" s="7">
        <f t="shared" si="4"/>
        <v>3646844.0999999996</v>
      </c>
      <c r="J102" s="7">
        <f t="shared" si="5"/>
        <v>656431.93799999997</v>
      </c>
      <c r="K102" s="7">
        <f t="shared" si="6"/>
        <v>4303276.0379999997</v>
      </c>
    </row>
    <row r="103" spans="1:11" ht="15" customHeight="1" x14ac:dyDescent="0.3">
      <c r="A103" s="2">
        <v>87</v>
      </c>
      <c r="B103" s="2" t="s">
        <v>240</v>
      </c>
      <c r="C103" s="2" t="s">
        <v>4998</v>
      </c>
      <c r="D103" s="2" t="s">
        <v>4998</v>
      </c>
      <c r="E103" s="2">
        <v>40</v>
      </c>
      <c r="F103" s="2" t="s">
        <v>2</v>
      </c>
      <c r="G103" s="7">
        <v>1435883.79</v>
      </c>
      <c r="H103" s="2">
        <v>3</v>
      </c>
      <c r="I103" s="7">
        <f t="shared" si="4"/>
        <v>4307651.37</v>
      </c>
      <c r="J103" s="7">
        <f t="shared" si="5"/>
        <v>775377.24659999995</v>
      </c>
      <c r="K103" s="7">
        <f t="shared" si="6"/>
        <v>5083028.6166000003</v>
      </c>
    </row>
    <row r="104" spans="1:11" ht="15" customHeight="1" x14ac:dyDescent="0.3">
      <c r="A104" s="2">
        <v>88</v>
      </c>
      <c r="B104" s="2" t="s">
        <v>494</v>
      </c>
      <c r="C104" s="2" t="s">
        <v>495</v>
      </c>
      <c r="D104" s="2" t="s">
        <v>495</v>
      </c>
      <c r="E104" s="2">
        <v>28</v>
      </c>
      <c r="F104" s="2" t="s">
        <v>2</v>
      </c>
      <c r="G104" s="7">
        <v>1215614.7</v>
      </c>
      <c r="H104" s="2">
        <v>3</v>
      </c>
      <c r="I104" s="7">
        <f t="shared" si="4"/>
        <v>3646844.0999999996</v>
      </c>
      <c r="J104" s="7">
        <f t="shared" si="5"/>
        <v>656431.93799999997</v>
      </c>
      <c r="K104" s="7">
        <f t="shared" si="6"/>
        <v>4303276.0379999997</v>
      </c>
    </row>
    <row r="105" spans="1:11" ht="15" customHeight="1" x14ac:dyDescent="0.3">
      <c r="A105" s="2">
        <v>89</v>
      </c>
      <c r="B105" s="2" t="s">
        <v>162</v>
      </c>
      <c r="C105" s="2" t="s">
        <v>163</v>
      </c>
      <c r="D105" s="2" t="s">
        <v>163</v>
      </c>
      <c r="E105" s="2">
        <v>40</v>
      </c>
      <c r="F105" s="2" t="s">
        <v>2</v>
      </c>
      <c r="G105" s="7">
        <v>1435883.79</v>
      </c>
      <c r="H105" s="2">
        <v>3</v>
      </c>
      <c r="I105" s="7">
        <f t="shared" si="4"/>
        <v>4307651.37</v>
      </c>
      <c r="J105" s="7">
        <f t="shared" si="5"/>
        <v>775377.24659999995</v>
      </c>
      <c r="K105" s="7">
        <f t="shared" si="6"/>
        <v>5083028.6166000003</v>
      </c>
    </row>
    <row r="106" spans="1:11" ht="15" customHeight="1" x14ac:dyDescent="0.3">
      <c r="A106" s="2">
        <v>90</v>
      </c>
      <c r="B106" s="2" t="s">
        <v>359</v>
      </c>
      <c r="C106" s="2" t="s">
        <v>4999</v>
      </c>
      <c r="D106" s="2" t="s">
        <v>4999</v>
      </c>
      <c r="E106" s="2">
        <v>30</v>
      </c>
      <c r="F106" s="2" t="s">
        <v>2</v>
      </c>
      <c r="G106" s="7">
        <v>1215614.7</v>
      </c>
      <c r="H106" s="2">
        <v>3</v>
      </c>
      <c r="I106" s="7">
        <f t="shared" si="4"/>
        <v>3646844.0999999996</v>
      </c>
      <c r="J106" s="7">
        <f t="shared" si="5"/>
        <v>656431.93799999997</v>
      </c>
      <c r="K106" s="7">
        <f t="shared" si="6"/>
        <v>4303276.0379999997</v>
      </c>
    </row>
    <row r="107" spans="1:11" ht="15" customHeight="1" x14ac:dyDescent="0.3">
      <c r="A107" s="2">
        <v>91</v>
      </c>
      <c r="B107" s="2" t="s">
        <v>100</v>
      </c>
      <c r="C107" s="2" t="s">
        <v>5000</v>
      </c>
      <c r="D107" s="2" t="s">
        <v>5000</v>
      </c>
      <c r="E107" s="2">
        <v>27</v>
      </c>
      <c r="F107" s="2" t="s">
        <v>2</v>
      </c>
      <c r="G107" s="7">
        <v>1215614.7</v>
      </c>
      <c r="H107" s="2">
        <v>3</v>
      </c>
      <c r="I107" s="7">
        <f t="shared" si="4"/>
        <v>3646844.0999999996</v>
      </c>
      <c r="J107" s="7">
        <f t="shared" si="5"/>
        <v>656431.93799999997</v>
      </c>
      <c r="K107" s="7">
        <f t="shared" si="6"/>
        <v>4303276.0379999997</v>
      </c>
    </row>
    <row r="108" spans="1:11" ht="15" customHeight="1" x14ac:dyDescent="0.3">
      <c r="A108" s="2">
        <v>92</v>
      </c>
      <c r="B108" s="2" t="s">
        <v>4599</v>
      </c>
      <c r="C108" s="2" t="s">
        <v>4615</v>
      </c>
      <c r="D108" s="2" t="s">
        <v>4615</v>
      </c>
      <c r="E108" s="2">
        <v>30</v>
      </c>
      <c r="F108" s="2" t="s">
        <v>2</v>
      </c>
      <c r="G108" s="7">
        <v>1215614.7</v>
      </c>
      <c r="H108" s="2">
        <v>3</v>
      </c>
      <c r="I108" s="7">
        <f t="shared" si="4"/>
        <v>3646844.0999999996</v>
      </c>
      <c r="J108" s="7">
        <f t="shared" si="5"/>
        <v>656431.93799999997</v>
      </c>
      <c r="K108" s="7">
        <f t="shared" si="6"/>
        <v>4303276.0379999997</v>
      </c>
    </row>
    <row r="109" spans="1:11" ht="15" customHeight="1" x14ac:dyDescent="0.3">
      <c r="A109" s="2">
        <v>93</v>
      </c>
      <c r="B109" s="2" t="s">
        <v>724</v>
      </c>
      <c r="C109" s="2" t="s">
        <v>725</v>
      </c>
      <c r="D109" s="2" t="s">
        <v>725</v>
      </c>
      <c r="E109" s="2">
        <v>84</v>
      </c>
      <c r="F109" s="2" t="s">
        <v>2</v>
      </c>
      <c r="G109" s="7">
        <v>2446709.4300000002</v>
      </c>
      <c r="H109" s="2">
        <v>3</v>
      </c>
      <c r="I109" s="7">
        <f t="shared" si="4"/>
        <v>7340128.290000001</v>
      </c>
      <c r="J109" s="7">
        <f t="shared" si="5"/>
        <v>1321223.0922000001</v>
      </c>
      <c r="K109" s="7">
        <f t="shared" si="6"/>
        <v>8661351.3822000008</v>
      </c>
    </row>
    <row r="110" spans="1:11" ht="15" customHeight="1" x14ac:dyDescent="0.3">
      <c r="A110" s="2">
        <v>94</v>
      </c>
      <c r="B110" s="2" t="s">
        <v>814</v>
      </c>
      <c r="C110" s="2" t="s">
        <v>815</v>
      </c>
      <c r="D110" s="2" t="s">
        <v>815</v>
      </c>
      <c r="E110" s="2">
        <v>50</v>
      </c>
      <c r="F110" s="2" t="s">
        <v>2</v>
      </c>
      <c r="G110" s="7">
        <v>1744861.92</v>
      </c>
      <c r="H110" s="2">
        <v>3</v>
      </c>
      <c r="I110" s="7">
        <f t="shared" si="4"/>
        <v>5234585.76</v>
      </c>
      <c r="J110" s="7">
        <f t="shared" si="5"/>
        <v>942225.43679999991</v>
      </c>
      <c r="K110" s="7">
        <f t="shared" si="6"/>
        <v>6176811.1968</v>
      </c>
    </row>
    <row r="111" spans="1:11" ht="15" customHeight="1" x14ac:dyDescent="0.3">
      <c r="A111" s="2">
        <v>95</v>
      </c>
      <c r="B111" s="2" t="s">
        <v>752</v>
      </c>
      <c r="C111" s="2" t="s">
        <v>753</v>
      </c>
      <c r="D111" s="2" t="s">
        <v>753</v>
      </c>
      <c r="E111" s="2">
        <v>46</v>
      </c>
      <c r="F111" s="2" t="s">
        <v>2</v>
      </c>
      <c r="G111" s="7">
        <v>1435883.79</v>
      </c>
      <c r="H111" s="2">
        <v>3</v>
      </c>
      <c r="I111" s="7">
        <f t="shared" si="4"/>
        <v>4307651.37</v>
      </c>
      <c r="J111" s="7">
        <f t="shared" si="5"/>
        <v>775377.24659999995</v>
      </c>
      <c r="K111" s="7">
        <f t="shared" si="6"/>
        <v>5083028.6166000003</v>
      </c>
    </row>
    <row r="112" spans="1:11" ht="15" customHeight="1" x14ac:dyDescent="0.3">
      <c r="A112" s="2">
        <v>96</v>
      </c>
      <c r="B112" s="2" t="s">
        <v>517</v>
      </c>
      <c r="C112" s="2" t="s">
        <v>518</v>
      </c>
      <c r="D112" s="2" t="s">
        <v>518</v>
      </c>
      <c r="E112" s="2">
        <v>47</v>
      </c>
      <c r="F112" s="2" t="s">
        <v>2</v>
      </c>
      <c r="G112" s="7">
        <v>1435883.79</v>
      </c>
      <c r="H112" s="2">
        <v>3</v>
      </c>
      <c r="I112" s="7">
        <f t="shared" si="4"/>
        <v>4307651.37</v>
      </c>
      <c r="J112" s="7">
        <f t="shared" si="5"/>
        <v>775377.24659999995</v>
      </c>
      <c r="K112" s="7">
        <f t="shared" si="6"/>
        <v>5083028.6166000003</v>
      </c>
    </row>
    <row r="113" spans="1:11" ht="15" customHeight="1" x14ac:dyDescent="0.3">
      <c r="A113" s="2">
        <v>97</v>
      </c>
      <c r="B113" s="2" t="s">
        <v>160</v>
      </c>
      <c r="C113" s="2" t="s">
        <v>161</v>
      </c>
      <c r="D113" s="2" t="s">
        <v>161</v>
      </c>
      <c r="E113" s="2">
        <v>52</v>
      </c>
      <c r="F113" s="2" t="s">
        <v>2</v>
      </c>
      <c r="G113" s="7">
        <v>1744861.92</v>
      </c>
      <c r="H113" s="2">
        <v>3</v>
      </c>
      <c r="I113" s="7">
        <f t="shared" si="4"/>
        <v>5234585.76</v>
      </c>
      <c r="J113" s="7">
        <f t="shared" si="5"/>
        <v>942225.43679999991</v>
      </c>
      <c r="K113" s="7">
        <f t="shared" si="6"/>
        <v>6176811.1968</v>
      </c>
    </row>
    <row r="114" spans="1:11" ht="15" customHeight="1" x14ac:dyDescent="0.3">
      <c r="A114" s="2">
        <v>98</v>
      </c>
      <c r="B114" s="2" t="s">
        <v>762</v>
      </c>
      <c r="C114" s="2" t="s">
        <v>763</v>
      </c>
      <c r="D114" s="2" t="s">
        <v>763</v>
      </c>
      <c r="E114" s="2">
        <v>71</v>
      </c>
      <c r="F114" s="2" t="s">
        <v>2</v>
      </c>
      <c r="G114" s="7">
        <v>1744861.92</v>
      </c>
      <c r="H114" s="2">
        <v>3</v>
      </c>
      <c r="I114" s="7">
        <f t="shared" si="4"/>
        <v>5234585.76</v>
      </c>
      <c r="J114" s="7">
        <f t="shared" si="5"/>
        <v>942225.43679999991</v>
      </c>
      <c r="K114" s="7">
        <f t="shared" si="6"/>
        <v>6176811.1968</v>
      </c>
    </row>
    <row r="115" spans="1:11" ht="15" customHeight="1" x14ac:dyDescent="0.3">
      <c r="A115" s="2">
        <v>99</v>
      </c>
      <c r="B115" s="2" t="s">
        <v>3479</v>
      </c>
      <c r="C115" s="2" t="s">
        <v>3492</v>
      </c>
      <c r="D115" s="2" t="s">
        <v>3492</v>
      </c>
      <c r="E115" s="2">
        <v>57</v>
      </c>
      <c r="F115" s="2" t="s">
        <v>2</v>
      </c>
      <c r="G115" s="7">
        <v>1744861.92</v>
      </c>
      <c r="H115" s="2">
        <v>3</v>
      </c>
      <c r="I115" s="7">
        <f t="shared" si="4"/>
        <v>5234585.76</v>
      </c>
      <c r="J115" s="7">
        <f t="shared" si="5"/>
        <v>942225.43679999991</v>
      </c>
      <c r="K115" s="7">
        <f t="shared" si="6"/>
        <v>6176811.1968</v>
      </c>
    </row>
    <row r="116" spans="1:11" ht="15" customHeight="1" x14ac:dyDescent="0.3">
      <c r="A116" s="2">
        <v>100</v>
      </c>
      <c r="B116" s="2" t="s">
        <v>768</v>
      </c>
      <c r="C116" s="2" t="s">
        <v>769</v>
      </c>
      <c r="D116" s="2" t="s">
        <v>769</v>
      </c>
      <c r="E116" s="2">
        <v>62</v>
      </c>
      <c r="F116" s="2" t="s">
        <v>2</v>
      </c>
      <c r="G116" s="7">
        <v>1744861.92</v>
      </c>
      <c r="H116" s="2">
        <v>3</v>
      </c>
      <c r="I116" s="7">
        <f t="shared" si="4"/>
        <v>5234585.76</v>
      </c>
      <c r="J116" s="7">
        <f t="shared" si="5"/>
        <v>942225.43679999991</v>
      </c>
      <c r="K116" s="7">
        <f t="shared" si="6"/>
        <v>6176811.1968</v>
      </c>
    </row>
    <row r="117" spans="1:11" ht="15" customHeight="1" x14ac:dyDescent="0.3">
      <c r="A117" s="2">
        <v>101</v>
      </c>
      <c r="B117" s="2" t="s">
        <v>781</v>
      </c>
      <c r="C117" s="2" t="s">
        <v>782</v>
      </c>
      <c r="D117" s="2" t="s">
        <v>782</v>
      </c>
      <c r="E117" s="2">
        <v>62</v>
      </c>
      <c r="F117" s="2" t="s">
        <v>2</v>
      </c>
      <c r="G117" s="7">
        <v>1744861.92</v>
      </c>
      <c r="H117" s="2">
        <v>3</v>
      </c>
      <c r="I117" s="7">
        <f t="shared" si="4"/>
        <v>5234585.76</v>
      </c>
      <c r="J117" s="7">
        <f t="shared" si="5"/>
        <v>942225.43679999991</v>
      </c>
      <c r="K117" s="7">
        <f t="shared" si="6"/>
        <v>6176811.1968</v>
      </c>
    </row>
    <row r="118" spans="1:11" ht="15" customHeight="1" x14ac:dyDescent="0.3">
      <c r="A118" s="2">
        <v>102</v>
      </c>
      <c r="B118" s="2" t="s">
        <v>507</v>
      </c>
      <c r="C118" s="2" t="s">
        <v>5001</v>
      </c>
      <c r="D118" s="2" t="s">
        <v>5001</v>
      </c>
      <c r="E118" s="2">
        <v>50</v>
      </c>
      <c r="F118" s="2" t="s">
        <v>2</v>
      </c>
      <c r="G118" s="7">
        <v>1744861.92</v>
      </c>
      <c r="H118" s="2">
        <v>3</v>
      </c>
      <c r="I118" s="7">
        <f t="shared" si="4"/>
        <v>5234585.76</v>
      </c>
      <c r="J118" s="7">
        <f t="shared" si="5"/>
        <v>942225.43679999991</v>
      </c>
      <c r="K118" s="7">
        <f t="shared" si="6"/>
        <v>6176811.1968</v>
      </c>
    </row>
    <row r="119" spans="1:11" ht="15" customHeight="1" x14ac:dyDescent="0.3">
      <c r="A119" s="2">
        <v>103</v>
      </c>
      <c r="B119" s="2" t="s">
        <v>223</v>
      </c>
      <c r="C119" s="2" t="s">
        <v>224</v>
      </c>
      <c r="D119" s="2" t="s">
        <v>224</v>
      </c>
      <c r="E119" s="2">
        <v>68</v>
      </c>
      <c r="F119" s="2" t="s">
        <v>2</v>
      </c>
      <c r="G119" s="7">
        <v>1744861.92</v>
      </c>
      <c r="H119" s="2">
        <v>3</v>
      </c>
      <c r="I119" s="7">
        <f t="shared" si="4"/>
        <v>5234585.76</v>
      </c>
      <c r="J119" s="7">
        <f t="shared" si="5"/>
        <v>942225.43679999991</v>
      </c>
      <c r="K119" s="7">
        <f t="shared" si="6"/>
        <v>6176811.1968</v>
      </c>
    </row>
    <row r="120" spans="1:11" ht="15" customHeight="1" x14ac:dyDescent="0.3">
      <c r="A120" s="2">
        <v>104</v>
      </c>
      <c r="B120" s="2" t="s">
        <v>3480</v>
      </c>
      <c r="C120" s="2" t="s">
        <v>3493</v>
      </c>
      <c r="D120" s="2" t="s">
        <v>3493</v>
      </c>
      <c r="E120" s="2">
        <v>46</v>
      </c>
      <c r="F120" s="2" t="s">
        <v>2</v>
      </c>
      <c r="G120" s="7">
        <v>1435883.79</v>
      </c>
      <c r="H120" s="2">
        <v>3</v>
      </c>
      <c r="I120" s="7">
        <f t="shared" si="4"/>
        <v>4307651.37</v>
      </c>
      <c r="J120" s="7">
        <f t="shared" si="5"/>
        <v>775377.24659999995</v>
      </c>
      <c r="K120" s="7">
        <f t="shared" si="6"/>
        <v>5083028.6166000003</v>
      </c>
    </row>
    <row r="121" spans="1:11" ht="15" customHeight="1" x14ac:dyDescent="0.3">
      <c r="A121" s="2">
        <v>105</v>
      </c>
      <c r="B121" s="2" t="s">
        <v>4600</v>
      </c>
      <c r="C121" s="2" t="s">
        <v>5002</v>
      </c>
      <c r="D121" s="2" t="s">
        <v>5002</v>
      </c>
      <c r="E121" s="2">
        <v>50</v>
      </c>
      <c r="F121" s="2" t="s">
        <v>2</v>
      </c>
      <c r="G121" s="7">
        <v>1744861.92</v>
      </c>
      <c r="H121" s="2">
        <v>3</v>
      </c>
      <c r="I121" s="7">
        <f t="shared" si="4"/>
        <v>5234585.76</v>
      </c>
      <c r="J121" s="7">
        <f t="shared" si="5"/>
        <v>942225.43679999991</v>
      </c>
      <c r="K121" s="7">
        <f t="shared" si="6"/>
        <v>6176811.1968</v>
      </c>
    </row>
    <row r="122" spans="1:11" ht="15" customHeight="1" x14ac:dyDescent="0.3">
      <c r="A122" s="2">
        <v>106</v>
      </c>
      <c r="B122" s="2" t="s">
        <v>188</v>
      </c>
      <c r="C122" s="2" t="s">
        <v>189</v>
      </c>
      <c r="D122" s="2" t="s">
        <v>189</v>
      </c>
      <c r="E122" s="2">
        <v>72</v>
      </c>
      <c r="F122" s="2" t="s">
        <v>2</v>
      </c>
      <c r="G122" s="7">
        <v>1744861.92</v>
      </c>
      <c r="H122" s="2">
        <v>3</v>
      </c>
      <c r="I122" s="7">
        <f t="shared" si="4"/>
        <v>5234585.76</v>
      </c>
      <c r="J122" s="7">
        <f t="shared" si="5"/>
        <v>942225.43679999991</v>
      </c>
      <c r="K122" s="7">
        <f t="shared" si="6"/>
        <v>6176811.1968</v>
      </c>
    </row>
    <row r="123" spans="1:11" ht="15" customHeight="1" x14ac:dyDescent="0.3">
      <c r="A123" s="2">
        <v>107</v>
      </c>
      <c r="B123" s="2" t="s">
        <v>491</v>
      </c>
      <c r="C123" s="2" t="s">
        <v>5003</v>
      </c>
      <c r="D123" s="2" t="s">
        <v>5003</v>
      </c>
      <c r="E123" s="2">
        <v>50</v>
      </c>
      <c r="F123" s="2" t="s">
        <v>2</v>
      </c>
      <c r="G123" s="7">
        <v>1744861.92</v>
      </c>
      <c r="H123" s="2">
        <v>3</v>
      </c>
      <c r="I123" s="7">
        <f t="shared" si="4"/>
        <v>5234585.76</v>
      </c>
      <c r="J123" s="7">
        <f t="shared" si="5"/>
        <v>942225.43679999991</v>
      </c>
      <c r="K123" s="7">
        <f t="shared" si="6"/>
        <v>6176811.1968</v>
      </c>
    </row>
    <row r="124" spans="1:11" ht="15" customHeight="1" x14ac:dyDescent="0.3">
      <c r="A124" s="2">
        <v>108</v>
      </c>
      <c r="B124" s="2" t="s">
        <v>812</v>
      </c>
      <c r="C124" s="2" t="s">
        <v>813</v>
      </c>
      <c r="D124" s="2" t="s">
        <v>813</v>
      </c>
      <c r="E124" s="2">
        <v>62</v>
      </c>
      <c r="F124" s="2" t="s">
        <v>2</v>
      </c>
      <c r="G124" s="7">
        <v>1744861.92</v>
      </c>
      <c r="H124" s="2">
        <v>3</v>
      </c>
      <c r="I124" s="7">
        <f t="shared" si="4"/>
        <v>5234585.76</v>
      </c>
      <c r="J124" s="7">
        <f t="shared" si="5"/>
        <v>942225.43679999991</v>
      </c>
      <c r="K124" s="7">
        <f t="shared" si="6"/>
        <v>6176811.1968</v>
      </c>
    </row>
    <row r="125" spans="1:11" ht="15" customHeight="1" x14ac:dyDescent="0.3">
      <c r="A125" s="2">
        <v>109</v>
      </c>
      <c r="B125" s="2" t="s">
        <v>722</v>
      </c>
      <c r="C125" s="2" t="s">
        <v>723</v>
      </c>
      <c r="D125" s="2" t="s">
        <v>723</v>
      </c>
      <c r="E125" s="2">
        <v>70</v>
      </c>
      <c r="F125" s="2" t="s">
        <v>2</v>
      </c>
      <c r="G125" s="7">
        <v>1744861.92</v>
      </c>
      <c r="H125" s="2">
        <v>3</v>
      </c>
      <c r="I125" s="7">
        <f t="shared" si="4"/>
        <v>5234585.76</v>
      </c>
      <c r="J125" s="7">
        <f t="shared" si="5"/>
        <v>942225.43679999991</v>
      </c>
      <c r="K125" s="7">
        <f t="shared" si="6"/>
        <v>6176811.1968</v>
      </c>
    </row>
    <row r="126" spans="1:11" ht="15" customHeight="1" x14ac:dyDescent="0.3">
      <c r="A126" s="2">
        <v>110</v>
      </c>
      <c r="B126" s="2" t="s">
        <v>581</v>
      </c>
      <c r="C126" s="2" t="s">
        <v>5004</v>
      </c>
      <c r="D126" s="2" t="s">
        <v>5004</v>
      </c>
      <c r="E126" s="2">
        <v>52</v>
      </c>
      <c r="F126" s="2" t="s">
        <v>2</v>
      </c>
      <c r="G126" s="7">
        <v>1744861.92</v>
      </c>
      <c r="H126" s="2">
        <v>3</v>
      </c>
      <c r="I126" s="7">
        <f t="shared" si="4"/>
        <v>5234585.76</v>
      </c>
      <c r="J126" s="7">
        <f t="shared" si="5"/>
        <v>942225.43679999991</v>
      </c>
      <c r="K126" s="7">
        <f t="shared" si="6"/>
        <v>6176811.1968</v>
      </c>
    </row>
    <row r="127" spans="1:11" ht="15" customHeight="1" x14ac:dyDescent="0.3">
      <c r="A127" s="2">
        <v>111</v>
      </c>
      <c r="B127" s="2" t="s">
        <v>4601</v>
      </c>
      <c r="C127" s="2" t="s">
        <v>4616</v>
      </c>
      <c r="D127" s="2" t="s">
        <v>4616</v>
      </c>
      <c r="E127" s="2">
        <v>52</v>
      </c>
      <c r="F127" s="2" t="s">
        <v>2</v>
      </c>
      <c r="G127" s="7">
        <v>1744861.92</v>
      </c>
      <c r="H127" s="2">
        <v>3</v>
      </c>
      <c r="I127" s="7">
        <f t="shared" si="4"/>
        <v>5234585.76</v>
      </c>
      <c r="J127" s="7">
        <f t="shared" si="5"/>
        <v>942225.43679999991</v>
      </c>
      <c r="K127" s="7">
        <f t="shared" si="6"/>
        <v>6176811.1968</v>
      </c>
    </row>
    <row r="128" spans="1:11" ht="15" customHeight="1" x14ac:dyDescent="0.3">
      <c r="A128" s="2">
        <v>112</v>
      </c>
      <c r="B128" s="2" t="s">
        <v>660</v>
      </c>
      <c r="C128" s="2" t="s">
        <v>661</v>
      </c>
      <c r="D128" s="2" t="s">
        <v>661</v>
      </c>
      <c r="E128" s="2">
        <v>62</v>
      </c>
      <c r="F128" s="2" t="s">
        <v>2</v>
      </c>
      <c r="G128" s="7">
        <v>1744861.92</v>
      </c>
      <c r="H128" s="2">
        <v>3</v>
      </c>
      <c r="I128" s="7">
        <f t="shared" si="4"/>
        <v>5234585.76</v>
      </c>
      <c r="J128" s="7">
        <f t="shared" si="5"/>
        <v>942225.43679999991</v>
      </c>
      <c r="K128" s="7">
        <f t="shared" si="6"/>
        <v>6176811.1968</v>
      </c>
    </row>
    <row r="129" spans="1:11" ht="15" customHeight="1" x14ac:dyDescent="0.3">
      <c r="A129" s="2">
        <v>113</v>
      </c>
      <c r="B129" s="2" t="s">
        <v>806</v>
      </c>
      <c r="C129" s="2" t="s">
        <v>807</v>
      </c>
      <c r="D129" s="2" t="s">
        <v>807</v>
      </c>
      <c r="E129" s="2">
        <v>57</v>
      </c>
      <c r="F129" s="2" t="s">
        <v>2</v>
      </c>
      <c r="G129" s="7">
        <v>1744861.92</v>
      </c>
      <c r="H129" s="2">
        <v>3</v>
      </c>
      <c r="I129" s="7">
        <f t="shared" si="4"/>
        <v>5234585.76</v>
      </c>
      <c r="J129" s="7">
        <f t="shared" si="5"/>
        <v>942225.43679999991</v>
      </c>
      <c r="K129" s="7">
        <f t="shared" si="6"/>
        <v>6176811.1968</v>
      </c>
    </row>
    <row r="130" spans="1:11" ht="15" customHeight="1" x14ac:dyDescent="0.3">
      <c r="A130" s="2">
        <v>114</v>
      </c>
      <c r="B130" s="2" t="s">
        <v>816</v>
      </c>
      <c r="C130" s="2" t="s">
        <v>817</v>
      </c>
      <c r="D130" s="2" t="s">
        <v>817</v>
      </c>
      <c r="E130" s="2">
        <v>51</v>
      </c>
      <c r="F130" s="2" t="s">
        <v>2</v>
      </c>
      <c r="G130" s="7">
        <v>1744861.92</v>
      </c>
      <c r="H130" s="2">
        <v>3</v>
      </c>
      <c r="I130" s="7">
        <f t="shared" si="4"/>
        <v>5234585.76</v>
      </c>
      <c r="J130" s="7">
        <f t="shared" si="5"/>
        <v>942225.43679999991</v>
      </c>
      <c r="K130" s="7">
        <f t="shared" si="6"/>
        <v>6176811.1968</v>
      </c>
    </row>
    <row r="131" spans="1:11" ht="15" customHeight="1" x14ac:dyDescent="0.3">
      <c r="A131" s="2">
        <v>115</v>
      </c>
      <c r="B131" s="2" t="s">
        <v>4602</v>
      </c>
      <c r="C131" s="2" t="s">
        <v>4617</v>
      </c>
      <c r="D131" s="2" t="s">
        <v>4617</v>
      </c>
      <c r="E131" s="2">
        <v>47</v>
      </c>
      <c r="F131" s="2" t="s">
        <v>2</v>
      </c>
      <c r="G131" s="7">
        <v>1435883.79</v>
      </c>
      <c r="H131" s="2">
        <v>3</v>
      </c>
      <c r="I131" s="7">
        <f t="shared" si="4"/>
        <v>4307651.37</v>
      </c>
      <c r="J131" s="7">
        <f t="shared" si="5"/>
        <v>775377.24659999995</v>
      </c>
      <c r="K131" s="7">
        <f t="shared" si="6"/>
        <v>5083028.6166000003</v>
      </c>
    </row>
    <row r="132" spans="1:11" ht="15" customHeight="1" x14ac:dyDescent="0.3">
      <c r="A132" s="2">
        <v>116</v>
      </c>
      <c r="B132" s="2" t="s">
        <v>618</v>
      </c>
      <c r="C132" s="2" t="s">
        <v>619</v>
      </c>
      <c r="D132" s="2" t="s">
        <v>619</v>
      </c>
      <c r="E132" s="2">
        <v>47</v>
      </c>
      <c r="F132" s="2" t="s">
        <v>2</v>
      </c>
      <c r="G132" s="7">
        <v>1435883.79</v>
      </c>
      <c r="H132" s="2">
        <v>3</v>
      </c>
      <c r="I132" s="7">
        <f t="shared" si="4"/>
        <v>4307651.37</v>
      </c>
      <c r="J132" s="7">
        <f t="shared" si="5"/>
        <v>775377.24659999995</v>
      </c>
      <c r="K132" s="7">
        <f t="shared" si="6"/>
        <v>5083028.6166000003</v>
      </c>
    </row>
    <row r="133" spans="1:11" ht="15" customHeight="1" x14ac:dyDescent="0.3">
      <c r="A133" s="2">
        <v>117</v>
      </c>
      <c r="B133" s="2" t="s">
        <v>360</v>
      </c>
      <c r="C133" s="2" t="s">
        <v>5005</v>
      </c>
      <c r="D133" s="2" t="s">
        <v>5005</v>
      </c>
      <c r="E133" s="2">
        <v>40</v>
      </c>
      <c r="F133" s="2" t="s">
        <v>2</v>
      </c>
      <c r="G133" s="7">
        <v>1435883.79</v>
      </c>
      <c r="H133" s="2">
        <v>3</v>
      </c>
      <c r="I133" s="7">
        <f t="shared" si="4"/>
        <v>4307651.37</v>
      </c>
      <c r="J133" s="7">
        <f t="shared" si="5"/>
        <v>775377.24659999995</v>
      </c>
      <c r="K133" s="7">
        <f t="shared" si="6"/>
        <v>5083028.6166000003</v>
      </c>
    </row>
    <row r="134" spans="1:11" ht="15" customHeight="1" x14ac:dyDescent="0.3">
      <c r="A134" s="2">
        <v>118</v>
      </c>
      <c r="B134" s="2" t="s">
        <v>756</v>
      </c>
      <c r="C134" s="2" t="s">
        <v>757</v>
      </c>
      <c r="D134" s="2" t="s">
        <v>757</v>
      </c>
      <c r="E134" s="2">
        <v>62</v>
      </c>
      <c r="F134" s="2" t="s">
        <v>2</v>
      </c>
      <c r="G134" s="7">
        <v>1744861.92</v>
      </c>
      <c r="H134" s="2">
        <v>3</v>
      </c>
      <c r="I134" s="7">
        <f t="shared" si="4"/>
        <v>5234585.76</v>
      </c>
      <c r="J134" s="7">
        <f t="shared" si="5"/>
        <v>942225.43679999991</v>
      </c>
      <c r="K134" s="7">
        <f t="shared" si="6"/>
        <v>6176811.1968</v>
      </c>
    </row>
    <row r="135" spans="1:11" ht="15" customHeight="1" x14ac:dyDescent="0.3">
      <c r="A135" s="2">
        <v>119</v>
      </c>
      <c r="B135" s="2" t="s">
        <v>764</v>
      </c>
      <c r="C135" s="2" t="s">
        <v>765</v>
      </c>
      <c r="D135" s="2" t="s">
        <v>765</v>
      </c>
      <c r="E135" s="2">
        <v>60</v>
      </c>
      <c r="F135" s="2" t="s">
        <v>2</v>
      </c>
      <c r="G135" s="7">
        <v>1744861.92</v>
      </c>
      <c r="H135" s="2">
        <v>3</v>
      </c>
      <c r="I135" s="7">
        <f t="shared" si="4"/>
        <v>5234585.76</v>
      </c>
      <c r="J135" s="7">
        <f t="shared" si="5"/>
        <v>942225.43679999991</v>
      </c>
      <c r="K135" s="7">
        <f t="shared" si="6"/>
        <v>6176811.1968</v>
      </c>
    </row>
    <row r="136" spans="1:11" ht="15" customHeight="1" x14ac:dyDescent="0.3">
      <c r="A136" s="2">
        <v>120</v>
      </c>
      <c r="B136" s="2" t="s">
        <v>703</v>
      </c>
      <c r="C136" s="2" t="s">
        <v>704</v>
      </c>
      <c r="D136" s="2" t="s">
        <v>704</v>
      </c>
      <c r="E136" s="2">
        <v>69</v>
      </c>
      <c r="F136" s="2" t="s">
        <v>2</v>
      </c>
      <c r="G136" s="7">
        <v>1744861.92</v>
      </c>
      <c r="H136" s="2">
        <v>3</v>
      </c>
      <c r="I136" s="7">
        <f t="shared" si="4"/>
        <v>5234585.76</v>
      </c>
      <c r="J136" s="7">
        <f t="shared" si="5"/>
        <v>942225.43679999991</v>
      </c>
      <c r="K136" s="7">
        <f t="shared" si="6"/>
        <v>6176811.1968</v>
      </c>
    </row>
    <row r="137" spans="1:11" ht="15" customHeight="1" x14ac:dyDescent="0.3">
      <c r="A137" s="2">
        <v>121</v>
      </c>
      <c r="B137" s="2" t="s">
        <v>678</v>
      </c>
      <c r="C137" s="2" t="s">
        <v>679</v>
      </c>
      <c r="D137" s="2" t="s">
        <v>679</v>
      </c>
      <c r="E137" s="2">
        <v>57</v>
      </c>
      <c r="F137" s="2" t="s">
        <v>2</v>
      </c>
      <c r="G137" s="7">
        <v>1744861.92</v>
      </c>
      <c r="H137" s="2">
        <v>3</v>
      </c>
      <c r="I137" s="7">
        <f t="shared" si="4"/>
        <v>5234585.76</v>
      </c>
      <c r="J137" s="7">
        <f t="shared" si="5"/>
        <v>942225.43679999991</v>
      </c>
      <c r="K137" s="7">
        <f t="shared" si="6"/>
        <v>6176811.1968</v>
      </c>
    </row>
    <row r="138" spans="1:11" ht="15" customHeight="1" x14ac:dyDescent="0.3">
      <c r="A138" s="2">
        <v>122</v>
      </c>
      <c r="B138" s="2" t="s">
        <v>810</v>
      </c>
      <c r="C138" s="2" t="s">
        <v>811</v>
      </c>
      <c r="D138" s="2" t="s">
        <v>811</v>
      </c>
      <c r="E138" s="2">
        <v>60</v>
      </c>
      <c r="F138" s="2" t="s">
        <v>2</v>
      </c>
      <c r="G138" s="7">
        <v>1744861.92</v>
      </c>
      <c r="H138" s="2">
        <v>3</v>
      </c>
      <c r="I138" s="7">
        <f t="shared" si="4"/>
        <v>5234585.76</v>
      </c>
      <c r="J138" s="7">
        <f t="shared" si="5"/>
        <v>942225.43679999991</v>
      </c>
      <c r="K138" s="7">
        <f t="shared" si="6"/>
        <v>6176811.1968</v>
      </c>
    </row>
    <row r="139" spans="1:11" ht="15" customHeight="1" x14ac:dyDescent="0.3">
      <c r="A139" s="2">
        <v>123</v>
      </c>
      <c r="B139" s="2" t="s">
        <v>650</v>
      </c>
      <c r="C139" s="2" t="s">
        <v>5006</v>
      </c>
      <c r="D139" s="2" t="s">
        <v>5006</v>
      </c>
      <c r="E139" s="2">
        <v>47</v>
      </c>
      <c r="F139" s="2" t="s">
        <v>2</v>
      </c>
      <c r="G139" s="7">
        <v>1435883.79</v>
      </c>
      <c r="H139" s="2">
        <v>3</v>
      </c>
      <c r="I139" s="7">
        <f t="shared" si="4"/>
        <v>4307651.37</v>
      </c>
      <c r="J139" s="7">
        <f t="shared" si="5"/>
        <v>775377.24659999995</v>
      </c>
      <c r="K139" s="7">
        <f t="shared" si="6"/>
        <v>5083028.6166000003</v>
      </c>
    </row>
    <row r="140" spans="1:11" ht="15" customHeight="1" x14ac:dyDescent="0.3">
      <c r="A140" s="2">
        <v>124</v>
      </c>
      <c r="B140" s="2" t="s">
        <v>153</v>
      </c>
      <c r="C140" s="2" t="s">
        <v>5007</v>
      </c>
      <c r="D140" s="2" t="s">
        <v>5007</v>
      </c>
      <c r="E140" s="2">
        <v>75</v>
      </c>
      <c r="F140" s="2" t="s">
        <v>2</v>
      </c>
      <c r="G140" s="7">
        <v>1744861.92</v>
      </c>
      <c r="H140" s="2">
        <v>3</v>
      </c>
      <c r="I140" s="7">
        <f t="shared" si="4"/>
        <v>5234585.76</v>
      </c>
      <c r="J140" s="7">
        <f t="shared" si="5"/>
        <v>942225.43679999991</v>
      </c>
      <c r="K140" s="7">
        <f t="shared" si="6"/>
        <v>6176811.1968</v>
      </c>
    </row>
    <row r="141" spans="1:11" ht="15" customHeight="1" x14ac:dyDescent="0.3">
      <c r="A141" s="2">
        <v>125</v>
      </c>
      <c r="B141" s="2" t="s">
        <v>186</v>
      </c>
      <c r="C141" s="2" t="s">
        <v>187</v>
      </c>
      <c r="D141" s="2" t="s">
        <v>187</v>
      </c>
      <c r="E141" s="2">
        <v>69</v>
      </c>
      <c r="F141" s="2" t="s">
        <v>2</v>
      </c>
      <c r="G141" s="7">
        <v>1744861.92</v>
      </c>
      <c r="H141" s="2">
        <v>3</v>
      </c>
      <c r="I141" s="7">
        <f t="shared" si="4"/>
        <v>5234585.76</v>
      </c>
      <c r="J141" s="7">
        <f t="shared" si="5"/>
        <v>942225.43679999991</v>
      </c>
      <c r="K141" s="7">
        <f t="shared" si="6"/>
        <v>6176811.1968</v>
      </c>
    </row>
    <row r="142" spans="1:11" ht="15" customHeight="1" x14ac:dyDescent="0.3">
      <c r="A142" s="2">
        <v>126</v>
      </c>
      <c r="B142" s="2" t="s">
        <v>103</v>
      </c>
      <c r="C142" s="2" t="s">
        <v>104</v>
      </c>
      <c r="D142" s="2" t="s">
        <v>104</v>
      </c>
      <c r="E142" s="2">
        <v>78</v>
      </c>
      <c r="F142" s="2" t="s">
        <v>2</v>
      </c>
      <c r="G142" s="7">
        <v>2446709.4300000002</v>
      </c>
      <c r="H142" s="2">
        <v>3</v>
      </c>
      <c r="I142" s="7">
        <f t="shared" si="4"/>
        <v>7340128.290000001</v>
      </c>
      <c r="J142" s="7">
        <f t="shared" si="5"/>
        <v>1321223.0922000001</v>
      </c>
      <c r="K142" s="7">
        <f t="shared" si="6"/>
        <v>8661351.3822000008</v>
      </c>
    </row>
    <row r="143" spans="1:11" ht="15" customHeight="1" x14ac:dyDescent="0.3">
      <c r="A143" s="2">
        <v>127</v>
      </c>
      <c r="B143" s="2" t="s">
        <v>184</v>
      </c>
      <c r="C143" s="2" t="s">
        <v>185</v>
      </c>
      <c r="D143" s="2" t="s">
        <v>185</v>
      </c>
      <c r="E143" s="2">
        <v>68</v>
      </c>
      <c r="F143" s="2" t="s">
        <v>2</v>
      </c>
      <c r="G143" s="7">
        <v>1744861.92</v>
      </c>
      <c r="H143" s="2">
        <v>3</v>
      </c>
      <c r="I143" s="7">
        <f t="shared" si="4"/>
        <v>5234585.76</v>
      </c>
      <c r="J143" s="7">
        <f t="shared" si="5"/>
        <v>942225.43679999991</v>
      </c>
      <c r="K143" s="7">
        <f t="shared" si="6"/>
        <v>6176811.1968</v>
      </c>
    </row>
    <row r="144" spans="1:11" ht="15" customHeight="1" x14ac:dyDescent="0.3">
      <c r="A144" s="2">
        <v>128</v>
      </c>
      <c r="B144" s="2" t="s">
        <v>225</v>
      </c>
      <c r="C144" s="2" t="s">
        <v>226</v>
      </c>
      <c r="D144" s="2" t="s">
        <v>226</v>
      </c>
      <c r="E144" s="2">
        <v>65</v>
      </c>
      <c r="F144" s="2" t="s">
        <v>2</v>
      </c>
      <c r="G144" s="7">
        <v>1744861.92</v>
      </c>
      <c r="H144" s="2">
        <v>3</v>
      </c>
      <c r="I144" s="7">
        <f t="shared" si="4"/>
        <v>5234585.76</v>
      </c>
      <c r="J144" s="7">
        <f t="shared" si="5"/>
        <v>942225.43679999991</v>
      </c>
      <c r="K144" s="7">
        <f t="shared" si="6"/>
        <v>6176811.1968</v>
      </c>
    </row>
    <row r="145" spans="1:11" ht="15" customHeight="1" x14ac:dyDescent="0.3">
      <c r="A145" s="2">
        <v>129</v>
      </c>
      <c r="B145" s="2" t="s">
        <v>182</v>
      </c>
      <c r="C145" s="2" t="s">
        <v>183</v>
      </c>
      <c r="D145" s="2" t="s">
        <v>183</v>
      </c>
      <c r="E145" s="2">
        <v>79</v>
      </c>
      <c r="F145" s="2" t="s">
        <v>2</v>
      </c>
      <c r="G145" s="7">
        <v>2446709.4300000002</v>
      </c>
      <c r="H145" s="2">
        <v>3</v>
      </c>
      <c r="I145" s="7">
        <f t="shared" si="4"/>
        <v>7340128.290000001</v>
      </c>
      <c r="J145" s="7">
        <f t="shared" si="5"/>
        <v>1321223.0922000001</v>
      </c>
      <c r="K145" s="7">
        <f t="shared" si="6"/>
        <v>8661351.3822000008</v>
      </c>
    </row>
    <row r="146" spans="1:11" ht="15" customHeight="1" x14ac:dyDescent="0.3">
      <c r="A146" s="2">
        <v>130</v>
      </c>
      <c r="B146" s="2" t="s">
        <v>783</v>
      </c>
      <c r="C146" s="2" t="s">
        <v>784</v>
      </c>
      <c r="D146" s="2" t="s">
        <v>784</v>
      </c>
      <c r="E146" s="2">
        <v>46</v>
      </c>
      <c r="F146" s="2" t="s">
        <v>2</v>
      </c>
      <c r="G146" s="7">
        <v>1435883.79</v>
      </c>
      <c r="H146" s="2">
        <v>3</v>
      </c>
      <c r="I146" s="7">
        <f t="shared" ref="I146:I166" si="7">+G146*H146</f>
        <v>4307651.37</v>
      </c>
      <c r="J146" s="7">
        <f t="shared" ref="J146:J166" si="8">+I146*0.18</f>
        <v>775377.24659999995</v>
      </c>
      <c r="K146" s="7">
        <f t="shared" ref="K146:K166" si="9">+I146+J146</f>
        <v>5083028.6166000003</v>
      </c>
    </row>
    <row r="147" spans="1:11" ht="15" customHeight="1" x14ac:dyDescent="0.3">
      <c r="A147" s="2">
        <v>131</v>
      </c>
      <c r="B147" s="2" t="s">
        <v>760</v>
      </c>
      <c r="C147" s="2" t="s">
        <v>761</v>
      </c>
      <c r="D147" s="2" t="s">
        <v>761</v>
      </c>
      <c r="E147" s="2">
        <v>46</v>
      </c>
      <c r="F147" s="2" t="s">
        <v>2</v>
      </c>
      <c r="G147" s="7">
        <v>1435883.79</v>
      </c>
      <c r="H147" s="2">
        <v>3</v>
      </c>
      <c r="I147" s="7">
        <f t="shared" si="7"/>
        <v>4307651.37</v>
      </c>
      <c r="J147" s="7">
        <f t="shared" si="8"/>
        <v>775377.24659999995</v>
      </c>
      <c r="K147" s="7">
        <f t="shared" si="9"/>
        <v>5083028.6166000003</v>
      </c>
    </row>
    <row r="148" spans="1:11" ht="15" customHeight="1" x14ac:dyDescent="0.3">
      <c r="A148" s="2">
        <v>132</v>
      </c>
      <c r="B148" s="2" t="s">
        <v>4603</v>
      </c>
      <c r="C148" s="2" t="s">
        <v>4618</v>
      </c>
      <c r="D148" s="2" t="s">
        <v>4618</v>
      </c>
      <c r="E148" s="2">
        <v>46</v>
      </c>
      <c r="F148" s="2" t="s">
        <v>2</v>
      </c>
      <c r="G148" s="7">
        <v>1435883.79</v>
      </c>
      <c r="H148" s="2">
        <v>3</v>
      </c>
      <c r="I148" s="7">
        <f t="shared" si="7"/>
        <v>4307651.37</v>
      </c>
      <c r="J148" s="7">
        <f t="shared" si="8"/>
        <v>775377.24659999995</v>
      </c>
      <c r="K148" s="7">
        <f t="shared" si="9"/>
        <v>5083028.6166000003</v>
      </c>
    </row>
    <row r="149" spans="1:11" ht="15" customHeight="1" x14ac:dyDescent="0.3">
      <c r="A149" s="2">
        <v>133</v>
      </c>
      <c r="B149" s="2" t="s">
        <v>808</v>
      </c>
      <c r="C149" s="2" t="s">
        <v>809</v>
      </c>
      <c r="D149" s="2" t="s">
        <v>809</v>
      </c>
      <c r="E149" s="2">
        <v>62</v>
      </c>
      <c r="F149" s="2" t="s">
        <v>2</v>
      </c>
      <c r="G149" s="7">
        <v>1744861.92</v>
      </c>
      <c r="H149" s="2">
        <v>3</v>
      </c>
      <c r="I149" s="7">
        <f t="shared" si="7"/>
        <v>5234585.76</v>
      </c>
      <c r="J149" s="7">
        <f t="shared" si="8"/>
        <v>942225.43679999991</v>
      </c>
      <c r="K149" s="7">
        <f t="shared" si="9"/>
        <v>6176811.1968</v>
      </c>
    </row>
    <row r="150" spans="1:11" ht="15" customHeight="1" x14ac:dyDescent="0.3">
      <c r="A150" s="2">
        <v>134</v>
      </c>
      <c r="B150" s="2" t="s">
        <v>588</v>
      </c>
      <c r="C150" s="2" t="s">
        <v>589</v>
      </c>
      <c r="D150" s="2" t="s">
        <v>589</v>
      </c>
      <c r="E150" s="2">
        <v>40</v>
      </c>
      <c r="F150" s="2" t="s">
        <v>2</v>
      </c>
      <c r="G150" s="7">
        <v>1435883.79</v>
      </c>
      <c r="H150" s="2">
        <v>3</v>
      </c>
      <c r="I150" s="7">
        <f t="shared" si="7"/>
        <v>4307651.37</v>
      </c>
      <c r="J150" s="7">
        <f t="shared" si="8"/>
        <v>775377.24659999995</v>
      </c>
      <c r="K150" s="7">
        <f t="shared" si="9"/>
        <v>5083028.6166000003</v>
      </c>
    </row>
    <row r="151" spans="1:11" ht="15" customHeight="1" x14ac:dyDescent="0.3">
      <c r="A151" s="2">
        <v>135</v>
      </c>
      <c r="B151" s="2" t="s">
        <v>590</v>
      </c>
      <c r="C151" s="2" t="s">
        <v>591</v>
      </c>
      <c r="D151" s="2" t="s">
        <v>591</v>
      </c>
      <c r="E151" s="2">
        <v>40</v>
      </c>
      <c r="F151" s="2" t="s">
        <v>2</v>
      </c>
      <c r="G151" s="7">
        <v>1435883.79</v>
      </c>
      <c r="H151" s="2">
        <v>3</v>
      </c>
      <c r="I151" s="7">
        <f t="shared" si="7"/>
        <v>4307651.37</v>
      </c>
      <c r="J151" s="7">
        <f t="shared" si="8"/>
        <v>775377.24659999995</v>
      </c>
      <c r="K151" s="7">
        <f t="shared" si="9"/>
        <v>5083028.6166000003</v>
      </c>
    </row>
    <row r="152" spans="1:11" ht="15" customHeight="1" x14ac:dyDescent="0.3">
      <c r="A152" s="2">
        <v>136</v>
      </c>
      <c r="B152" s="2" t="s">
        <v>595</v>
      </c>
      <c r="C152" s="2" t="s">
        <v>5008</v>
      </c>
      <c r="D152" s="2" t="s">
        <v>5008</v>
      </c>
      <c r="E152" s="2">
        <v>40</v>
      </c>
      <c r="F152" s="2" t="s">
        <v>2</v>
      </c>
      <c r="G152" s="7">
        <v>1435883.79</v>
      </c>
      <c r="H152" s="2">
        <v>3</v>
      </c>
      <c r="I152" s="7">
        <f t="shared" si="7"/>
        <v>4307651.37</v>
      </c>
      <c r="J152" s="7">
        <f t="shared" si="8"/>
        <v>775377.24659999995</v>
      </c>
      <c r="K152" s="7">
        <f t="shared" si="9"/>
        <v>5083028.6166000003</v>
      </c>
    </row>
    <row r="153" spans="1:11" ht="15" customHeight="1" x14ac:dyDescent="0.3">
      <c r="A153" s="2">
        <v>137</v>
      </c>
      <c r="B153" s="2" t="s">
        <v>603</v>
      </c>
      <c r="C153" s="2" t="s">
        <v>604</v>
      </c>
      <c r="D153" s="2" t="s">
        <v>604</v>
      </c>
      <c r="E153" s="2">
        <v>47</v>
      </c>
      <c r="F153" s="2" t="s">
        <v>2</v>
      </c>
      <c r="G153" s="7">
        <v>1435883.79</v>
      </c>
      <c r="H153" s="2">
        <v>3</v>
      </c>
      <c r="I153" s="7">
        <f t="shared" si="7"/>
        <v>4307651.37</v>
      </c>
      <c r="J153" s="7">
        <f t="shared" si="8"/>
        <v>775377.24659999995</v>
      </c>
      <c r="K153" s="7">
        <f t="shared" si="9"/>
        <v>5083028.6166000003</v>
      </c>
    </row>
    <row r="154" spans="1:11" ht="15" customHeight="1" x14ac:dyDescent="0.3">
      <c r="A154" s="2">
        <v>138</v>
      </c>
      <c r="B154" s="2" t="s">
        <v>606</v>
      </c>
      <c r="C154" s="2" t="s">
        <v>5009</v>
      </c>
      <c r="D154" s="2" t="s">
        <v>5009</v>
      </c>
      <c r="E154" s="2">
        <v>40</v>
      </c>
      <c r="F154" s="2" t="s">
        <v>2</v>
      </c>
      <c r="G154" s="7">
        <v>1435883.79</v>
      </c>
      <c r="H154" s="2">
        <v>3</v>
      </c>
      <c r="I154" s="7">
        <f t="shared" si="7"/>
        <v>4307651.37</v>
      </c>
      <c r="J154" s="7">
        <f t="shared" si="8"/>
        <v>775377.24659999995</v>
      </c>
      <c r="K154" s="7">
        <f t="shared" si="9"/>
        <v>5083028.6166000003</v>
      </c>
    </row>
    <row r="155" spans="1:11" ht="15" customHeight="1" x14ac:dyDescent="0.3">
      <c r="A155" s="2">
        <v>139</v>
      </c>
      <c r="B155" s="2" t="s">
        <v>605</v>
      </c>
      <c r="C155" s="2" t="s">
        <v>5010</v>
      </c>
      <c r="D155" s="2" t="s">
        <v>5010</v>
      </c>
      <c r="E155" s="2">
        <v>40</v>
      </c>
      <c r="F155" s="2" t="s">
        <v>2</v>
      </c>
      <c r="G155" s="7">
        <v>1435883.79</v>
      </c>
      <c r="H155" s="2">
        <v>3</v>
      </c>
      <c r="I155" s="7">
        <f t="shared" si="7"/>
        <v>4307651.37</v>
      </c>
      <c r="J155" s="7">
        <f t="shared" si="8"/>
        <v>775377.24659999995</v>
      </c>
      <c r="K155" s="7">
        <f t="shared" si="9"/>
        <v>5083028.6166000003</v>
      </c>
    </row>
    <row r="156" spans="1:11" ht="15" customHeight="1" x14ac:dyDescent="0.3">
      <c r="A156" s="2">
        <v>140</v>
      </c>
      <c r="B156" s="2" t="s">
        <v>616</v>
      </c>
      <c r="C156" s="2" t="s">
        <v>5011</v>
      </c>
      <c r="D156" s="2" t="s">
        <v>5011</v>
      </c>
      <c r="E156" s="2">
        <v>40</v>
      </c>
      <c r="F156" s="2" t="s">
        <v>2</v>
      </c>
      <c r="G156" s="7">
        <v>1435883.79</v>
      </c>
      <c r="H156" s="2">
        <v>3</v>
      </c>
      <c r="I156" s="7">
        <f t="shared" si="7"/>
        <v>4307651.37</v>
      </c>
      <c r="J156" s="7">
        <f t="shared" si="8"/>
        <v>775377.24659999995</v>
      </c>
      <c r="K156" s="7">
        <f t="shared" si="9"/>
        <v>5083028.6166000003</v>
      </c>
    </row>
    <row r="157" spans="1:11" ht="15" customHeight="1" x14ac:dyDescent="0.3">
      <c r="A157" s="2">
        <v>141</v>
      </c>
      <c r="B157" s="2" t="s">
        <v>368</v>
      </c>
      <c r="C157" s="2" t="s">
        <v>369</v>
      </c>
      <c r="D157" s="2" t="s">
        <v>369</v>
      </c>
      <c r="E157" s="2">
        <v>70</v>
      </c>
      <c r="F157" s="2" t="s">
        <v>2</v>
      </c>
      <c r="G157" s="7">
        <v>1744861.92</v>
      </c>
      <c r="H157" s="2">
        <v>3</v>
      </c>
      <c r="I157" s="7">
        <f t="shared" si="7"/>
        <v>5234585.76</v>
      </c>
      <c r="J157" s="7">
        <f t="shared" si="8"/>
        <v>942225.43679999991</v>
      </c>
      <c r="K157" s="7">
        <f t="shared" si="9"/>
        <v>6176811.1968</v>
      </c>
    </row>
    <row r="158" spans="1:11" ht="15" customHeight="1" x14ac:dyDescent="0.3">
      <c r="A158" s="2">
        <v>142</v>
      </c>
      <c r="B158" s="2" t="s">
        <v>361</v>
      </c>
      <c r="C158" s="2" t="s">
        <v>5012</v>
      </c>
      <c r="D158" s="2" t="s">
        <v>5012</v>
      </c>
      <c r="E158" s="2">
        <v>40</v>
      </c>
      <c r="F158" s="2" t="s">
        <v>2</v>
      </c>
      <c r="G158" s="7">
        <v>1435883.79</v>
      </c>
      <c r="H158" s="2">
        <v>3</v>
      </c>
      <c r="I158" s="7">
        <f t="shared" si="7"/>
        <v>4307651.37</v>
      </c>
      <c r="J158" s="7">
        <f t="shared" si="8"/>
        <v>775377.24659999995</v>
      </c>
      <c r="K158" s="7">
        <f t="shared" si="9"/>
        <v>5083028.6166000003</v>
      </c>
    </row>
    <row r="159" spans="1:11" ht="15" customHeight="1" x14ac:dyDescent="0.3">
      <c r="A159" s="2">
        <v>143</v>
      </c>
      <c r="B159" s="2" t="s">
        <v>364</v>
      </c>
      <c r="C159" s="2" t="s">
        <v>365</v>
      </c>
      <c r="D159" s="2" t="s">
        <v>365</v>
      </c>
      <c r="E159" s="2">
        <v>30</v>
      </c>
      <c r="F159" s="2" t="s">
        <v>2</v>
      </c>
      <c r="G159" s="7">
        <v>1215614.7</v>
      </c>
      <c r="H159" s="2">
        <v>3</v>
      </c>
      <c r="I159" s="7">
        <f t="shared" si="7"/>
        <v>3646844.0999999996</v>
      </c>
      <c r="J159" s="7">
        <f t="shared" si="8"/>
        <v>656431.93799999997</v>
      </c>
      <c r="K159" s="7">
        <f t="shared" si="9"/>
        <v>4303276.0379999997</v>
      </c>
    </row>
    <row r="160" spans="1:11" ht="15" customHeight="1" x14ac:dyDescent="0.3">
      <c r="A160" s="2">
        <v>144</v>
      </c>
      <c r="B160" s="2" t="s">
        <v>227</v>
      </c>
      <c r="C160" s="2" t="s">
        <v>228</v>
      </c>
      <c r="D160" s="2" t="s">
        <v>228</v>
      </c>
      <c r="E160" s="2">
        <v>67</v>
      </c>
      <c r="F160" s="2" t="s">
        <v>2</v>
      </c>
      <c r="G160" s="7">
        <v>1744861.92</v>
      </c>
      <c r="H160" s="2">
        <v>3</v>
      </c>
      <c r="I160" s="7">
        <f t="shared" si="7"/>
        <v>5234585.76</v>
      </c>
      <c r="J160" s="7">
        <f t="shared" si="8"/>
        <v>942225.43679999991</v>
      </c>
      <c r="K160" s="7">
        <f t="shared" si="9"/>
        <v>6176811.1968</v>
      </c>
    </row>
    <row r="161" spans="1:11" ht="15" customHeight="1" x14ac:dyDescent="0.3">
      <c r="A161" s="2">
        <v>145</v>
      </c>
      <c r="B161" s="2" t="s">
        <v>127</v>
      </c>
      <c r="C161" s="2" t="s">
        <v>128</v>
      </c>
      <c r="D161" s="2" t="s">
        <v>128</v>
      </c>
      <c r="E161" s="2">
        <v>72</v>
      </c>
      <c r="F161" s="2" t="s">
        <v>2</v>
      </c>
      <c r="G161" s="7">
        <v>1744861.92</v>
      </c>
      <c r="H161" s="2">
        <v>3</v>
      </c>
      <c r="I161" s="7">
        <f t="shared" si="7"/>
        <v>5234585.76</v>
      </c>
      <c r="J161" s="7">
        <f t="shared" si="8"/>
        <v>942225.43679999991</v>
      </c>
      <c r="K161" s="7">
        <f t="shared" si="9"/>
        <v>6176811.1968</v>
      </c>
    </row>
    <row r="162" spans="1:11" ht="15" customHeight="1" x14ac:dyDescent="0.3">
      <c r="A162" s="2">
        <v>146</v>
      </c>
      <c r="B162" s="2" t="s">
        <v>658</v>
      </c>
      <c r="C162" s="2" t="s">
        <v>659</v>
      </c>
      <c r="D162" s="2" t="s">
        <v>659</v>
      </c>
      <c r="E162" s="2">
        <v>69</v>
      </c>
      <c r="F162" s="2" t="s">
        <v>2</v>
      </c>
      <c r="G162" s="7">
        <v>1744861.92</v>
      </c>
      <c r="H162" s="2">
        <v>3</v>
      </c>
      <c r="I162" s="7">
        <f t="shared" si="7"/>
        <v>5234585.76</v>
      </c>
      <c r="J162" s="7">
        <f t="shared" si="8"/>
        <v>942225.43679999991</v>
      </c>
      <c r="K162" s="7">
        <f t="shared" si="9"/>
        <v>6176811.1968</v>
      </c>
    </row>
    <row r="163" spans="1:11" ht="15" customHeight="1" x14ac:dyDescent="0.3">
      <c r="A163" s="2">
        <v>147</v>
      </c>
      <c r="B163" s="2" t="s">
        <v>785</v>
      </c>
      <c r="C163" s="2" t="s">
        <v>786</v>
      </c>
      <c r="D163" s="2" t="s">
        <v>786</v>
      </c>
      <c r="E163" s="2">
        <v>60</v>
      </c>
      <c r="F163" s="2" t="s">
        <v>2</v>
      </c>
      <c r="G163" s="7">
        <v>1744861.92</v>
      </c>
      <c r="H163" s="53">
        <v>3</v>
      </c>
      <c r="I163" s="7">
        <f t="shared" si="7"/>
        <v>5234585.76</v>
      </c>
      <c r="J163" s="7">
        <f t="shared" si="8"/>
        <v>942225.43679999991</v>
      </c>
      <c r="K163" s="7">
        <f t="shared" si="9"/>
        <v>6176811.1968</v>
      </c>
    </row>
    <row r="164" spans="1:11" ht="15" customHeight="1" x14ac:dyDescent="0.3">
      <c r="A164" s="2">
        <v>148</v>
      </c>
      <c r="B164" s="2" t="s">
        <v>4604</v>
      </c>
      <c r="C164" s="2" t="s">
        <v>5013</v>
      </c>
      <c r="D164" s="2" t="s">
        <v>5013</v>
      </c>
      <c r="E164" s="2">
        <v>52</v>
      </c>
      <c r="F164" s="2" t="s">
        <v>2</v>
      </c>
      <c r="G164" s="7">
        <v>1744861.92</v>
      </c>
      <c r="H164" s="53">
        <v>3</v>
      </c>
      <c r="I164" s="7">
        <f t="shared" si="7"/>
        <v>5234585.76</v>
      </c>
      <c r="J164" s="7">
        <f t="shared" si="8"/>
        <v>942225.43679999991</v>
      </c>
      <c r="K164" s="7">
        <f t="shared" si="9"/>
        <v>6176811.1968</v>
      </c>
    </row>
    <row r="165" spans="1:11" ht="15" customHeight="1" x14ac:dyDescent="0.3">
      <c r="A165" s="2">
        <v>149</v>
      </c>
      <c r="B165" s="2" t="s">
        <v>324</v>
      </c>
      <c r="C165" s="2" t="s">
        <v>325</v>
      </c>
      <c r="D165" s="2" t="s">
        <v>325</v>
      </c>
      <c r="E165" s="2">
        <v>78</v>
      </c>
      <c r="F165" s="2" t="s">
        <v>2</v>
      </c>
      <c r="G165" s="7">
        <v>2446709.4300000002</v>
      </c>
      <c r="H165" s="53">
        <v>3</v>
      </c>
      <c r="I165" s="7">
        <f t="shared" si="7"/>
        <v>7340128.290000001</v>
      </c>
      <c r="J165" s="7">
        <f t="shared" si="8"/>
        <v>1321223.0922000001</v>
      </c>
      <c r="K165" s="7">
        <f t="shared" si="9"/>
        <v>8661351.3822000008</v>
      </c>
    </row>
    <row r="166" spans="1:11" x14ac:dyDescent="0.3">
      <c r="A166" s="2">
        <v>150</v>
      </c>
      <c r="B166" s="2" t="s">
        <v>319</v>
      </c>
      <c r="C166" s="2" t="s">
        <v>320</v>
      </c>
      <c r="D166" s="2" t="s">
        <v>320</v>
      </c>
      <c r="E166" s="2">
        <v>71</v>
      </c>
      <c r="F166" s="2" t="s">
        <v>2</v>
      </c>
      <c r="G166" s="7">
        <v>1744861.92</v>
      </c>
      <c r="H166" s="53">
        <v>3</v>
      </c>
      <c r="I166" s="7">
        <f t="shared" si="7"/>
        <v>5234585.76</v>
      </c>
      <c r="J166" s="7">
        <f t="shared" si="8"/>
        <v>942225.43679999991</v>
      </c>
      <c r="K166" s="7">
        <f t="shared" si="9"/>
        <v>6176811.1968</v>
      </c>
    </row>
  </sheetData>
  <autoFilter ref="A16:K166" xr:uid="{00000000-0001-0000-0800-000000000000}"/>
  <conditionalFormatting sqref="B1:B1048576">
    <cfRule type="duplicateValues" dxfId="25" priority="1"/>
  </conditionalFormatting>
  <conditionalFormatting sqref="G1">
    <cfRule type="duplicateValues" dxfId="24" priority="9552"/>
  </conditionalFormatting>
  <conditionalFormatting sqref="B1:B165">
    <cfRule type="duplicateValues" dxfId="23" priority="11316"/>
  </conditionalFormatting>
  <conditionalFormatting sqref="B1:B165">
    <cfRule type="duplicateValues" dxfId="22" priority="11318"/>
    <cfRule type="duplicateValues" dxfId="21" priority="11319"/>
  </conditionalFormatting>
  <conditionalFormatting sqref="C1:C165">
    <cfRule type="duplicateValues" dxfId="20" priority="11322"/>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81"/>
  <sheetViews>
    <sheetView topLeftCell="D1" zoomScale="81" zoomScaleNormal="80" workbookViewId="0">
      <selection activeCell="H5" sqref="H5"/>
    </sheetView>
  </sheetViews>
  <sheetFormatPr baseColWidth="10" defaultColWidth="9.109375" defaultRowHeight="14.4" x14ac:dyDescent="0.3"/>
  <cols>
    <col min="2" max="2" width="21.44140625" bestFit="1" customWidth="1"/>
    <col min="3" max="3" width="30.33203125" bestFit="1" customWidth="1"/>
    <col min="4" max="4" width="47.88671875" customWidth="1"/>
    <col min="5" max="5" width="17.44140625" bestFit="1" customWidth="1"/>
    <col min="6" max="6" width="23.88671875" customWidth="1"/>
    <col min="7" max="7" width="19.6640625" bestFit="1" customWidth="1"/>
    <col min="8" max="8" width="17.6640625" bestFit="1" customWidth="1"/>
    <col min="9" max="9" width="24.44140625" customWidth="1"/>
    <col min="10" max="10" width="17.44140625" customWidth="1"/>
    <col min="11" max="11" width="26.5546875" customWidth="1"/>
  </cols>
  <sheetData>
    <row r="1" spans="1:11" x14ac:dyDescent="0.3">
      <c r="G1" s="1" t="s">
        <v>0</v>
      </c>
    </row>
    <row r="2" spans="1:11" x14ac:dyDescent="0.3">
      <c r="G2" s="19">
        <f>COUNTIF(F$17:F$81,$G$1)</f>
        <v>65</v>
      </c>
    </row>
    <row r="3" spans="1:11" x14ac:dyDescent="0.3">
      <c r="F3" s="18" t="s">
        <v>4508</v>
      </c>
      <c r="G3" s="27">
        <f>SUMIF($F$17:$F$81,"BARTER",$G$17:$G$81)</f>
        <v>92355143.179999948</v>
      </c>
    </row>
    <row r="4" spans="1:11" x14ac:dyDescent="0.3">
      <c r="G4" s="4"/>
    </row>
    <row r="5" spans="1:11" x14ac:dyDescent="0.3">
      <c r="F5" s="5" t="s">
        <v>4</v>
      </c>
      <c r="G5" s="6"/>
    </row>
    <row r="6" spans="1:11" x14ac:dyDescent="0.3">
      <c r="F6" s="2" t="s">
        <v>4958</v>
      </c>
      <c r="G6" s="7">
        <v>805824</v>
      </c>
    </row>
    <row r="7" spans="1:11" x14ac:dyDescent="0.3">
      <c r="F7" s="2" t="s">
        <v>4952</v>
      </c>
      <c r="G7" s="7">
        <v>1094053.24</v>
      </c>
    </row>
    <row r="8" spans="1:11" x14ac:dyDescent="0.3">
      <c r="F8" s="2" t="s">
        <v>4953</v>
      </c>
      <c r="G8" s="7">
        <v>1292295.4099999999</v>
      </c>
    </row>
    <row r="9" spans="1:11" x14ac:dyDescent="0.3">
      <c r="F9" s="2" t="s">
        <v>4954</v>
      </c>
      <c r="G9" s="257">
        <v>1570375.73</v>
      </c>
    </row>
    <row r="10" spans="1:11" x14ac:dyDescent="0.3">
      <c r="E10" s="6"/>
      <c r="F10" s="36" t="s">
        <v>4955</v>
      </c>
      <c r="G10" s="7">
        <v>2202038.4900000002</v>
      </c>
    </row>
    <row r="11" spans="1:11" x14ac:dyDescent="0.3">
      <c r="E11" s="6"/>
      <c r="F11" s="36" t="s">
        <v>4961</v>
      </c>
      <c r="G11" s="7">
        <v>2694199.14</v>
      </c>
    </row>
    <row r="12" spans="1:11" x14ac:dyDescent="0.3">
      <c r="E12" s="6"/>
      <c r="F12" s="6"/>
      <c r="G12" s="6"/>
    </row>
    <row r="13" spans="1:11" x14ac:dyDescent="0.3">
      <c r="D13" s="20" t="s">
        <v>5259</v>
      </c>
      <c r="E13" s="6"/>
      <c r="F13" s="6"/>
      <c r="G13" s="6"/>
    </row>
    <row r="14" spans="1:11" x14ac:dyDescent="0.3">
      <c r="G14" s="9"/>
    </row>
    <row r="15" spans="1:11" s="6" customFormat="1" ht="16.5" customHeight="1" x14ac:dyDescent="0.3">
      <c r="G15" s="16">
        <f>SUBTOTAL(9,G17:G81)</f>
        <v>92355143.179999948</v>
      </c>
      <c r="I15" s="17">
        <f>SUBTOTAL(9,I17:I81)</f>
        <v>277065429.53999984</v>
      </c>
      <c r="J15" s="17">
        <f>SUBTOTAL(9,J17:J81)</f>
        <v>49871777.31719996</v>
      </c>
      <c r="K15" s="17">
        <f>SUBTOTAL(9,K17:K81)</f>
        <v>326937206.85719997</v>
      </c>
    </row>
    <row r="16" spans="1:11" s="5" customFormat="1" ht="16.5" customHeight="1" x14ac:dyDescent="0.3">
      <c r="A16" s="10" t="s">
        <v>5</v>
      </c>
      <c r="B16" s="10" t="s">
        <v>6</v>
      </c>
      <c r="C16" s="10" t="s">
        <v>7</v>
      </c>
      <c r="D16" s="10" t="s">
        <v>8</v>
      </c>
      <c r="E16" s="10" t="s">
        <v>9</v>
      </c>
      <c r="F16" s="10" t="s">
        <v>10</v>
      </c>
      <c r="G16" s="10" t="s">
        <v>0</v>
      </c>
      <c r="H16" s="10" t="s">
        <v>4504</v>
      </c>
      <c r="I16" s="24" t="s">
        <v>4505</v>
      </c>
      <c r="J16" s="24" t="s">
        <v>4506</v>
      </c>
      <c r="K16" s="14" t="s">
        <v>5272</v>
      </c>
    </row>
    <row r="17" spans="1:11" ht="15" customHeight="1" x14ac:dyDescent="0.3">
      <c r="A17" s="2">
        <v>1</v>
      </c>
      <c r="B17" s="2" t="s">
        <v>3221</v>
      </c>
      <c r="C17" s="2" t="s">
        <v>3222</v>
      </c>
      <c r="D17" s="37" t="s">
        <v>3223</v>
      </c>
      <c r="E17" s="2">
        <v>62</v>
      </c>
      <c r="F17" s="2" t="s">
        <v>0</v>
      </c>
      <c r="G17" s="7">
        <v>1570375.73</v>
      </c>
      <c r="H17" s="2">
        <v>3</v>
      </c>
      <c r="I17" s="7">
        <f>+G17*H17</f>
        <v>4711127.1899999995</v>
      </c>
      <c r="J17" s="7">
        <f>+I17*0.18</f>
        <v>848002.89419999986</v>
      </c>
      <c r="K17" s="7">
        <f>+I17+J17</f>
        <v>5559130.0841999995</v>
      </c>
    </row>
    <row r="18" spans="1:11" ht="15" customHeight="1" x14ac:dyDescent="0.3">
      <c r="A18" s="2">
        <v>2</v>
      </c>
      <c r="B18" s="2" t="s">
        <v>2812</v>
      </c>
      <c r="C18" s="2" t="s">
        <v>2813</v>
      </c>
      <c r="D18" s="37" t="s">
        <v>2814</v>
      </c>
      <c r="E18" s="2">
        <v>60</v>
      </c>
      <c r="F18" s="2" t="s">
        <v>0</v>
      </c>
      <c r="G18" s="7">
        <v>1570375.73</v>
      </c>
      <c r="H18" s="2">
        <v>3</v>
      </c>
      <c r="I18" s="7">
        <f t="shared" ref="I18:I81" si="0">+G18*H18</f>
        <v>4711127.1899999995</v>
      </c>
      <c r="J18" s="7">
        <f t="shared" ref="J18:J81" si="1">+I18*0.18</f>
        <v>848002.89419999986</v>
      </c>
      <c r="K18" s="7">
        <f t="shared" ref="K18:K81" si="2">+I18+J18</f>
        <v>5559130.0841999995</v>
      </c>
    </row>
    <row r="19" spans="1:11" ht="15" customHeight="1" x14ac:dyDescent="0.3">
      <c r="A19" s="2">
        <v>3</v>
      </c>
      <c r="B19" s="2" t="s">
        <v>3368</v>
      </c>
      <c r="C19" s="2" t="s">
        <v>3369</v>
      </c>
      <c r="D19" s="37" t="s">
        <v>3370</v>
      </c>
      <c r="E19" s="2">
        <v>32</v>
      </c>
      <c r="F19" s="2" t="s">
        <v>0</v>
      </c>
      <c r="G19" s="7">
        <v>1094053.24</v>
      </c>
      <c r="H19" s="2">
        <v>3</v>
      </c>
      <c r="I19" s="7">
        <f t="shared" si="0"/>
        <v>3282159.7199999997</v>
      </c>
      <c r="J19" s="7">
        <f t="shared" si="1"/>
        <v>590788.74959999998</v>
      </c>
      <c r="K19" s="7">
        <f t="shared" si="2"/>
        <v>3872948.4695999995</v>
      </c>
    </row>
    <row r="20" spans="1:11" ht="15" customHeight="1" x14ac:dyDescent="0.3">
      <c r="A20" s="2">
        <v>4</v>
      </c>
      <c r="B20" s="2" t="s">
        <v>2649</v>
      </c>
      <c r="C20" s="2" t="s">
        <v>2650</v>
      </c>
      <c r="D20" s="37" t="s">
        <v>2651</v>
      </c>
      <c r="E20" s="2">
        <v>69</v>
      </c>
      <c r="F20" s="2" t="s">
        <v>0</v>
      </c>
      <c r="G20" s="7">
        <v>1570375.73</v>
      </c>
      <c r="H20" s="2">
        <v>3</v>
      </c>
      <c r="I20" s="7">
        <f t="shared" si="0"/>
        <v>4711127.1899999995</v>
      </c>
      <c r="J20" s="7">
        <f t="shared" si="1"/>
        <v>848002.89419999986</v>
      </c>
      <c r="K20" s="7">
        <f t="shared" si="2"/>
        <v>5559130.0841999995</v>
      </c>
    </row>
    <row r="21" spans="1:11" ht="15" customHeight="1" x14ac:dyDescent="0.3">
      <c r="A21" s="2">
        <v>5</v>
      </c>
      <c r="B21" s="2" t="s">
        <v>2679</v>
      </c>
      <c r="C21" s="2" t="s">
        <v>2680</v>
      </c>
      <c r="D21" s="37" t="s">
        <v>2681</v>
      </c>
      <c r="E21" s="2">
        <v>60</v>
      </c>
      <c r="F21" s="2" t="s">
        <v>0</v>
      </c>
      <c r="G21" s="7">
        <v>1570375.73</v>
      </c>
      <c r="H21" s="2">
        <v>3</v>
      </c>
      <c r="I21" s="7">
        <f t="shared" si="0"/>
        <v>4711127.1899999995</v>
      </c>
      <c r="J21" s="7">
        <f t="shared" si="1"/>
        <v>848002.89419999986</v>
      </c>
      <c r="K21" s="7">
        <f t="shared" si="2"/>
        <v>5559130.0841999995</v>
      </c>
    </row>
    <row r="22" spans="1:11" ht="15" customHeight="1" x14ac:dyDescent="0.3">
      <c r="A22" s="2">
        <v>6</v>
      </c>
      <c r="B22" s="2" t="s">
        <v>2703</v>
      </c>
      <c r="C22" s="2" t="s">
        <v>2704</v>
      </c>
      <c r="D22" s="37" t="s">
        <v>2705</v>
      </c>
      <c r="E22" s="2">
        <v>58</v>
      </c>
      <c r="F22" s="2" t="s">
        <v>0</v>
      </c>
      <c r="G22" s="7">
        <v>1570375.73</v>
      </c>
      <c r="H22" s="2">
        <v>3</v>
      </c>
      <c r="I22" s="7">
        <f t="shared" si="0"/>
        <v>4711127.1899999995</v>
      </c>
      <c r="J22" s="7">
        <f t="shared" si="1"/>
        <v>848002.89419999986</v>
      </c>
      <c r="K22" s="7">
        <f t="shared" si="2"/>
        <v>5559130.0841999995</v>
      </c>
    </row>
    <row r="23" spans="1:11" ht="15" customHeight="1" x14ac:dyDescent="0.3">
      <c r="A23" s="2">
        <v>7</v>
      </c>
      <c r="B23" s="2" t="s">
        <v>2784</v>
      </c>
      <c r="C23" s="2" t="s">
        <v>2785</v>
      </c>
      <c r="D23" s="37" t="s">
        <v>2786</v>
      </c>
      <c r="E23" s="2">
        <v>54</v>
      </c>
      <c r="F23" s="2" t="s">
        <v>0</v>
      </c>
      <c r="G23" s="7">
        <v>1570375.73</v>
      </c>
      <c r="H23" s="2">
        <v>3</v>
      </c>
      <c r="I23" s="7">
        <f t="shared" si="0"/>
        <v>4711127.1899999995</v>
      </c>
      <c r="J23" s="7">
        <f t="shared" si="1"/>
        <v>848002.89419999986</v>
      </c>
      <c r="K23" s="7">
        <f t="shared" si="2"/>
        <v>5559130.0841999995</v>
      </c>
    </row>
    <row r="24" spans="1:11" ht="15" customHeight="1" x14ac:dyDescent="0.3">
      <c r="A24" s="2">
        <v>8</v>
      </c>
      <c r="B24" s="2" t="s">
        <v>2730</v>
      </c>
      <c r="C24" s="2" t="s">
        <v>2731</v>
      </c>
      <c r="D24" s="37" t="s">
        <v>2732</v>
      </c>
      <c r="E24" s="2">
        <v>60</v>
      </c>
      <c r="F24" s="2" t="s">
        <v>0</v>
      </c>
      <c r="G24" s="7">
        <v>1570375.73</v>
      </c>
      <c r="H24" s="2">
        <v>3</v>
      </c>
      <c r="I24" s="7">
        <f t="shared" si="0"/>
        <v>4711127.1899999995</v>
      </c>
      <c r="J24" s="7">
        <f t="shared" si="1"/>
        <v>848002.89419999986</v>
      </c>
      <c r="K24" s="7">
        <f t="shared" si="2"/>
        <v>5559130.0841999995</v>
      </c>
    </row>
    <row r="25" spans="1:11" ht="15" customHeight="1" x14ac:dyDescent="0.3">
      <c r="A25" s="2">
        <v>9</v>
      </c>
      <c r="B25" s="2" t="s">
        <v>2778</v>
      </c>
      <c r="C25" s="2" t="s">
        <v>2779</v>
      </c>
      <c r="D25" s="37" t="s">
        <v>2780</v>
      </c>
      <c r="E25" s="2">
        <v>56</v>
      </c>
      <c r="F25" s="2" t="s">
        <v>0</v>
      </c>
      <c r="G25" s="7">
        <v>1570375.73</v>
      </c>
      <c r="H25" s="2">
        <v>3</v>
      </c>
      <c r="I25" s="7">
        <f t="shared" si="0"/>
        <v>4711127.1899999995</v>
      </c>
      <c r="J25" s="7">
        <f t="shared" si="1"/>
        <v>848002.89419999986</v>
      </c>
      <c r="K25" s="7">
        <f t="shared" si="2"/>
        <v>5559130.0841999995</v>
      </c>
    </row>
    <row r="26" spans="1:11" ht="15" customHeight="1" x14ac:dyDescent="0.3">
      <c r="A26" s="2">
        <v>10</v>
      </c>
      <c r="B26" s="2" t="s">
        <v>2842</v>
      </c>
      <c r="C26" s="2" t="s">
        <v>2843</v>
      </c>
      <c r="D26" s="37" t="s">
        <v>2844</v>
      </c>
      <c r="E26" s="2">
        <v>58</v>
      </c>
      <c r="F26" s="2" t="s">
        <v>0</v>
      </c>
      <c r="G26" s="7">
        <v>1570375.73</v>
      </c>
      <c r="H26" s="2">
        <v>3</v>
      </c>
      <c r="I26" s="7">
        <f t="shared" si="0"/>
        <v>4711127.1899999995</v>
      </c>
      <c r="J26" s="7">
        <f t="shared" si="1"/>
        <v>848002.89419999986</v>
      </c>
      <c r="K26" s="7">
        <f t="shared" si="2"/>
        <v>5559130.0841999995</v>
      </c>
    </row>
    <row r="27" spans="1:11" ht="15" customHeight="1" x14ac:dyDescent="0.3">
      <c r="A27" s="2">
        <v>11</v>
      </c>
      <c r="B27" s="2" t="s">
        <v>3236</v>
      </c>
      <c r="C27" s="2" t="s">
        <v>3237</v>
      </c>
      <c r="D27" s="37" t="s">
        <v>3238</v>
      </c>
      <c r="E27" s="2">
        <v>39</v>
      </c>
      <c r="F27" s="2" t="s">
        <v>0</v>
      </c>
      <c r="G27" s="7">
        <v>1292295.4099999999</v>
      </c>
      <c r="H27" s="2">
        <v>3</v>
      </c>
      <c r="I27" s="7">
        <f t="shared" si="0"/>
        <v>3876886.2299999995</v>
      </c>
      <c r="J27" s="7">
        <f t="shared" si="1"/>
        <v>697839.52139999985</v>
      </c>
      <c r="K27" s="7">
        <f t="shared" si="2"/>
        <v>4574725.7513999995</v>
      </c>
    </row>
    <row r="28" spans="1:11" ht="15" customHeight="1" x14ac:dyDescent="0.3">
      <c r="A28" s="2">
        <v>12</v>
      </c>
      <c r="B28" s="2" t="s">
        <v>3212</v>
      </c>
      <c r="C28" s="2" t="s">
        <v>3213</v>
      </c>
      <c r="D28" s="37" t="s">
        <v>3214</v>
      </c>
      <c r="E28" s="2">
        <v>45</v>
      </c>
      <c r="F28" s="2" t="s">
        <v>0</v>
      </c>
      <c r="G28" s="7">
        <v>1292295.4099999999</v>
      </c>
      <c r="H28" s="2">
        <v>3</v>
      </c>
      <c r="I28" s="7">
        <f t="shared" si="0"/>
        <v>3876886.2299999995</v>
      </c>
      <c r="J28" s="7">
        <f t="shared" si="1"/>
        <v>697839.52139999985</v>
      </c>
      <c r="K28" s="7">
        <f t="shared" si="2"/>
        <v>4574725.7513999995</v>
      </c>
    </row>
    <row r="29" spans="1:11" ht="15" customHeight="1" x14ac:dyDescent="0.3">
      <c r="A29" s="2">
        <v>13</v>
      </c>
      <c r="B29" s="2" t="s">
        <v>2697</v>
      </c>
      <c r="C29" s="2" t="s">
        <v>2698</v>
      </c>
      <c r="D29" s="37" t="s">
        <v>2699</v>
      </c>
      <c r="E29" s="2">
        <v>57</v>
      </c>
      <c r="F29" s="2" t="s">
        <v>0</v>
      </c>
      <c r="G29" s="7">
        <v>1570375.73</v>
      </c>
      <c r="H29" s="2">
        <v>3</v>
      </c>
      <c r="I29" s="7">
        <f t="shared" si="0"/>
        <v>4711127.1899999995</v>
      </c>
      <c r="J29" s="7">
        <f t="shared" si="1"/>
        <v>848002.89419999986</v>
      </c>
      <c r="K29" s="7">
        <f t="shared" si="2"/>
        <v>5559130.0841999995</v>
      </c>
    </row>
    <row r="30" spans="1:11" ht="15" customHeight="1" x14ac:dyDescent="0.3">
      <c r="A30" s="2">
        <v>14</v>
      </c>
      <c r="B30" s="2" t="s">
        <v>2258</v>
      </c>
      <c r="C30" s="2" t="s">
        <v>2259</v>
      </c>
      <c r="D30" s="37" t="s">
        <v>2260</v>
      </c>
      <c r="E30" s="2">
        <v>65</v>
      </c>
      <c r="F30" s="2" t="s">
        <v>0</v>
      </c>
      <c r="G30" s="7">
        <v>1570375.73</v>
      </c>
      <c r="H30" s="2">
        <v>3</v>
      </c>
      <c r="I30" s="7">
        <f t="shared" si="0"/>
        <v>4711127.1899999995</v>
      </c>
      <c r="J30" s="7">
        <f t="shared" si="1"/>
        <v>848002.89419999986</v>
      </c>
      <c r="K30" s="7">
        <f t="shared" si="2"/>
        <v>5559130.0841999995</v>
      </c>
    </row>
    <row r="31" spans="1:11" ht="15" customHeight="1" x14ac:dyDescent="0.3">
      <c r="A31" s="2">
        <v>15</v>
      </c>
      <c r="B31" s="2" t="s">
        <v>3251</v>
      </c>
      <c r="C31" s="2" t="s">
        <v>3252</v>
      </c>
      <c r="D31" s="37" t="s">
        <v>3253</v>
      </c>
      <c r="E31" s="2">
        <v>51</v>
      </c>
      <c r="F31" s="2" t="s">
        <v>0</v>
      </c>
      <c r="G31" s="7">
        <v>1570375.73</v>
      </c>
      <c r="H31" s="2">
        <v>3</v>
      </c>
      <c r="I31" s="7">
        <f t="shared" si="0"/>
        <v>4711127.1899999995</v>
      </c>
      <c r="J31" s="7">
        <f t="shared" si="1"/>
        <v>848002.89419999986</v>
      </c>
      <c r="K31" s="7">
        <f t="shared" si="2"/>
        <v>5559130.0841999995</v>
      </c>
    </row>
    <row r="32" spans="1:11" ht="15" customHeight="1" x14ac:dyDescent="0.3">
      <c r="A32" s="2">
        <v>16</v>
      </c>
      <c r="B32" s="2" t="s">
        <v>2655</v>
      </c>
      <c r="C32" s="2" t="s">
        <v>2656</v>
      </c>
      <c r="D32" s="37" t="s">
        <v>2657</v>
      </c>
      <c r="E32" s="2">
        <v>65</v>
      </c>
      <c r="F32" s="2" t="s">
        <v>0</v>
      </c>
      <c r="G32" s="7">
        <v>1570375.73</v>
      </c>
      <c r="H32" s="2">
        <v>3</v>
      </c>
      <c r="I32" s="7">
        <f t="shared" si="0"/>
        <v>4711127.1899999995</v>
      </c>
      <c r="J32" s="7">
        <f t="shared" si="1"/>
        <v>848002.89419999986</v>
      </c>
      <c r="K32" s="7">
        <f t="shared" si="2"/>
        <v>5559130.0841999995</v>
      </c>
    </row>
    <row r="33" spans="1:11" ht="15" customHeight="1" x14ac:dyDescent="0.3">
      <c r="A33" s="2">
        <v>17</v>
      </c>
      <c r="B33" s="2" t="s">
        <v>2491</v>
      </c>
      <c r="C33" s="2" t="s">
        <v>2492</v>
      </c>
      <c r="D33" s="37" t="s">
        <v>2493</v>
      </c>
      <c r="E33" s="2">
        <v>32</v>
      </c>
      <c r="F33" s="2" t="s">
        <v>0</v>
      </c>
      <c r="G33" s="7">
        <v>1094053.24</v>
      </c>
      <c r="H33" s="2">
        <v>3</v>
      </c>
      <c r="I33" s="7">
        <f t="shared" si="0"/>
        <v>3282159.7199999997</v>
      </c>
      <c r="J33" s="7">
        <f t="shared" si="1"/>
        <v>590788.74959999998</v>
      </c>
      <c r="K33" s="7">
        <f t="shared" si="2"/>
        <v>3872948.4695999995</v>
      </c>
    </row>
    <row r="34" spans="1:11" ht="15" customHeight="1" x14ac:dyDescent="0.3">
      <c r="A34" s="2">
        <v>18</v>
      </c>
      <c r="B34" s="2" t="s">
        <v>3007</v>
      </c>
      <c r="C34" s="2" t="s">
        <v>3008</v>
      </c>
      <c r="D34" s="37" t="s">
        <v>3009</v>
      </c>
      <c r="E34" s="2">
        <v>16</v>
      </c>
      <c r="F34" s="2" t="s">
        <v>0</v>
      </c>
      <c r="G34" s="7">
        <v>805824</v>
      </c>
      <c r="H34" s="2">
        <v>3</v>
      </c>
      <c r="I34" s="7">
        <f t="shared" si="0"/>
        <v>2417472</v>
      </c>
      <c r="J34" s="7">
        <f t="shared" si="1"/>
        <v>435144.95999999996</v>
      </c>
      <c r="K34" s="7">
        <f t="shared" si="2"/>
        <v>2852616.96</v>
      </c>
    </row>
    <row r="35" spans="1:11" ht="15" customHeight="1" x14ac:dyDescent="0.3">
      <c r="A35" s="2">
        <v>19</v>
      </c>
      <c r="B35" s="2" t="s">
        <v>3329</v>
      </c>
      <c r="C35" s="2" t="s">
        <v>3330</v>
      </c>
      <c r="D35" s="37" t="s">
        <v>3331</v>
      </c>
      <c r="E35" s="2">
        <v>26</v>
      </c>
      <c r="F35" s="2" t="s">
        <v>0</v>
      </c>
      <c r="G35" s="7">
        <v>1094053.24</v>
      </c>
      <c r="H35" s="2">
        <v>3</v>
      </c>
      <c r="I35" s="7">
        <f t="shared" si="0"/>
        <v>3282159.7199999997</v>
      </c>
      <c r="J35" s="7">
        <f t="shared" si="1"/>
        <v>590788.74959999998</v>
      </c>
      <c r="K35" s="7">
        <f t="shared" si="2"/>
        <v>3872948.4695999995</v>
      </c>
    </row>
    <row r="36" spans="1:11" ht="15" customHeight="1" x14ac:dyDescent="0.3">
      <c r="A36" s="2">
        <v>20</v>
      </c>
      <c r="B36" s="2" t="s">
        <v>2608</v>
      </c>
      <c r="C36" s="2" t="s">
        <v>2609</v>
      </c>
      <c r="D36" s="37" t="s">
        <v>2610</v>
      </c>
      <c r="E36" s="2">
        <v>20</v>
      </c>
      <c r="F36" s="2" t="s">
        <v>0</v>
      </c>
      <c r="G36" s="7">
        <v>1094053.24</v>
      </c>
      <c r="H36" s="2">
        <v>3</v>
      </c>
      <c r="I36" s="7">
        <f t="shared" si="0"/>
        <v>3282159.7199999997</v>
      </c>
      <c r="J36" s="7">
        <f t="shared" si="1"/>
        <v>590788.74959999998</v>
      </c>
      <c r="K36" s="7">
        <f t="shared" si="2"/>
        <v>3872948.4695999995</v>
      </c>
    </row>
    <row r="37" spans="1:11" ht="15" customHeight="1" x14ac:dyDescent="0.3">
      <c r="A37" s="2">
        <v>21</v>
      </c>
      <c r="B37" s="2" t="s">
        <v>2223</v>
      </c>
      <c r="C37" s="2" t="s">
        <v>4517</v>
      </c>
      <c r="D37" s="37" t="s">
        <v>2224</v>
      </c>
      <c r="E37" s="2">
        <v>25</v>
      </c>
      <c r="F37" s="2" t="s">
        <v>0</v>
      </c>
      <c r="G37" s="7">
        <v>1094053.24</v>
      </c>
      <c r="H37" s="2">
        <v>3</v>
      </c>
      <c r="I37" s="7">
        <f t="shared" si="0"/>
        <v>3282159.7199999997</v>
      </c>
      <c r="J37" s="7">
        <f t="shared" si="1"/>
        <v>590788.74959999998</v>
      </c>
      <c r="K37" s="7">
        <f t="shared" si="2"/>
        <v>3872948.4695999995</v>
      </c>
    </row>
    <row r="38" spans="1:11" ht="15" customHeight="1" x14ac:dyDescent="0.3">
      <c r="A38" s="2">
        <v>22</v>
      </c>
      <c r="B38" s="2" t="s">
        <v>2290</v>
      </c>
      <c r="C38" s="2" t="s">
        <v>2291</v>
      </c>
      <c r="D38" s="37" t="s">
        <v>2292</v>
      </c>
      <c r="E38" s="2">
        <v>15</v>
      </c>
      <c r="F38" s="2" t="s">
        <v>0</v>
      </c>
      <c r="G38" s="7">
        <v>805824</v>
      </c>
      <c r="H38" s="2">
        <v>3</v>
      </c>
      <c r="I38" s="7">
        <f t="shared" si="0"/>
        <v>2417472</v>
      </c>
      <c r="J38" s="7">
        <f t="shared" si="1"/>
        <v>435144.95999999996</v>
      </c>
      <c r="K38" s="7">
        <f t="shared" si="2"/>
        <v>2852616.96</v>
      </c>
    </row>
    <row r="39" spans="1:11" ht="15" customHeight="1" x14ac:dyDescent="0.3">
      <c r="A39" s="2">
        <v>23</v>
      </c>
      <c r="B39" s="2" t="s">
        <v>2980</v>
      </c>
      <c r="C39" s="2" t="s">
        <v>2981</v>
      </c>
      <c r="D39" s="37" t="s">
        <v>2982</v>
      </c>
      <c r="E39" s="2">
        <v>21</v>
      </c>
      <c r="F39" s="2" t="s">
        <v>0</v>
      </c>
      <c r="G39" s="7">
        <v>1094053.24</v>
      </c>
      <c r="H39" s="2">
        <v>3</v>
      </c>
      <c r="I39" s="7">
        <f t="shared" si="0"/>
        <v>3282159.7199999997</v>
      </c>
      <c r="J39" s="7">
        <f t="shared" si="1"/>
        <v>590788.74959999998</v>
      </c>
      <c r="K39" s="7">
        <f t="shared" si="2"/>
        <v>3872948.4695999995</v>
      </c>
    </row>
    <row r="40" spans="1:11" ht="15" customHeight="1" x14ac:dyDescent="0.3">
      <c r="A40" s="2">
        <v>24</v>
      </c>
      <c r="B40" s="2" t="s">
        <v>2530</v>
      </c>
      <c r="C40" s="2" t="s">
        <v>2531</v>
      </c>
      <c r="D40" s="37" t="s">
        <v>2532</v>
      </c>
      <c r="E40" s="2">
        <v>30</v>
      </c>
      <c r="F40" s="2" t="s">
        <v>0</v>
      </c>
      <c r="G40" s="7">
        <v>1094053.24</v>
      </c>
      <c r="H40" s="2">
        <v>3</v>
      </c>
      <c r="I40" s="7">
        <f t="shared" si="0"/>
        <v>3282159.7199999997</v>
      </c>
      <c r="J40" s="7">
        <f t="shared" si="1"/>
        <v>590788.74959999998</v>
      </c>
      <c r="K40" s="7">
        <f t="shared" si="2"/>
        <v>3872948.4695999995</v>
      </c>
    </row>
    <row r="41" spans="1:11" ht="15" customHeight="1" x14ac:dyDescent="0.3">
      <c r="A41" s="2">
        <v>25</v>
      </c>
      <c r="B41" s="2" t="s">
        <v>3239</v>
      </c>
      <c r="C41" s="2" t="s">
        <v>3240</v>
      </c>
      <c r="D41" s="37" t="s">
        <v>3241</v>
      </c>
      <c r="E41" s="2">
        <v>48</v>
      </c>
      <c r="F41" s="2" t="s">
        <v>0</v>
      </c>
      <c r="G41" s="7">
        <v>1292295.4099999999</v>
      </c>
      <c r="H41" s="2">
        <v>3</v>
      </c>
      <c r="I41" s="7">
        <f t="shared" si="0"/>
        <v>3876886.2299999995</v>
      </c>
      <c r="J41" s="7">
        <f t="shared" si="1"/>
        <v>697839.52139999985</v>
      </c>
      <c r="K41" s="7">
        <f t="shared" si="2"/>
        <v>4574725.7513999995</v>
      </c>
    </row>
    <row r="42" spans="1:11" ht="15" customHeight="1" x14ac:dyDescent="0.3">
      <c r="A42" s="2">
        <v>26</v>
      </c>
      <c r="B42" s="2" t="s">
        <v>3335</v>
      </c>
      <c r="C42" s="2" t="s">
        <v>3336</v>
      </c>
      <c r="D42" s="37" t="s">
        <v>3337</v>
      </c>
      <c r="E42" s="2">
        <v>45</v>
      </c>
      <c r="F42" s="2" t="s">
        <v>0</v>
      </c>
      <c r="G42" s="7">
        <v>1292295.4099999999</v>
      </c>
      <c r="H42" s="2">
        <v>3</v>
      </c>
      <c r="I42" s="7">
        <f t="shared" si="0"/>
        <v>3876886.2299999995</v>
      </c>
      <c r="J42" s="7">
        <f t="shared" si="1"/>
        <v>697839.52139999985</v>
      </c>
      <c r="K42" s="7">
        <f t="shared" si="2"/>
        <v>4574725.7513999995</v>
      </c>
    </row>
    <row r="43" spans="1:11" ht="15" customHeight="1" x14ac:dyDescent="0.3">
      <c r="A43" s="2">
        <v>27</v>
      </c>
      <c r="B43" s="2" t="s">
        <v>2833</v>
      </c>
      <c r="C43" s="2" t="s">
        <v>2834</v>
      </c>
      <c r="D43" s="37" t="s">
        <v>2835</v>
      </c>
      <c r="E43" s="2">
        <v>58</v>
      </c>
      <c r="F43" s="2" t="s">
        <v>0</v>
      </c>
      <c r="G43" s="7">
        <v>1570375.73</v>
      </c>
      <c r="H43" s="2">
        <v>3</v>
      </c>
      <c r="I43" s="7">
        <f t="shared" si="0"/>
        <v>4711127.1899999995</v>
      </c>
      <c r="J43" s="7">
        <f t="shared" si="1"/>
        <v>848002.89419999986</v>
      </c>
      <c r="K43" s="7">
        <f t="shared" si="2"/>
        <v>5559130.0841999995</v>
      </c>
    </row>
    <row r="44" spans="1:11" ht="15" customHeight="1" x14ac:dyDescent="0.3">
      <c r="A44" s="2">
        <v>28</v>
      </c>
      <c r="B44" s="2" t="s">
        <v>2685</v>
      </c>
      <c r="C44" s="2" t="s">
        <v>2686</v>
      </c>
      <c r="D44" s="37" t="s">
        <v>2687</v>
      </c>
      <c r="E44" s="2">
        <v>60</v>
      </c>
      <c r="F44" s="2" t="s">
        <v>0</v>
      </c>
      <c r="G44" s="7">
        <v>1570375.73</v>
      </c>
      <c r="H44" s="2">
        <v>3</v>
      </c>
      <c r="I44" s="7">
        <f t="shared" si="0"/>
        <v>4711127.1899999995</v>
      </c>
      <c r="J44" s="7">
        <f t="shared" si="1"/>
        <v>848002.89419999986</v>
      </c>
      <c r="K44" s="7">
        <f t="shared" si="2"/>
        <v>5559130.0841999995</v>
      </c>
    </row>
    <row r="45" spans="1:11" ht="15" customHeight="1" x14ac:dyDescent="0.3">
      <c r="A45" s="2">
        <v>29</v>
      </c>
      <c r="B45" s="2" t="s">
        <v>3120</v>
      </c>
      <c r="C45" s="2" t="s">
        <v>3121</v>
      </c>
      <c r="D45" s="37" t="s">
        <v>3122</v>
      </c>
      <c r="E45" s="2">
        <v>69</v>
      </c>
      <c r="F45" s="2" t="s">
        <v>0</v>
      </c>
      <c r="G45" s="7">
        <v>1570375.73</v>
      </c>
      <c r="H45" s="2">
        <v>3</v>
      </c>
      <c r="I45" s="7">
        <f t="shared" si="0"/>
        <v>4711127.1899999995</v>
      </c>
      <c r="J45" s="7">
        <f t="shared" si="1"/>
        <v>848002.89419999986</v>
      </c>
      <c r="K45" s="7">
        <f t="shared" si="2"/>
        <v>5559130.0841999995</v>
      </c>
    </row>
    <row r="46" spans="1:11" ht="15" customHeight="1" x14ac:dyDescent="0.3">
      <c r="A46" s="2">
        <v>30</v>
      </c>
      <c r="B46" s="2" t="s">
        <v>2231</v>
      </c>
      <c r="C46" s="2" t="s">
        <v>2232</v>
      </c>
      <c r="D46" s="37" t="s">
        <v>2233</v>
      </c>
      <c r="E46" s="2">
        <v>63</v>
      </c>
      <c r="F46" s="2" t="s">
        <v>0</v>
      </c>
      <c r="G46" s="7">
        <v>1570375.73</v>
      </c>
      <c r="H46" s="2">
        <v>3</v>
      </c>
      <c r="I46" s="7">
        <f t="shared" si="0"/>
        <v>4711127.1899999995</v>
      </c>
      <c r="J46" s="7">
        <f t="shared" si="1"/>
        <v>848002.89419999986</v>
      </c>
      <c r="K46" s="7">
        <f t="shared" si="2"/>
        <v>5559130.0841999995</v>
      </c>
    </row>
    <row r="47" spans="1:11" ht="15" customHeight="1" x14ac:dyDescent="0.3">
      <c r="A47" s="2">
        <v>31</v>
      </c>
      <c r="B47" s="2" t="s">
        <v>2261</v>
      </c>
      <c r="C47" s="2" t="s">
        <v>2262</v>
      </c>
      <c r="D47" s="37" t="s">
        <v>2263</v>
      </c>
      <c r="E47" s="2">
        <v>62</v>
      </c>
      <c r="F47" s="2" t="s">
        <v>0</v>
      </c>
      <c r="G47" s="7">
        <v>1570375.73</v>
      </c>
      <c r="H47" s="2">
        <v>3</v>
      </c>
      <c r="I47" s="7">
        <f t="shared" si="0"/>
        <v>4711127.1899999995</v>
      </c>
      <c r="J47" s="7">
        <f t="shared" si="1"/>
        <v>848002.89419999986</v>
      </c>
      <c r="K47" s="7">
        <f t="shared" si="2"/>
        <v>5559130.0841999995</v>
      </c>
    </row>
    <row r="48" spans="1:11" ht="15" customHeight="1" x14ac:dyDescent="0.3">
      <c r="A48" s="2">
        <v>32</v>
      </c>
      <c r="B48" s="2" t="s">
        <v>2527</v>
      </c>
      <c r="C48" s="2" t="s">
        <v>2528</v>
      </c>
      <c r="D48" s="37" t="s">
        <v>2529</v>
      </c>
      <c r="E48" s="2">
        <v>33</v>
      </c>
      <c r="F48" s="2" t="s">
        <v>0</v>
      </c>
      <c r="G48" s="7">
        <v>1292295.4099999999</v>
      </c>
      <c r="H48" s="2">
        <v>3</v>
      </c>
      <c r="I48" s="7">
        <f t="shared" si="0"/>
        <v>3876886.2299999995</v>
      </c>
      <c r="J48" s="7">
        <f t="shared" si="1"/>
        <v>697839.52139999985</v>
      </c>
      <c r="K48" s="7">
        <f t="shared" si="2"/>
        <v>4574725.7513999995</v>
      </c>
    </row>
    <row r="49" spans="1:11" ht="15" customHeight="1" x14ac:dyDescent="0.3">
      <c r="A49" s="2">
        <v>33</v>
      </c>
      <c r="B49" s="2" t="s">
        <v>515</v>
      </c>
      <c r="C49" s="2" t="s">
        <v>516</v>
      </c>
      <c r="D49" s="37" t="s">
        <v>516</v>
      </c>
      <c r="E49" s="2">
        <v>6</v>
      </c>
      <c r="F49" s="2" t="s">
        <v>0</v>
      </c>
      <c r="G49" s="7">
        <v>805824</v>
      </c>
      <c r="H49" s="2">
        <v>3</v>
      </c>
      <c r="I49" s="7">
        <f t="shared" si="0"/>
        <v>2417472</v>
      </c>
      <c r="J49" s="7">
        <f t="shared" si="1"/>
        <v>435144.95999999996</v>
      </c>
      <c r="K49" s="7">
        <f t="shared" si="2"/>
        <v>2852616.96</v>
      </c>
    </row>
    <row r="50" spans="1:11" ht="15" customHeight="1" x14ac:dyDescent="0.3">
      <c r="A50" s="2">
        <v>34</v>
      </c>
      <c r="B50" s="2" t="s">
        <v>2712</v>
      </c>
      <c r="C50" s="2" t="s">
        <v>2713</v>
      </c>
      <c r="D50" s="37" t="s">
        <v>2714</v>
      </c>
      <c r="E50" s="2">
        <v>55</v>
      </c>
      <c r="F50" s="2" t="s">
        <v>0</v>
      </c>
      <c r="G50" s="7">
        <v>1570375.73</v>
      </c>
      <c r="H50" s="2">
        <v>3</v>
      </c>
      <c r="I50" s="7">
        <f t="shared" si="0"/>
        <v>4711127.1899999995</v>
      </c>
      <c r="J50" s="7">
        <f t="shared" si="1"/>
        <v>848002.89419999986</v>
      </c>
      <c r="K50" s="7">
        <f t="shared" si="2"/>
        <v>5559130.0841999995</v>
      </c>
    </row>
    <row r="51" spans="1:11" ht="15" customHeight="1" x14ac:dyDescent="0.3">
      <c r="A51" s="2">
        <v>35</v>
      </c>
      <c r="B51" s="2" t="s">
        <v>2754</v>
      </c>
      <c r="C51" s="2" t="s">
        <v>2755</v>
      </c>
      <c r="D51" s="37" t="s">
        <v>2756</v>
      </c>
      <c r="E51" s="2">
        <v>56</v>
      </c>
      <c r="F51" s="2" t="s">
        <v>0</v>
      </c>
      <c r="G51" s="7">
        <v>1570375.73</v>
      </c>
      <c r="H51" s="2">
        <v>3</v>
      </c>
      <c r="I51" s="7">
        <f t="shared" si="0"/>
        <v>4711127.1899999995</v>
      </c>
      <c r="J51" s="7">
        <f t="shared" si="1"/>
        <v>848002.89419999986</v>
      </c>
      <c r="K51" s="7">
        <f t="shared" si="2"/>
        <v>5559130.0841999995</v>
      </c>
    </row>
    <row r="52" spans="1:11" ht="15" customHeight="1" x14ac:dyDescent="0.3">
      <c r="A52" s="2">
        <v>36</v>
      </c>
      <c r="B52" s="2" t="s">
        <v>2815</v>
      </c>
      <c r="C52" s="2" t="s">
        <v>2816</v>
      </c>
      <c r="D52" s="37" t="s">
        <v>2817</v>
      </c>
      <c r="E52" s="2">
        <v>60</v>
      </c>
      <c r="F52" s="2" t="s">
        <v>0</v>
      </c>
      <c r="G52" s="7">
        <v>1570375.73</v>
      </c>
      <c r="H52" s="2">
        <v>3</v>
      </c>
      <c r="I52" s="7">
        <f t="shared" si="0"/>
        <v>4711127.1899999995</v>
      </c>
      <c r="J52" s="7">
        <f t="shared" si="1"/>
        <v>848002.89419999986</v>
      </c>
      <c r="K52" s="7">
        <f t="shared" si="2"/>
        <v>5559130.0841999995</v>
      </c>
    </row>
    <row r="53" spans="1:11" ht="15" customHeight="1" x14ac:dyDescent="0.3">
      <c r="A53" s="2">
        <v>37</v>
      </c>
      <c r="B53" s="2" t="s">
        <v>2821</v>
      </c>
      <c r="C53" s="2" t="s">
        <v>2822</v>
      </c>
      <c r="D53" s="37" t="s">
        <v>2823</v>
      </c>
      <c r="E53" s="2">
        <v>57</v>
      </c>
      <c r="F53" s="2" t="s">
        <v>0</v>
      </c>
      <c r="G53" s="7">
        <v>1570375.73</v>
      </c>
      <c r="H53" s="2">
        <v>3</v>
      </c>
      <c r="I53" s="7">
        <f t="shared" si="0"/>
        <v>4711127.1899999995</v>
      </c>
      <c r="J53" s="7">
        <f t="shared" si="1"/>
        <v>848002.89419999986</v>
      </c>
      <c r="K53" s="7">
        <f t="shared" si="2"/>
        <v>5559130.0841999995</v>
      </c>
    </row>
    <row r="54" spans="1:11" ht="15" customHeight="1" x14ac:dyDescent="0.3">
      <c r="A54" s="2">
        <v>38</v>
      </c>
      <c r="B54" s="2" t="s">
        <v>3194</v>
      </c>
      <c r="C54" s="2" t="s">
        <v>3195</v>
      </c>
      <c r="D54" s="37" t="s">
        <v>3196</v>
      </c>
      <c r="E54" s="2">
        <v>56</v>
      </c>
      <c r="F54" s="2" t="s">
        <v>0</v>
      </c>
      <c r="G54" s="7">
        <v>1570375.73</v>
      </c>
      <c r="H54" s="2">
        <v>3</v>
      </c>
      <c r="I54" s="7">
        <f t="shared" si="0"/>
        <v>4711127.1899999995</v>
      </c>
      <c r="J54" s="7">
        <f t="shared" si="1"/>
        <v>848002.89419999986</v>
      </c>
      <c r="K54" s="7">
        <f t="shared" si="2"/>
        <v>5559130.0841999995</v>
      </c>
    </row>
    <row r="55" spans="1:11" ht="15" customHeight="1" x14ac:dyDescent="0.3">
      <c r="A55" s="2">
        <v>39</v>
      </c>
      <c r="B55" s="2" t="s">
        <v>2638</v>
      </c>
      <c r="C55" s="2" t="s">
        <v>2639</v>
      </c>
      <c r="D55" s="37" t="s">
        <v>2640</v>
      </c>
      <c r="E55" s="2">
        <v>60</v>
      </c>
      <c r="F55" s="2" t="s">
        <v>0</v>
      </c>
      <c r="G55" s="7">
        <v>1570375.73</v>
      </c>
      <c r="H55" s="2">
        <v>3</v>
      </c>
      <c r="I55" s="7">
        <f t="shared" si="0"/>
        <v>4711127.1899999995</v>
      </c>
      <c r="J55" s="7">
        <f t="shared" si="1"/>
        <v>848002.89419999986</v>
      </c>
      <c r="K55" s="7">
        <f t="shared" si="2"/>
        <v>5559130.0841999995</v>
      </c>
    </row>
    <row r="56" spans="1:11" ht="15" customHeight="1" x14ac:dyDescent="0.3">
      <c r="A56" s="2">
        <v>40</v>
      </c>
      <c r="B56" s="2" t="s">
        <v>3269</v>
      </c>
      <c r="C56" s="2" t="s">
        <v>3270</v>
      </c>
      <c r="D56" s="37" t="s">
        <v>3271</v>
      </c>
      <c r="E56" s="2">
        <v>45</v>
      </c>
      <c r="F56" s="2" t="s">
        <v>0</v>
      </c>
      <c r="G56" s="7">
        <v>1292295.4099999999</v>
      </c>
      <c r="H56" s="2">
        <v>3</v>
      </c>
      <c r="I56" s="7">
        <f t="shared" si="0"/>
        <v>3876886.2299999995</v>
      </c>
      <c r="J56" s="7">
        <f t="shared" si="1"/>
        <v>697839.52139999985</v>
      </c>
      <c r="K56" s="7">
        <f t="shared" si="2"/>
        <v>4574725.7513999995</v>
      </c>
    </row>
    <row r="57" spans="1:11" ht="15" customHeight="1" x14ac:dyDescent="0.3">
      <c r="A57" s="2">
        <v>41</v>
      </c>
      <c r="B57" s="2" t="s">
        <v>2736</v>
      </c>
      <c r="C57" s="2" t="s">
        <v>2737</v>
      </c>
      <c r="D57" s="37" t="s">
        <v>2738</v>
      </c>
      <c r="E57" s="2">
        <v>60</v>
      </c>
      <c r="F57" s="2" t="s">
        <v>0</v>
      </c>
      <c r="G57" s="7">
        <v>1570375.73</v>
      </c>
      <c r="H57" s="2">
        <v>3</v>
      </c>
      <c r="I57" s="7">
        <f t="shared" si="0"/>
        <v>4711127.1899999995</v>
      </c>
      <c r="J57" s="7">
        <f t="shared" si="1"/>
        <v>848002.89419999986</v>
      </c>
      <c r="K57" s="7">
        <f t="shared" si="2"/>
        <v>5559130.0841999995</v>
      </c>
    </row>
    <row r="58" spans="1:11" ht="15" customHeight="1" x14ac:dyDescent="0.3">
      <c r="A58" s="2">
        <v>42</v>
      </c>
      <c r="B58" s="2" t="s">
        <v>2225</v>
      </c>
      <c r="C58" s="2" t="s">
        <v>2226</v>
      </c>
      <c r="D58" s="37" t="s">
        <v>2227</v>
      </c>
      <c r="E58" s="2">
        <v>48</v>
      </c>
      <c r="F58" s="2" t="s">
        <v>0</v>
      </c>
      <c r="G58" s="7">
        <v>1292295.4099999999</v>
      </c>
      <c r="H58" s="2">
        <v>3</v>
      </c>
      <c r="I58" s="7">
        <f t="shared" si="0"/>
        <v>3876886.2299999995</v>
      </c>
      <c r="J58" s="7">
        <f t="shared" si="1"/>
        <v>697839.52139999985</v>
      </c>
      <c r="K58" s="7">
        <f t="shared" si="2"/>
        <v>4574725.7513999995</v>
      </c>
    </row>
    <row r="59" spans="1:11" ht="15" customHeight="1" x14ac:dyDescent="0.3">
      <c r="A59" s="2">
        <v>43</v>
      </c>
      <c r="B59" s="2" t="s">
        <v>2249</v>
      </c>
      <c r="C59" s="2" t="s">
        <v>2250</v>
      </c>
      <c r="D59" s="37" t="s">
        <v>2251</v>
      </c>
      <c r="E59" s="2">
        <v>57</v>
      </c>
      <c r="F59" s="2" t="s">
        <v>0</v>
      </c>
      <c r="G59" s="7">
        <v>1570375.73</v>
      </c>
      <c r="H59" s="2">
        <v>3</v>
      </c>
      <c r="I59" s="7">
        <f t="shared" si="0"/>
        <v>4711127.1899999995</v>
      </c>
      <c r="J59" s="7">
        <f t="shared" si="1"/>
        <v>848002.89419999986</v>
      </c>
      <c r="K59" s="7">
        <f t="shared" si="2"/>
        <v>5559130.0841999995</v>
      </c>
    </row>
    <row r="60" spans="1:11" ht="15" customHeight="1" x14ac:dyDescent="0.3">
      <c r="A60" s="2">
        <v>44</v>
      </c>
      <c r="B60" s="2" t="s">
        <v>3209</v>
      </c>
      <c r="C60" s="2" t="s">
        <v>3210</v>
      </c>
      <c r="D60" s="37" t="s">
        <v>3211</v>
      </c>
      <c r="E60" s="2">
        <v>54</v>
      </c>
      <c r="F60" s="2" t="s">
        <v>0</v>
      </c>
      <c r="G60" s="7">
        <v>1570375.73</v>
      </c>
      <c r="H60" s="2">
        <v>3</v>
      </c>
      <c r="I60" s="7">
        <f t="shared" si="0"/>
        <v>4711127.1899999995</v>
      </c>
      <c r="J60" s="7">
        <f t="shared" si="1"/>
        <v>848002.89419999986</v>
      </c>
      <c r="K60" s="7">
        <f t="shared" si="2"/>
        <v>5559130.0841999995</v>
      </c>
    </row>
    <row r="61" spans="1:11" ht="15" customHeight="1" x14ac:dyDescent="0.3">
      <c r="A61" s="2">
        <v>45</v>
      </c>
      <c r="B61" s="2" t="s">
        <v>3144</v>
      </c>
      <c r="C61" s="2" t="s">
        <v>3145</v>
      </c>
      <c r="D61" s="37" t="s">
        <v>3146</v>
      </c>
      <c r="E61" s="2">
        <v>45</v>
      </c>
      <c r="F61" s="2" t="s">
        <v>0</v>
      </c>
      <c r="G61" s="7">
        <v>1292295.4099999999</v>
      </c>
      <c r="H61" s="2">
        <v>3</v>
      </c>
      <c r="I61" s="7">
        <f t="shared" si="0"/>
        <v>3876886.2299999995</v>
      </c>
      <c r="J61" s="7">
        <f t="shared" si="1"/>
        <v>697839.52139999985</v>
      </c>
      <c r="K61" s="7">
        <f t="shared" si="2"/>
        <v>4574725.7513999995</v>
      </c>
    </row>
    <row r="62" spans="1:11" ht="15" customHeight="1" x14ac:dyDescent="0.3">
      <c r="A62" s="2">
        <v>46</v>
      </c>
      <c r="B62" s="2" t="s">
        <v>3215</v>
      </c>
      <c r="C62" s="2" t="s">
        <v>3216</v>
      </c>
      <c r="D62" s="37" t="s">
        <v>3217</v>
      </c>
      <c r="E62" s="2">
        <v>60</v>
      </c>
      <c r="F62" s="2" t="s">
        <v>0</v>
      </c>
      <c r="G62" s="7">
        <v>1570375.73</v>
      </c>
      <c r="H62" s="2">
        <v>3</v>
      </c>
      <c r="I62" s="7">
        <f t="shared" si="0"/>
        <v>4711127.1899999995</v>
      </c>
      <c r="J62" s="7">
        <f t="shared" si="1"/>
        <v>848002.89419999986</v>
      </c>
      <c r="K62" s="7">
        <f t="shared" si="2"/>
        <v>5559130.0841999995</v>
      </c>
    </row>
    <row r="63" spans="1:11" ht="15" customHeight="1" x14ac:dyDescent="0.3">
      <c r="A63" s="2">
        <v>47</v>
      </c>
      <c r="B63" s="2" t="s">
        <v>3188</v>
      </c>
      <c r="C63" s="2" t="s">
        <v>3189</v>
      </c>
      <c r="D63" s="37" t="s">
        <v>3190</v>
      </c>
      <c r="E63" s="2">
        <v>60</v>
      </c>
      <c r="F63" s="2" t="s">
        <v>0</v>
      </c>
      <c r="G63" s="7">
        <v>1570375.73</v>
      </c>
      <c r="H63" s="2">
        <v>3</v>
      </c>
      <c r="I63" s="7">
        <f t="shared" si="0"/>
        <v>4711127.1899999995</v>
      </c>
      <c r="J63" s="7">
        <f t="shared" si="1"/>
        <v>848002.89419999986</v>
      </c>
      <c r="K63" s="7">
        <f t="shared" si="2"/>
        <v>5559130.0841999995</v>
      </c>
    </row>
    <row r="64" spans="1:11" ht="15" customHeight="1" x14ac:dyDescent="0.3">
      <c r="A64" s="2">
        <v>48</v>
      </c>
      <c r="B64" s="2" t="s">
        <v>2857</v>
      </c>
      <c r="C64" s="2" t="s">
        <v>2858</v>
      </c>
      <c r="D64" s="37" t="s">
        <v>2859</v>
      </c>
      <c r="E64" s="2">
        <v>57</v>
      </c>
      <c r="F64" s="2" t="s">
        <v>0</v>
      </c>
      <c r="G64" s="7">
        <v>1570375.73</v>
      </c>
      <c r="H64" s="2">
        <v>3</v>
      </c>
      <c r="I64" s="7">
        <f t="shared" si="0"/>
        <v>4711127.1899999995</v>
      </c>
      <c r="J64" s="7">
        <f t="shared" si="1"/>
        <v>848002.89419999986</v>
      </c>
      <c r="K64" s="7">
        <f t="shared" si="2"/>
        <v>5559130.0841999995</v>
      </c>
    </row>
    <row r="65" spans="1:11" ht="15" customHeight="1" x14ac:dyDescent="0.3">
      <c r="A65" s="2">
        <v>49</v>
      </c>
      <c r="B65" s="2" t="s">
        <v>2264</v>
      </c>
      <c r="C65" s="2" t="s">
        <v>2265</v>
      </c>
      <c r="D65" s="37" t="s">
        <v>2266</v>
      </c>
      <c r="E65" s="2">
        <v>32</v>
      </c>
      <c r="F65" s="2" t="s">
        <v>0</v>
      </c>
      <c r="G65" s="7">
        <v>1094053.24</v>
      </c>
      <c r="H65" s="2">
        <v>3</v>
      </c>
      <c r="I65" s="7">
        <f t="shared" si="0"/>
        <v>3282159.7199999997</v>
      </c>
      <c r="J65" s="7">
        <f t="shared" si="1"/>
        <v>590788.74959999998</v>
      </c>
      <c r="K65" s="7">
        <f t="shared" si="2"/>
        <v>3872948.4695999995</v>
      </c>
    </row>
    <row r="66" spans="1:11" ht="15" customHeight="1" x14ac:dyDescent="0.3">
      <c r="A66" s="2">
        <v>50</v>
      </c>
      <c r="B66" s="2" t="s">
        <v>2875</v>
      </c>
      <c r="C66" s="2" t="s">
        <v>2876</v>
      </c>
      <c r="D66" s="37" t="s">
        <v>2877</v>
      </c>
      <c r="E66" s="2">
        <v>60</v>
      </c>
      <c r="F66" s="2" t="s">
        <v>0</v>
      </c>
      <c r="G66" s="7">
        <v>1570375.73</v>
      </c>
      <c r="H66" s="2">
        <v>3</v>
      </c>
      <c r="I66" s="7">
        <f t="shared" si="0"/>
        <v>4711127.1899999995</v>
      </c>
      <c r="J66" s="7">
        <f t="shared" si="1"/>
        <v>848002.89419999986</v>
      </c>
      <c r="K66" s="7">
        <f t="shared" si="2"/>
        <v>5559130.0841999995</v>
      </c>
    </row>
    <row r="67" spans="1:11" ht="15" customHeight="1" x14ac:dyDescent="0.3">
      <c r="A67" s="2">
        <v>51</v>
      </c>
      <c r="B67" s="2" t="s">
        <v>2766</v>
      </c>
      <c r="C67" s="2" t="s">
        <v>2767</v>
      </c>
      <c r="D67" s="37" t="s">
        <v>2768</v>
      </c>
      <c r="E67" s="2">
        <v>57</v>
      </c>
      <c r="F67" s="2" t="s">
        <v>0</v>
      </c>
      <c r="G67" s="7">
        <v>1570375.73</v>
      </c>
      <c r="H67" s="2">
        <v>3</v>
      </c>
      <c r="I67" s="7">
        <f t="shared" si="0"/>
        <v>4711127.1899999995</v>
      </c>
      <c r="J67" s="7">
        <f t="shared" si="1"/>
        <v>848002.89419999986</v>
      </c>
      <c r="K67" s="7">
        <f t="shared" si="2"/>
        <v>5559130.0841999995</v>
      </c>
    </row>
    <row r="68" spans="1:11" ht="15" customHeight="1" x14ac:dyDescent="0.3">
      <c r="A68" s="2">
        <v>52</v>
      </c>
      <c r="B68" s="2" t="s">
        <v>2772</v>
      </c>
      <c r="C68" s="2" t="s">
        <v>2773</v>
      </c>
      <c r="D68" s="37" t="s">
        <v>2774</v>
      </c>
      <c r="E68" s="2">
        <v>58</v>
      </c>
      <c r="F68" s="2" t="s">
        <v>0</v>
      </c>
      <c r="G68" s="7">
        <v>1570375.73</v>
      </c>
      <c r="H68" s="2">
        <v>3</v>
      </c>
      <c r="I68" s="7">
        <f t="shared" si="0"/>
        <v>4711127.1899999995</v>
      </c>
      <c r="J68" s="7">
        <f t="shared" si="1"/>
        <v>848002.89419999986</v>
      </c>
      <c r="K68" s="7">
        <f t="shared" si="2"/>
        <v>5559130.0841999995</v>
      </c>
    </row>
    <row r="69" spans="1:11" ht="15" customHeight="1" x14ac:dyDescent="0.3">
      <c r="A69" s="2">
        <v>53</v>
      </c>
      <c r="B69" s="2" t="s">
        <v>2775</v>
      </c>
      <c r="C69" s="2" t="s">
        <v>2776</v>
      </c>
      <c r="D69" s="37" t="s">
        <v>2777</v>
      </c>
      <c r="E69" s="2">
        <v>61</v>
      </c>
      <c r="F69" s="2" t="s">
        <v>0</v>
      </c>
      <c r="G69" s="7">
        <v>1570375.73</v>
      </c>
      <c r="H69" s="2">
        <v>3</v>
      </c>
      <c r="I69" s="7">
        <f t="shared" si="0"/>
        <v>4711127.1899999995</v>
      </c>
      <c r="J69" s="7">
        <f t="shared" si="1"/>
        <v>848002.89419999986</v>
      </c>
      <c r="K69" s="7">
        <f t="shared" si="2"/>
        <v>5559130.0841999995</v>
      </c>
    </row>
    <row r="70" spans="1:11" ht="15" customHeight="1" x14ac:dyDescent="0.3">
      <c r="A70" s="2">
        <v>54</v>
      </c>
      <c r="B70" s="2" t="s">
        <v>3150</v>
      </c>
      <c r="C70" s="2" t="s">
        <v>3151</v>
      </c>
      <c r="D70" s="37" t="s">
        <v>3152</v>
      </c>
      <c r="E70" s="2">
        <v>45</v>
      </c>
      <c r="F70" s="2" t="s">
        <v>0</v>
      </c>
      <c r="G70" s="7">
        <v>1292295.4099999999</v>
      </c>
      <c r="H70" s="2">
        <v>3</v>
      </c>
      <c r="I70" s="7">
        <f t="shared" si="0"/>
        <v>3876886.2299999995</v>
      </c>
      <c r="J70" s="7">
        <f t="shared" si="1"/>
        <v>697839.52139999985</v>
      </c>
      <c r="K70" s="7">
        <f t="shared" si="2"/>
        <v>4574725.7513999995</v>
      </c>
    </row>
    <row r="71" spans="1:11" ht="15" customHeight="1" x14ac:dyDescent="0.3">
      <c r="A71" s="2">
        <v>55</v>
      </c>
      <c r="B71" s="2" t="s">
        <v>2246</v>
      </c>
      <c r="C71" s="2" t="s">
        <v>2247</v>
      </c>
      <c r="D71" s="37" t="s">
        <v>2248</v>
      </c>
      <c r="E71" s="2">
        <v>55</v>
      </c>
      <c r="F71" s="2" t="s">
        <v>0</v>
      </c>
      <c r="G71" s="7">
        <v>1570375.73</v>
      </c>
      <c r="H71" s="2">
        <v>3</v>
      </c>
      <c r="I71" s="7">
        <f t="shared" si="0"/>
        <v>4711127.1899999995</v>
      </c>
      <c r="J71" s="7">
        <f t="shared" si="1"/>
        <v>848002.89419999986</v>
      </c>
      <c r="K71" s="7">
        <f t="shared" si="2"/>
        <v>5559130.0841999995</v>
      </c>
    </row>
    <row r="72" spans="1:11" ht="15" customHeight="1" x14ac:dyDescent="0.3">
      <c r="A72" s="2">
        <v>56</v>
      </c>
      <c r="B72" s="2" t="s">
        <v>3173</v>
      </c>
      <c r="C72" s="2" t="s">
        <v>3174</v>
      </c>
      <c r="D72" s="37" t="s">
        <v>3175</v>
      </c>
      <c r="E72" s="2">
        <v>57</v>
      </c>
      <c r="F72" s="2" t="s">
        <v>0</v>
      </c>
      <c r="G72" s="7">
        <v>1570375.73</v>
      </c>
      <c r="H72" s="2">
        <v>3</v>
      </c>
      <c r="I72" s="7">
        <f t="shared" si="0"/>
        <v>4711127.1899999995</v>
      </c>
      <c r="J72" s="7">
        <f t="shared" si="1"/>
        <v>848002.89419999986</v>
      </c>
      <c r="K72" s="7">
        <f t="shared" si="2"/>
        <v>5559130.0841999995</v>
      </c>
    </row>
    <row r="73" spans="1:11" ht="15" customHeight="1" x14ac:dyDescent="0.3">
      <c r="A73" s="2">
        <v>57</v>
      </c>
      <c r="B73" s="2" t="s">
        <v>3182</v>
      </c>
      <c r="C73" s="2" t="s">
        <v>3183</v>
      </c>
      <c r="D73" s="37" t="s">
        <v>3184</v>
      </c>
      <c r="E73" s="2">
        <v>40</v>
      </c>
      <c r="F73" s="2" t="s">
        <v>0</v>
      </c>
      <c r="G73" s="7">
        <v>1292295.4099999999</v>
      </c>
      <c r="H73" s="2">
        <v>3</v>
      </c>
      <c r="I73" s="7">
        <f t="shared" si="0"/>
        <v>3876886.2299999995</v>
      </c>
      <c r="J73" s="7">
        <f t="shared" si="1"/>
        <v>697839.52139999985</v>
      </c>
      <c r="K73" s="7">
        <f t="shared" si="2"/>
        <v>4574725.7513999995</v>
      </c>
    </row>
    <row r="74" spans="1:11" ht="15" customHeight="1" x14ac:dyDescent="0.3">
      <c r="A74" s="2">
        <v>58</v>
      </c>
      <c r="B74" s="2" t="s">
        <v>3242</v>
      </c>
      <c r="C74" s="2" t="s">
        <v>3243</v>
      </c>
      <c r="D74" s="37" t="s">
        <v>3244</v>
      </c>
      <c r="E74" s="2">
        <v>55</v>
      </c>
      <c r="F74" s="2" t="s">
        <v>0</v>
      </c>
      <c r="G74" s="7">
        <v>1570375.73</v>
      </c>
      <c r="H74" s="2">
        <v>3</v>
      </c>
      <c r="I74" s="7">
        <f t="shared" si="0"/>
        <v>4711127.1899999995</v>
      </c>
      <c r="J74" s="7">
        <f t="shared" si="1"/>
        <v>848002.89419999986</v>
      </c>
      <c r="K74" s="7">
        <f t="shared" si="2"/>
        <v>5559130.0841999995</v>
      </c>
    </row>
    <row r="75" spans="1:11" ht="15" customHeight="1" x14ac:dyDescent="0.3">
      <c r="A75" s="2">
        <v>59</v>
      </c>
      <c r="B75" s="2" t="s">
        <v>3156</v>
      </c>
      <c r="C75" s="2" t="s">
        <v>3157</v>
      </c>
      <c r="D75" s="37" t="s">
        <v>3158</v>
      </c>
      <c r="E75" s="2">
        <v>60</v>
      </c>
      <c r="F75" s="2" t="s">
        <v>0</v>
      </c>
      <c r="G75" s="7">
        <v>1570375.73</v>
      </c>
      <c r="H75" s="2">
        <v>3</v>
      </c>
      <c r="I75" s="7">
        <f t="shared" si="0"/>
        <v>4711127.1899999995</v>
      </c>
      <c r="J75" s="7">
        <f t="shared" si="1"/>
        <v>848002.89419999986</v>
      </c>
      <c r="K75" s="7">
        <f t="shared" si="2"/>
        <v>5559130.0841999995</v>
      </c>
    </row>
    <row r="76" spans="1:11" ht="15" customHeight="1" x14ac:dyDescent="0.3">
      <c r="A76" s="2">
        <v>60</v>
      </c>
      <c r="B76" s="2" t="s">
        <v>2395</v>
      </c>
      <c r="C76" s="2" t="s">
        <v>2396</v>
      </c>
      <c r="D76" s="37" t="s">
        <v>2397</v>
      </c>
      <c r="E76" s="2">
        <v>33</v>
      </c>
      <c r="F76" s="2" t="s">
        <v>0</v>
      </c>
      <c r="G76" s="7">
        <v>1292295.4099999999</v>
      </c>
      <c r="H76" s="2">
        <v>3</v>
      </c>
      <c r="I76" s="7">
        <f t="shared" si="0"/>
        <v>3876886.2299999995</v>
      </c>
      <c r="J76" s="7">
        <f t="shared" si="1"/>
        <v>697839.52139999985</v>
      </c>
      <c r="K76" s="7">
        <f t="shared" si="2"/>
        <v>4574725.7513999995</v>
      </c>
    </row>
    <row r="77" spans="1:11" ht="15" customHeight="1" x14ac:dyDescent="0.3">
      <c r="A77" s="2">
        <v>61</v>
      </c>
      <c r="B77" s="2" t="s">
        <v>2827</v>
      </c>
      <c r="C77" s="2" t="s">
        <v>2828</v>
      </c>
      <c r="D77" s="37" t="s">
        <v>2829</v>
      </c>
      <c r="E77" s="2">
        <v>57</v>
      </c>
      <c r="F77" s="2" t="s">
        <v>0</v>
      </c>
      <c r="G77" s="7">
        <v>1570375.73</v>
      </c>
      <c r="H77" s="2">
        <v>3</v>
      </c>
      <c r="I77" s="7">
        <f t="shared" si="0"/>
        <v>4711127.1899999995</v>
      </c>
      <c r="J77" s="7">
        <f t="shared" si="1"/>
        <v>848002.89419999986</v>
      </c>
      <c r="K77" s="7">
        <f t="shared" si="2"/>
        <v>5559130.0841999995</v>
      </c>
    </row>
    <row r="78" spans="1:11" ht="15" customHeight="1" x14ac:dyDescent="0.3">
      <c r="A78" s="2">
        <v>62</v>
      </c>
      <c r="B78" s="2" t="s">
        <v>3111</v>
      </c>
      <c r="C78" s="2" t="s">
        <v>3112</v>
      </c>
      <c r="D78" s="37" t="s">
        <v>3113</v>
      </c>
      <c r="E78" s="2">
        <v>46</v>
      </c>
      <c r="F78" s="2" t="s">
        <v>0</v>
      </c>
      <c r="G78" s="7">
        <v>1292295.4099999999</v>
      </c>
      <c r="H78" s="2">
        <v>3</v>
      </c>
      <c r="I78" s="7">
        <f t="shared" si="0"/>
        <v>3876886.2299999995</v>
      </c>
      <c r="J78" s="7">
        <f t="shared" si="1"/>
        <v>697839.52139999985</v>
      </c>
      <c r="K78" s="7">
        <f t="shared" si="2"/>
        <v>4574725.7513999995</v>
      </c>
    </row>
    <row r="79" spans="1:11" ht="15" customHeight="1" x14ac:dyDescent="0.3">
      <c r="A79" s="2">
        <v>63</v>
      </c>
      <c r="B79" s="2" t="s">
        <v>3224</v>
      </c>
      <c r="C79" s="2" t="s">
        <v>3225</v>
      </c>
      <c r="D79" s="37" t="s">
        <v>3226</v>
      </c>
      <c r="E79" s="2">
        <v>54</v>
      </c>
      <c r="F79" s="2" t="s">
        <v>0</v>
      </c>
      <c r="G79" s="7">
        <v>1570375.73</v>
      </c>
      <c r="H79" s="2">
        <v>3</v>
      </c>
      <c r="I79" s="7">
        <f t="shared" si="0"/>
        <v>4711127.1899999995</v>
      </c>
      <c r="J79" s="7">
        <f t="shared" si="1"/>
        <v>848002.89419999986</v>
      </c>
      <c r="K79" s="7">
        <f t="shared" si="2"/>
        <v>5559130.0841999995</v>
      </c>
    </row>
    <row r="80" spans="1:11" ht="15" customHeight="1" x14ac:dyDescent="0.3">
      <c r="A80" s="2">
        <v>64</v>
      </c>
      <c r="B80" s="2" t="s">
        <v>3233</v>
      </c>
      <c r="C80" s="2" t="s">
        <v>3234</v>
      </c>
      <c r="D80" s="37" t="s">
        <v>3235</v>
      </c>
      <c r="E80" s="2">
        <v>57</v>
      </c>
      <c r="F80" s="2" t="s">
        <v>0</v>
      </c>
      <c r="G80" s="7">
        <v>1570375.73</v>
      </c>
      <c r="H80" s="2">
        <v>3</v>
      </c>
      <c r="I80" s="7">
        <f t="shared" si="0"/>
        <v>4711127.1899999995</v>
      </c>
      <c r="J80" s="7">
        <f t="shared" si="1"/>
        <v>848002.89419999986</v>
      </c>
      <c r="K80" s="7">
        <f t="shared" si="2"/>
        <v>5559130.0841999995</v>
      </c>
    </row>
    <row r="81" spans="1:11" ht="15" customHeight="1" x14ac:dyDescent="0.3">
      <c r="A81" s="2">
        <v>65</v>
      </c>
      <c r="B81" s="2" t="s">
        <v>3141</v>
      </c>
      <c r="C81" s="2" t="s">
        <v>3142</v>
      </c>
      <c r="D81" s="37" t="s">
        <v>3143</v>
      </c>
      <c r="E81" s="2">
        <v>44</v>
      </c>
      <c r="F81" s="2" t="s">
        <v>0</v>
      </c>
      <c r="G81" s="7">
        <v>1292295.4099999999</v>
      </c>
      <c r="H81" s="2">
        <v>3</v>
      </c>
      <c r="I81" s="7">
        <f t="shared" si="0"/>
        <v>3876886.2299999995</v>
      </c>
      <c r="J81" s="7">
        <f t="shared" si="1"/>
        <v>697839.52139999985</v>
      </c>
      <c r="K81" s="7">
        <f t="shared" si="2"/>
        <v>4574725.7513999995</v>
      </c>
    </row>
  </sheetData>
  <autoFilter ref="A16:Y81" xr:uid="{00000000-0009-0000-0000-000009000000}"/>
  <conditionalFormatting sqref="B1:B1048576">
    <cfRule type="duplicateValues" dxfId="19" priority="1"/>
  </conditionalFormatting>
  <conditionalFormatting sqref="G1">
    <cfRule type="duplicateValues" dxfId="18" priority="9566"/>
  </conditionalFormatting>
  <conditionalFormatting sqref="B1:B81">
    <cfRule type="duplicateValues" dxfId="17" priority="11253"/>
  </conditionalFormatting>
  <conditionalFormatting sqref="B1:B81">
    <cfRule type="duplicateValues" dxfId="16" priority="11254"/>
    <cfRule type="duplicateValues" dxfId="15" priority="11255"/>
  </conditionalFormatting>
  <conditionalFormatting sqref="C1:C81">
    <cfRule type="duplicateValues" dxfId="14" priority="11256"/>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9"/>
  <sheetViews>
    <sheetView zoomScale="81" zoomScaleNormal="80" workbookViewId="0">
      <selection activeCell="J28" sqref="J28"/>
    </sheetView>
  </sheetViews>
  <sheetFormatPr baseColWidth="10" defaultColWidth="9.109375" defaultRowHeight="14.4" x14ac:dyDescent="0.3"/>
  <cols>
    <col min="2" max="2" width="21.44140625" bestFit="1" customWidth="1"/>
    <col min="3" max="3" width="30.33203125" bestFit="1" customWidth="1"/>
    <col min="4" max="4" width="44" bestFit="1" customWidth="1"/>
    <col min="5" max="5" width="13.88671875" bestFit="1" customWidth="1"/>
    <col min="6" max="6" width="25.5546875" bestFit="1" customWidth="1"/>
    <col min="7" max="7" width="16.44140625" customWidth="1"/>
    <col min="8" max="8" width="19.33203125" customWidth="1"/>
  </cols>
  <sheetData>
    <row r="1" spans="1:8" x14ac:dyDescent="0.3">
      <c r="F1" s="10" t="s">
        <v>4585</v>
      </c>
    </row>
    <row r="2" spans="1:8" x14ac:dyDescent="0.3">
      <c r="E2" s="2"/>
      <c r="F2" s="19">
        <f>COUNTIF(E$17:E$49,$F$1)</f>
        <v>33</v>
      </c>
    </row>
    <row r="3" spans="1:8" x14ac:dyDescent="0.3">
      <c r="E3" s="19" t="s">
        <v>4508</v>
      </c>
      <c r="F3" s="27">
        <f>SUMIF($E$17:$E$49,"33 SITES TIERS",$F$17:$F$49)</f>
        <v>38963845.800000019</v>
      </c>
    </row>
    <row r="4" spans="1:8" x14ac:dyDescent="0.3">
      <c r="F4" s="4"/>
    </row>
    <row r="5" spans="1:8" x14ac:dyDescent="0.3">
      <c r="E5" s="5"/>
      <c r="F5" s="6"/>
    </row>
    <row r="6" spans="1:8" x14ac:dyDescent="0.3">
      <c r="E6" s="10" t="s">
        <v>4507</v>
      </c>
      <c r="F6" s="23">
        <v>1180722.6000000001</v>
      </c>
    </row>
    <row r="7" spans="1:8" x14ac:dyDescent="0.3">
      <c r="E7" s="2"/>
      <c r="F7" s="7"/>
    </row>
    <row r="8" spans="1:8" x14ac:dyDescent="0.3">
      <c r="E8" s="2"/>
      <c r="F8" s="7"/>
    </row>
    <row r="9" spans="1:8" x14ac:dyDescent="0.3">
      <c r="E9" s="2"/>
      <c r="F9" s="7"/>
    </row>
    <row r="10" spans="1:8" x14ac:dyDescent="0.3">
      <c r="E10" s="6"/>
      <c r="F10" s="6"/>
    </row>
    <row r="11" spans="1:8" x14ac:dyDescent="0.3">
      <c r="E11" s="6"/>
      <c r="F11" s="6"/>
    </row>
    <row r="12" spans="1:8" x14ac:dyDescent="0.3">
      <c r="E12" s="6"/>
      <c r="F12" s="6"/>
    </row>
    <row r="13" spans="1:8" x14ac:dyDescent="0.3">
      <c r="D13" s="21" t="s">
        <v>5260</v>
      </c>
      <c r="E13" s="6"/>
      <c r="F13" s="6"/>
    </row>
    <row r="14" spans="1:8" x14ac:dyDescent="0.3">
      <c r="F14" s="9"/>
    </row>
    <row r="15" spans="1:8" s="6" customFormat="1" ht="16.5" customHeight="1" x14ac:dyDescent="0.3">
      <c r="F15" s="17">
        <f>SUBTOTAL(9,F17:F49)</f>
        <v>38963845.800000019</v>
      </c>
      <c r="G15" s="17">
        <f>SUBTOTAL(9,G17:G49)</f>
        <v>7013492.2439999999</v>
      </c>
      <c r="H15" s="17">
        <f>SUBTOTAL(9,H17:H49)</f>
        <v>45977338.043999992</v>
      </c>
    </row>
    <row r="16" spans="1:8" s="5" customFormat="1" ht="16.5" customHeight="1" x14ac:dyDescent="0.3">
      <c r="A16" s="10" t="s">
        <v>5</v>
      </c>
      <c r="B16" s="10" t="s">
        <v>6</v>
      </c>
      <c r="C16" s="10" t="s">
        <v>7</v>
      </c>
      <c r="D16" s="10" t="s">
        <v>8</v>
      </c>
      <c r="E16" s="10" t="s">
        <v>10</v>
      </c>
      <c r="F16" s="10" t="s">
        <v>4585</v>
      </c>
      <c r="G16" s="10" t="s">
        <v>4506</v>
      </c>
      <c r="H16" s="10" t="s">
        <v>4584</v>
      </c>
    </row>
    <row r="17" spans="1:8" x14ac:dyDescent="0.3">
      <c r="A17" s="35">
        <v>1</v>
      </c>
      <c r="B17" s="2" t="s">
        <v>4519</v>
      </c>
      <c r="C17" s="2" t="s">
        <v>4552</v>
      </c>
      <c r="D17" s="2" t="s">
        <v>4552</v>
      </c>
      <c r="E17" s="2" t="s">
        <v>4585</v>
      </c>
      <c r="F17" s="7">
        <v>1180722.6000000001</v>
      </c>
      <c r="G17" s="7">
        <v>212530.068</v>
      </c>
      <c r="H17" s="7">
        <v>1393252.6680000001</v>
      </c>
    </row>
    <row r="18" spans="1:8" ht="15" customHeight="1" x14ac:dyDescent="0.3">
      <c r="A18" s="35">
        <v>2</v>
      </c>
      <c r="B18" s="2" t="s">
        <v>4520</v>
      </c>
      <c r="C18" s="2" t="s">
        <v>4553</v>
      </c>
      <c r="D18" s="2" t="s">
        <v>4553</v>
      </c>
      <c r="E18" s="2" t="s">
        <v>4585</v>
      </c>
      <c r="F18" s="7">
        <v>1180722.6000000001</v>
      </c>
      <c r="G18" s="7">
        <v>212530.068</v>
      </c>
      <c r="H18" s="7">
        <v>1393252.6680000001</v>
      </c>
    </row>
    <row r="19" spans="1:8" ht="15" customHeight="1" x14ac:dyDescent="0.3">
      <c r="A19" s="35">
        <v>3</v>
      </c>
      <c r="B19" s="2" t="s">
        <v>4521</v>
      </c>
      <c r="C19" s="2" t="s">
        <v>4554</v>
      </c>
      <c r="D19" s="2" t="s">
        <v>4554</v>
      </c>
      <c r="E19" s="2" t="s">
        <v>4585</v>
      </c>
      <c r="F19" s="7">
        <v>1180722.6000000001</v>
      </c>
      <c r="G19" s="7">
        <v>212530.068</v>
      </c>
      <c r="H19" s="7">
        <v>1393252.6680000001</v>
      </c>
    </row>
    <row r="20" spans="1:8" x14ac:dyDescent="0.3">
      <c r="A20" s="35">
        <v>4</v>
      </c>
      <c r="B20" s="2" t="s">
        <v>4522</v>
      </c>
      <c r="C20" s="2" t="s">
        <v>4555</v>
      </c>
      <c r="D20" s="2" t="s">
        <v>4555</v>
      </c>
      <c r="E20" s="2" t="s">
        <v>4585</v>
      </c>
      <c r="F20" s="7">
        <v>1180722.6000000001</v>
      </c>
      <c r="G20" s="7">
        <v>212530.068</v>
      </c>
      <c r="H20" s="7">
        <v>1393252.6680000001</v>
      </c>
    </row>
    <row r="21" spans="1:8" ht="15" customHeight="1" x14ac:dyDescent="0.3">
      <c r="A21" s="35">
        <v>5</v>
      </c>
      <c r="B21" s="2" t="s">
        <v>4523</v>
      </c>
      <c r="C21" s="2" t="s">
        <v>4556</v>
      </c>
      <c r="D21" s="2" t="s">
        <v>4556</v>
      </c>
      <c r="E21" s="2" t="s">
        <v>4585</v>
      </c>
      <c r="F21" s="7">
        <v>1180722.6000000001</v>
      </c>
      <c r="G21" s="7">
        <v>212530.068</v>
      </c>
      <c r="H21" s="7">
        <v>1393252.6680000001</v>
      </c>
    </row>
    <row r="22" spans="1:8" x14ac:dyDescent="0.3">
      <c r="A22" s="35">
        <v>6</v>
      </c>
      <c r="B22" s="2" t="s">
        <v>4524</v>
      </c>
      <c r="C22" s="2" t="s">
        <v>4557</v>
      </c>
      <c r="D22" s="2" t="s">
        <v>4557</v>
      </c>
      <c r="E22" s="2" t="s">
        <v>4585</v>
      </c>
      <c r="F22" s="7">
        <v>1180722.6000000001</v>
      </c>
      <c r="G22" s="7">
        <v>212530.068</v>
      </c>
      <c r="H22" s="7">
        <v>1393252.6680000001</v>
      </c>
    </row>
    <row r="23" spans="1:8" ht="15" customHeight="1" x14ac:dyDescent="0.3">
      <c r="A23" s="35">
        <v>7</v>
      </c>
      <c r="B23" s="2" t="s">
        <v>4525</v>
      </c>
      <c r="C23" s="2" t="s">
        <v>4558</v>
      </c>
      <c r="D23" s="2" t="s">
        <v>4558</v>
      </c>
      <c r="E23" s="2" t="s">
        <v>4585</v>
      </c>
      <c r="F23" s="7">
        <v>1180722.6000000001</v>
      </c>
      <c r="G23" s="7">
        <v>212530.068</v>
      </c>
      <c r="H23" s="7">
        <v>1393252.6680000001</v>
      </c>
    </row>
    <row r="24" spans="1:8" x14ac:dyDescent="0.3">
      <c r="A24" s="35">
        <v>8</v>
      </c>
      <c r="B24" s="2" t="s">
        <v>4526</v>
      </c>
      <c r="C24" s="2" t="s">
        <v>4559</v>
      </c>
      <c r="D24" s="2" t="s">
        <v>4559</v>
      </c>
      <c r="E24" s="2" t="s">
        <v>4585</v>
      </c>
      <c r="F24" s="7">
        <v>1180722.6000000001</v>
      </c>
      <c r="G24" s="7">
        <v>212530.068</v>
      </c>
      <c r="H24" s="7">
        <v>1393252.6680000001</v>
      </c>
    </row>
    <row r="25" spans="1:8" x14ac:dyDescent="0.3">
      <c r="A25" s="35">
        <v>9</v>
      </c>
      <c r="B25" s="2" t="s">
        <v>4527</v>
      </c>
      <c r="C25" s="2" t="s">
        <v>4560</v>
      </c>
      <c r="D25" s="2" t="s">
        <v>4560</v>
      </c>
      <c r="E25" s="2" t="s">
        <v>4585</v>
      </c>
      <c r="F25" s="7">
        <v>1180722.6000000001</v>
      </c>
      <c r="G25" s="7">
        <v>212530.068</v>
      </c>
      <c r="H25" s="7">
        <v>1393252.6680000001</v>
      </c>
    </row>
    <row r="26" spans="1:8" ht="15" customHeight="1" x14ac:dyDescent="0.3">
      <c r="A26" s="35">
        <v>10</v>
      </c>
      <c r="B26" s="2" t="s">
        <v>4528</v>
      </c>
      <c r="C26" s="2" t="s">
        <v>4561</v>
      </c>
      <c r="D26" s="2" t="s">
        <v>4561</v>
      </c>
      <c r="E26" s="2" t="s">
        <v>4585</v>
      </c>
      <c r="F26" s="7">
        <v>1180722.6000000001</v>
      </c>
      <c r="G26" s="7">
        <v>212530.068</v>
      </c>
      <c r="H26" s="7">
        <v>1393252.6680000001</v>
      </c>
    </row>
    <row r="27" spans="1:8" ht="15" customHeight="1" x14ac:dyDescent="0.3">
      <c r="A27" s="35">
        <v>11</v>
      </c>
      <c r="B27" s="2" t="s">
        <v>4529</v>
      </c>
      <c r="C27" s="2" t="s">
        <v>4562</v>
      </c>
      <c r="D27" s="2" t="s">
        <v>4562</v>
      </c>
      <c r="E27" s="2" t="s">
        <v>4585</v>
      </c>
      <c r="F27" s="7">
        <v>1180722.6000000001</v>
      </c>
      <c r="G27" s="7">
        <v>212530.068</v>
      </c>
      <c r="H27" s="7">
        <v>1393252.6680000001</v>
      </c>
    </row>
    <row r="28" spans="1:8" ht="15" customHeight="1" x14ac:dyDescent="0.3">
      <c r="A28" s="35">
        <v>12</v>
      </c>
      <c r="B28" s="2" t="s">
        <v>4530</v>
      </c>
      <c r="C28" s="2" t="s">
        <v>4563</v>
      </c>
      <c r="D28" s="2" t="s">
        <v>4563</v>
      </c>
      <c r="E28" s="2" t="s">
        <v>4585</v>
      </c>
      <c r="F28" s="7">
        <v>1180722.6000000001</v>
      </c>
      <c r="G28" s="7">
        <v>212530.068</v>
      </c>
      <c r="H28" s="7">
        <v>1393252.6680000001</v>
      </c>
    </row>
    <row r="29" spans="1:8" ht="15" customHeight="1" x14ac:dyDescent="0.3">
      <c r="A29" s="35">
        <v>13</v>
      </c>
      <c r="B29" s="2" t="s">
        <v>4531</v>
      </c>
      <c r="C29" s="2" t="s">
        <v>733</v>
      </c>
      <c r="D29" s="2" t="s">
        <v>733</v>
      </c>
      <c r="E29" s="2" t="s">
        <v>4585</v>
      </c>
      <c r="F29" s="7">
        <v>1180722.6000000001</v>
      </c>
      <c r="G29" s="7">
        <v>212530.068</v>
      </c>
      <c r="H29" s="7">
        <v>1393252.6680000001</v>
      </c>
    </row>
    <row r="30" spans="1:8" x14ac:dyDescent="0.3">
      <c r="A30" s="35">
        <v>14</v>
      </c>
      <c r="B30" s="2" t="s">
        <v>4532</v>
      </c>
      <c r="C30" s="2" t="s">
        <v>4564</v>
      </c>
      <c r="D30" s="2" t="s">
        <v>4564</v>
      </c>
      <c r="E30" s="2" t="s">
        <v>4585</v>
      </c>
      <c r="F30" s="7">
        <v>1180722.6000000001</v>
      </c>
      <c r="G30" s="7">
        <v>212530.068</v>
      </c>
      <c r="H30" s="7">
        <v>1393252.6680000001</v>
      </c>
    </row>
    <row r="31" spans="1:8" x14ac:dyDescent="0.3">
      <c r="A31" s="35">
        <v>15</v>
      </c>
      <c r="B31" s="2" t="s">
        <v>4533</v>
      </c>
      <c r="C31" s="2" t="s">
        <v>4565</v>
      </c>
      <c r="D31" s="2" t="s">
        <v>4565</v>
      </c>
      <c r="E31" s="2" t="s">
        <v>4585</v>
      </c>
      <c r="F31" s="7">
        <v>1180722.6000000001</v>
      </c>
      <c r="G31" s="7">
        <v>212530.068</v>
      </c>
      <c r="H31" s="7">
        <v>1393252.6680000001</v>
      </c>
    </row>
    <row r="32" spans="1:8" x14ac:dyDescent="0.3">
      <c r="A32" s="35">
        <v>16</v>
      </c>
      <c r="B32" s="2" t="s">
        <v>4534</v>
      </c>
      <c r="C32" s="2" t="s">
        <v>4566</v>
      </c>
      <c r="D32" s="2" t="s">
        <v>4566</v>
      </c>
      <c r="E32" s="2" t="s">
        <v>4585</v>
      </c>
      <c r="F32" s="7">
        <v>1180722.6000000001</v>
      </c>
      <c r="G32" s="7">
        <v>212530.068</v>
      </c>
      <c r="H32" s="7">
        <v>1393252.6680000001</v>
      </c>
    </row>
    <row r="33" spans="1:8" ht="15" customHeight="1" x14ac:dyDescent="0.3">
      <c r="A33" s="35">
        <v>17</v>
      </c>
      <c r="B33" s="2" t="s">
        <v>4535</v>
      </c>
      <c r="C33" s="2" t="s">
        <v>4567</v>
      </c>
      <c r="D33" s="2" t="s">
        <v>4567</v>
      </c>
      <c r="E33" s="2" t="s">
        <v>4585</v>
      </c>
      <c r="F33" s="7">
        <v>1180722.6000000001</v>
      </c>
      <c r="G33" s="7">
        <v>212530.068</v>
      </c>
      <c r="H33" s="7">
        <v>1393252.6680000001</v>
      </c>
    </row>
    <row r="34" spans="1:8" ht="15" customHeight="1" x14ac:dyDescent="0.3">
      <c r="A34" s="35">
        <v>18</v>
      </c>
      <c r="B34" s="2" t="s">
        <v>4536</v>
      </c>
      <c r="C34" s="2" t="s">
        <v>4568</v>
      </c>
      <c r="D34" s="2" t="s">
        <v>4568</v>
      </c>
      <c r="E34" s="2" t="s">
        <v>4585</v>
      </c>
      <c r="F34" s="7">
        <v>1180722.6000000001</v>
      </c>
      <c r="G34" s="7">
        <v>212530.068</v>
      </c>
      <c r="H34" s="7">
        <v>1393252.6680000001</v>
      </c>
    </row>
    <row r="35" spans="1:8" ht="15" customHeight="1" x14ac:dyDescent="0.3">
      <c r="A35" s="35">
        <v>19</v>
      </c>
      <c r="B35" s="2" t="s">
        <v>4537</v>
      </c>
      <c r="C35" s="2" t="s">
        <v>4569</v>
      </c>
      <c r="D35" s="2" t="s">
        <v>4569</v>
      </c>
      <c r="E35" s="2" t="s">
        <v>4585</v>
      </c>
      <c r="F35" s="7">
        <v>1180722.6000000001</v>
      </c>
      <c r="G35" s="7">
        <v>212530.068</v>
      </c>
      <c r="H35" s="7">
        <v>1393252.6680000001</v>
      </c>
    </row>
    <row r="36" spans="1:8" ht="15" customHeight="1" x14ac:dyDescent="0.3">
      <c r="A36" s="35">
        <v>20</v>
      </c>
      <c r="B36" s="2" t="s">
        <v>4538</v>
      </c>
      <c r="C36" s="2" t="s">
        <v>4570</v>
      </c>
      <c r="D36" s="2" t="s">
        <v>4570</v>
      </c>
      <c r="E36" s="2" t="s">
        <v>4585</v>
      </c>
      <c r="F36" s="7">
        <v>1180722.6000000001</v>
      </c>
      <c r="G36" s="7">
        <v>212530.068</v>
      </c>
      <c r="H36" s="7">
        <v>1393252.6680000001</v>
      </c>
    </row>
    <row r="37" spans="1:8" ht="15" customHeight="1" x14ac:dyDescent="0.3">
      <c r="A37" s="35">
        <v>21</v>
      </c>
      <c r="B37" s="2" t="s">
        <v>4539</v>
      </c>
      <c r="C37" s="2" t="s">
        <v>4571</v>
      </c>
      <c r="D37" s="2" t="s">
        <v>4571</v>
      </c>
      <c r="E37" s="2" t="s">
        <v>4585</v>
      </c>
      <c r="F37" s="7">
        <v>1180722.6000000001</v>
      </c>
      <c r="G37" s="7">
        <v>212530.068</v>
      </c>
      <c r="H37" s="7">
        <v>1393252.6680000001</v>
      </c>
    </row>
    <row r="38" spans="1:8" x14ac:dyDescent="0.3">
      <c r="A38" s="35">
        <v>22</v>
      </c>
      <c r="B38" s="2" t="s">
        <v>4540</v>
      </c>
      <c r="C38" s="2" t="s">
        <v>4572</v>
      </c>
      <c r="D38" s="2" t="s">
        <v>4572</v>
      </c>
      <c r="E38" s="2" t="s">
        <v>4585</v>
      </c>
      <c r="F38" s="7">
        <v>1180722.6000000001</v>
      </c>
      <c r="G38" s="7">
        <v>212530.068</v>
      </c>
      <c r="H38" s="7">
        <v>1393252.6680000001</v>
      </c>
    </row>
    <row r="39" spans="1:8" x14ac:dyDescent="0.3">
      <c r="A39" s="35">
        <v>23</v>
      </c>
      <c r="B39" s="2" t="s">
        <v>4541</v>
      </c>
      <c r="C39" s="2" t="s">
        <v>4573</v>
      </c>
      <c r="D39" s="2" t="s">
        <v>4573</v>
      </c>
      <c r="E39" s="2" t="s">
        <v>4585</v>
      </c>
      <c r="F39" s="7">
        <v>1180722.6000000001</v>
      </c>
      <c r="G39" s="7">
        <v>212530.068</v>
      </c>
      <c r="H39" s="7">
        <v>1393252.6680000001</v>
      </c>
    </row>
    <row r="40" spans="1:8" x14ac:dyDescent="0.3">
      <c r="A40" s="35">
        <v>24</v>
      </c>
      <c r="B40" s="2" t="s">
        <v>4542</v>
      </c>
      <c r="C40" s="2" t="s">
        <v>4574</v>
      </c>
      <c r="D40" s="2" t="s">
        <v>4574</v>
      </c>
      <c r="E40" s="2" t="s">
        <v>4585</v>
      </c>
      <c r="F40" s="7">
        <v>1180722.6000000001</v>
      </c>
      <c r="G40" s="7">
        <v>212530.068</v>
      </c>
      <c r="H40" s="7">
        <v>1393252.6680000001</v>
      </c>
    </row>
    <row r="41" spans="1:8" ht="15" customHeight="1" x14ac:dyDescent="0.3">
      <c r="A41" s="35">
        <v>25</v>
      </c>
      <c r="B41" s="2" t="s">
        <v>4543</v>
      </c>
      <c r="C41" s="2" t="s">
        <v>4575</v>
      </c>
      <c r="D41" s="2" t="s">
        <v>4575</v>
      </c>
      <c r="E41" s="2" t="s">
        <v>4585</v>
      </c>
      <c r="F41" s="7">
        <v>1180722.6000000001</v>
      </c>
      <c r="G41" s="7">
        <v>212530.068</v>
      </c>
      <c r="H41" s="7">
        <v>1393252.6680000001</v>
      </c>
    </row>
    <row r="42" spans="1:8" ht="15" customHeight="1" x14ac:dyDescent="0.3">
      <c r="A42" s="35">
        <v>26</v>
      </c>
      <c r="B42" s="2" t="s">
        <v>4544</v>
      </c>
      <c r="C42" s="2" t="s">
        <v>4576</v>
      </c>
      <c r="D42" s="2" t="s">
        <v>4576</v>
      </c>
      <c r="E42" s="2" t="s">
        <v>4585</v>
      </c>
      <c r="F42" s="7">
        <v>1180722.6000000001</v>
      </c>
      <c r="G42" s="7">
        <v>212530.068</v>
      </c>
      <c r="H42" s="7">
        <v>1393252.6680000001</v>
      </c>
    </row>
    <row r="43" spans="1:8" x14ac:dyDescent="0.3">
      <c r="A43" s="35">
        <v>27</v>
      </c>
      <c r="B43" s="2" t="s">
        <v>4545</v>
      </c>
      <c r="C43" s="2" t="s">
        <v>4577</v>
      </c>
      <c r="D43" s="2" t="s">
        <v>4577</v>
      </c>
      <c r="E43" s="2" t="s">
        <v>4585</v>
      </c>
      <c r="F43" s="7">
        <v>1180722.6000000001</v>
      </c>
      <c r="G43" s="7">
        <v>212530.068</v>
      </c>
      <c r="H43" s="7">
        <v>1393252.6680000001</v>
      </c>
    </row>
    <row r="44" spans="1:8" x14ac:dyDescent="0.3">
      <c r="A44" s="35">
        <v>28</v>
      </c>
      <c r="B44" s="2" t="s">
        <v>4546</v>
      </c>
      <c r="C44" s="2" t="s">
        <v>4578</v>
      </c>
      <c r="D44" s="2" t="s">
        <v>4578</v>
      </c>
      <c r="E44" s="2" t="s">
        <v>4585</v>
      </c>
      <c r="F44" s="7">
        <v>1180722.6000000001</v>
      </c>
      <c r="G44" s="7">
        <v>212530.068</v>
      </c>
      <c r="H44" s="7">
        <v>1393252.6680000001</v>
      </c>
    </row>
    <row r="45" spans="1:8" x14ac:dyDescent="0.3">
      <c r="A45" s="35">
        <v>29</v>
      </c>
      <c r="B45" s="2" t="s">
        <v>4547</v>
      </c>
      <c r="C45" s="2" t="s">
        <v>4579</v>
      </c>
      <c r="D45" s="2" t="s">
        <v>4579</v>
      </c>
      <c r="E45" s="2" t="s">
        <v>4585</v>
      </c>
      <c r="F45" s="7">
        <v>1180722.6000000001</v>
      </c>
      <c r="G45" s="7">
        <v>212530.068</v>
      </c>
      <c r="H45" s="7">
        <v>1393252.6680000001</v>
      </c>
    </row>
    <row r="46" spans="1:8" ht="15" customHeight="1" x14ac:dyDescent="0.3">
      <c r="A46" s="35">
        <v>30</v>
      </c>
      <c r="B46" s="2" t="s">
        <v>4548</v>
      </c>
      <c r="C46" s="2" t="s">
        <v>4580</v>
      </c>
      <c r="D46" s="2" t="s">
        <v>4580</v>
      </c>
      <c r="E46" s="2" t="s">
        <v>4585</v>
      </c>
      <c r="F46" s="7">
        <v>1180722.6000000001</v>
      </c>
      <c r="G46" s="7">
        <v>212530.068</v>
      </c>
      <c r="H46" s="7">
        <v>1393252.6680000001</v>
      </c>
    </row>
    <row r="47" spans="1:8" x14ac:dyDescent="0.3">
      <c r="A47" s="35">
        <v>31</v>
      </c>
      <c r="B47" s="2" t="s">
        <v>4549</v>
      </c>
      <c r="C47" s="2" t="s">
        <v>4581</v>
      </c>
      <c r="D47" s="2" t="s">
        <v>4581</v>
      </c>
      <c r="E47" s="2" t="s">
        <v>4585</v>
      </c>
      <c r="F47" s="7">
        <v>1180722.6000000001</v>
      </c>
      <c r="G47" s="7">
        <v>212530.068</v>
      </c>
      <c r="H47" s="7">
        <v>1393252.6680000001</v>
      </c>
    </row>
    <row r="48" spans="1:8" ht="15" customHeight="1" x14ac:dyDescent="0.3">
      <c r="A48" s="35">
        <v>32</v>
      </c>
      <c r="B48" s="2" t="s">
        <v>4550</v>
      </c>
      <c r="C48" s="2" t="s">
        <v>4582</v>
      </c>
      <c r="D48" s="2" t="s">
        <v>4582</v>
      </c>
      <c r="E48" s="2" t="s">
        <v>4585</v>
      </c>
      <c r="F48" s="7">
        <v>1180722.6000000001</v>
      </c>
      <c r="G48" s="7">
        <v>212530.068</v>
      </c>
      <c r="H48" s="7">
        <v>1393252.6680000001</v>
      </c>
    </row>
    <row r="49" spans="1:8" x14ac:dyDescent="0.3">
      <c r="A49" s="35">
        <v>33</v>
      </c>
      <c r="B49" s="2" t="s">
        <v>4551</v>
      </c>
      <c r="C49" s="2" t="s">
        <v>4583</v>
      </c>
      <c r="D49" s="2" t="s">
        <v>4583</v>
      </c>
      <c r="E49" s="2" t="s">
        <v>4585</v>
      </c>
      <c r="F49" s="7">
        <v>1180722.6000000001</v>
      </c>
      <c r="G49" s="7">
        <v>212530.068</v>
      </c>
      <c r="H49" s="7">
        <v>1393252.6680000001</v>
      </c>
    </row>
  </sheetData>
  <autoFilter ref="A16:F49" xr:uid="{00000000-0009-0000-0000-00000A000000}"/>
  <conditionalFormatting sqref="B1:B1048576">
    <cfRule type="duplicateValues" dxfId="13" priority="2"/>
  </conditionalFormatting>
  <conditionalFormatting sqref="A17">
    <cfRule type="duplicateValues" dxfId="12" priority="1"/>
  </conditionalFormatting>
  <conditionalFormatting sqref="B1:B49">
    <cfRule type="duplicateValues" dxfId="11" priority="11264"/>
  </conditionalFormatting>
  <conditionalFormatting sqref="B1:B49">
    <cfRule type="duplicateValues" dxfId="10" priority="11265"/>
    <cfRule type="duplicateValues" dxfId="9" priority="11266"/>
  </conditionalFormatting>
  <conditionalFormatting sqref="C1:C49">
    <cfRule type="duplicateValues" dxfId="8" priority="11267"/>
  </conditionalFormatting>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A5A0-0272-4BF4-97C6-67A998095348}">
  <dimension ref="A3:M29"/>
  <sheetViews>
    <sheetView workbookViewId="0">
      <selection activeCell="M3" sqref="M3"/>
    </sheetView>
  </sheetViews>
  <sheetFormatPr baseColWidth="10" defaultRowHeight="14.4" x14ac:dyDescent="0.3"/>
  <cols>
    <col min="2" max="2" width="21.44140625" customWidth="1"/>
    <col min="6" max="6" width="10.21875" customWidth="1"/>
    <col min="7" max="7" width="16.77734375" customWidth="1"/>
    <col min="8" max="8" width="14" customWidth="1"/>
    <col min="9" max="9" width="13.6640625" customWidth="1"/>
    <col min="10" max="10" width="15.5546875" customWidth="1"/>
    <col min="11" max="11" width="13.21875" customWidth="1"/>
  </cols>
  <sheetData>
    <row r="3" spans="1:13" ht="42" x14ac:dyDescent="0.3">
      <c r="A3" s="101" t="s">
        <v>5019</v>
      </c>
      <c r="B3" s="101" t="s">
        <v>5027</v>
      </c>
      <c r="C3" s="101" t="s">
        <v>5020</v>
      </c>
      <c r="D3" s="289" t="s">
        <v>5021</v>
      </c>
      <c r="E3" s="290"/>
      <c r="F3" s="290"/>
      <c r="G3" s="291"/>
      <c r="H3" s="292"/>
      <c r="I3" s="101" t="s">
        <v>5022</v>
      </c>
      <c r="J3" s="101" t="s">
        <v>5023</v>
      </c>
      <c r="K3" s="101" t="s">
        <v>5028</v>
      </c>
    </row>
    <row r="4" spans="1:13" x14ac:dyDescent="0.3">
      <c r="A4" s="102"/>
      <c r="B4" s="102"/>
      <c r="C4" s="103"/>
      <c r="D4" s="104"/>
      <c r="E4" s="105"/>
      <c r="F4" s="105"/>
      <c r="G4" s="106"/>
      <c r="H4" s="106"/>
      <c r="I4" s="102"/>
      <c r="J4" s="107"/>
      <c r="K4" s="108"/>
    </row>
    <row r="5" spans="1:13" ht="15.6" x14ac:dyDescent="0.3">
      <c r="A5" s="109"/>
      <c r="B5" s="109"/>
      <c r="C5" s="110"/>
      <c r="D5" s="293" t="s">
        <v>5199</v>
      </c>
      <c r="E5" s="294"/>
      <c r="F5" s="294"/>
      <c r="G5" s="111"/>
      <c r="H5" s="112"/>
      <c r="I5" s="109"/>
      <c r="J5" s="113"/>
      <c r="K5" s="114"/>
    </row>
    <row r="6" spans="1:13" ht="15.6" x14ac:dyDescent="0.3">
      <c r="A6" s="109"/>
      <c r="B6" s="109"/>
      <c r="C6" s="110"/>
      <c r="D6" s="293"/>
      <c r="E6" s="294"/>
      <c r="F6" s="294"/>
      <c r="G6" s="111"/>
      <c r="H6" s="112"/>
      <c r="I6" s="109"/>
      <c r="J6" s="113"/>
      <c r="K6" s="114"/>
    </row>
    <row r="7" spans="1:13" x14ac:dyDescent="0.3">
      <c r="A7" s="109"/>
      <c r="B7" s="115"/>
      <c r="C7" s="110"/>
      <c r="D7" s="116"/>
      <c r="E7" s="115"/>
      <c r="F7" s="115"/>
      <c r="G7" s="115"/>
      <c r="H7" s="117"/>
      <c r="I7" s="109"/>
      <c r="J7" s="110"/>
      <c r="K7" s="114"/>
    </row>
    <row r="8" spans="1:13" ht="15.6" x14ac:dyDescent="0.3">
      <c r="A8" s="110">
        <v>1</v>
      </c>
      <c r="B8" s="136" t="s">
        <v>2649</v>
      </c>
      <c r="C8" s="110" t="s">
        <v>2650</v>
      </c>
      <c r="D8" s="118" t="s">
        <v>5029</v>
      </c>
      <c r="E8" s="115"/>
      <c r="F8" s="119">
        <v>69</v>
      </c>
      <c r="G8" s="139">
        <v>44927</v>
      </c>
      <c r="H8" s="139">
        <v>45016</v>
      </c>
      <c r="I8" s="138">
        <v>90000</v>
      </c>
      <c r="J8" s="121">
        <v>3</v>
      </c>
      <c r="K8" s="122">
        <f>+I8*J8</f>
        <v>270000</v>
      </c>
      <c r="M8" s="9"/>
    </row>
    <row r="9" spans="1:13" ht="15.6" x14ac:dyDescent="0.3">
      <c r="A9" s="110">
        <v>2</v>
      </c>
      <c r="B9" s="136" t="s">
        <v>2655</v>
      </c>
      <c r="C9" s="110" t="s">
        <v>2656</v>
      </c>
      <c r="D9" s="118" t="s">
        <v>5030</v>
      </c>
      <c r="E9" s="115"/>
      <c r="F9" s="119">
        <v>65</v>
      </c>
      <c r="G9" s="139">
        <v>44927</v>
      </c>
      <c r="H9" s="139">
        <v>45016</v>
      </c>
      <c r="I9" s="138">
        <v>90000</v>
      </c>
      <c r="J9" s="121">
        <v>3</v>
      </c>
      <c r="K9" s="122">
        <f t="shared" ref="K9:K25" si="0">+I9*J9</f>
        <v>270000</v>
      </c>
      <c r="M9" s="9"/>
    </row>
    <row r="10" spans="1:13" ht="15.6" x14ac:dyDescent="0.3">
      <c r="A10" s="110">
        <v>3</v>
      </c>
      <c r="B10" s="136" t="s">
        <v>2772</v>
      </c>
      <c r="C10" s="110" t="s">
        <v>2773</v>
      </c>
      <c r="D10" s="118" t="s">
        <v>5031</v>
      </c>
      <c r="E10" s="115"/>
      <c r="F10" s="119">
        <v>58</v>
      </c>
      <c r="G10" s="139">
        <v>44927</v>
      </c>
      <c r="H10" s="139">
        <v>45016</v>
      </c>
      <c r="I10" s="138">
        <v>60000</v>
      </c>
      <c r="J10" s="121">
        <v>3</v>
      </c>
      <c r="K10" s="122">
        <f t="shared" si="0"/>
        <v>180000</v>
      </c>
      <c r="M10" s="9"/>
    </row>
    <row r="11" spans="1:13" ht="15.6" x14ac:dyDescent="0.3">
      <c r="A11" s="110">
        <v>4</v>
      </c>
      <c r="B11" s="136" t="s">
        <v>2778</v>
      </c>
      <c r="C11" s="110" t="s">
        <v>2779</v>
      </c>
      <c r="D11" s="118" t="s">
        <v>5032</v>
      </c>
      <c r="E11" s="115"/>
      <c r="F11" s="119">
        <v>56</v>
      </c>
      <c r="G11" s="139">
        <v>44927</v>
      </c>
      <c r="H11" s="139">
        <v>45016</v>
      </c>
      <c r="I11" s="138">
        <v>60000</v>
      </c>
      <c r="J11" s="121">
        <v>3</v>
      </c>
      <c r="K11" s="122">
        <f t="shared" si="0"/>
        <v>180000</v>
      </c>
      <c r="M11" s="9"/>
    </row>
    <row r="12" spans="1:13" ht="15.6" x14ac:dyDescent="0.3">
      <c r="A12" s="110">
        <v>5</v>
      </c>
      <c r="B12" s="136" t="s">
        <v>2815</v>
      </c>
      <c r="C12" s="110" t="s">
        <v>2816</v>
      </c>
      <c r="D12" s="118" t="s">
        <v>5033</v>
      </c>
      <c r="E12" s="115"/>
      <c r="F12" s="119">
        <v>60</v>
      </c>
      <c r="G12" s="139">
        <v>44927</v>
      </c>
      <c r="H12" s="139">
        <v>45016</v>
      </c>
      <c r="I12" s="138">
        <v>60000</v>
      </c>
      <c r="J12" s="121">
        <v>3</v>
      </c>
      <c r="K12" s="122">
        <f t="shared" si="0"/>
        <v>180000</v>
      </c>
      <c r="M12" s="9"/>
    </row>
    <row r="13" spans="1:13" ht="15.6" x14ac:dyDescent="0.3">
      <c r="A13" s="110">
        <v>6</v>
      </c>
      <c r="B13" s="136" t="s">
        <v>2821</v>
      </c>
      <c r="C13" s="110" t="s">
        <v>2822</v>
      </c>
      <c r="D13" s="118" t="s">
        <v>5034</v>
      </c>
      <c r="E13" s="115"/>
      <c r="F13" s="119">
        <v>57</v>
      </c>
      <c r="G13" s="139">
        <v>44927</v>
      </c>
      <c r="H13" s="139">
        <v>45016</v>
      </c>
      <c r="I13" s="138">
        <v>60000</v>
      </c>
      <c r="J13" s="121">
        <v>3</v>
      </c>
      <c r="K13" s="122">
        <f t="shared" si="0"/>
        <v>180000</v>
      </c>
      <c r="M13" s="9"/>
    </row>
    <row r="14" spans="1:13" ht="15.6" x14ac:dyDescent="0.3">
      <c r="A14" s="110">
        <v>7</v>
      </c>
      <c r="B14" s="136" t="s">
        <v>2833</v>
      </c>
      <c r="C14" s="110" t="s">
        <v>2834</v>
      </c>
      <c r="D14" s="118" t="s">
        <v>5035</v>
      </c>
      <c r="E14" s="115"/>
      <c r="F14" s="119">
        <v>58</v>
      </c>
      <c r="G14" s="139">
        <v>44927</v>
      </c>
      <c r="H14" s="139">
        <v>45016</v>
      </c>
      <c r="I14" s="138">
        <v>60000</v>
      </c>
      <c r="J14" s="121">
        <v>3</v>
      </c>
      <c r="K14" s="122">
        <f t="shared" si="0"/>
        <v>180000</v>
      </c>
      <c r="M14" s="9"/>
    </row>
    <row r="15" spans="1:13" ht="15.6" x14ac:dyDescent="0.3">
      <c r="A15" s="110">
        <v>8</v>
      </c>
      <c r="B15" s="136" t="s">
        <v>3111</v>
      </c>
      <c r="C15" s="110" t="s">
        <v>3112</v>
      </c>
      <c r="D15" s="118" t="s">
        <v>5036</v>
      </c>
      <c r="E15" s="115"/>
      <c r="F15" s="119">
        <v>46</v>
      </c>
      <c r="G15" s="139">
        <v>44927</v>
      </c>
      <c r="H15" s="139">
        <v>45016</v>
      </c>
      <c r="I15" s="138">
        <v>60000</v>
      </c>
      <c r="J15" s="121">
        <v>3</v>
      </c>
      <c r="K15" s="122">
        <f t="shared" si="0"/>
        <v>180000</v>
      </c>
      <c r="M15" s="9"/>
    </row>
    <row r="16" spans="1:13" ht="15.6" x14ac:dyDescent="0.3">
      <c r="A16" s="110">
        <v>9</v>
      </c>
      <c r="B16" s="137" t="s">
        <v>3212</v>
      </c>
      <c r="C16" s="110" t="s">
        <v>3213</v>
      </c>
      <c r="D16" s="118" t="s">
        <v>5037</v>
      </c>
      <c r="E16" s="115"/>
      <c r="F16" s="119">
        <v>45</v>
      </c>
      <c r="G16" s="139">
        <v>44927</v>
      </c>
      <c r="H16" s="139">
        <v>45016</v>
      </c>
      <c r="I16" s="138">
        <v>60000</v>
      </c>
      <c r="J16" s="121">
        <v>3</v>
      </c>
      <c r="K16" s="122">
        <f t="shared" si="0"/>
        <v>180000</v>
      </c>
      <c r="M16" s="9"/>
    </row>
    <row r="17" spans="1:13" ht="15.6" x14ac:dyDescent="0.3">
      <c r="A17" s="110">
        <v>10</v>
      </c>
      <c r="B17" s="136" t="s">
        <v>3221</v>
      </c>
      <c r="C17" s="110" t="s">
        <v>3222</v>
      </c>
      <c r="D17" s="118" t="s">
        <v>5038</v>
      </c>
      <c r="E17" s="115"/>
      <c r="F17" s="119">
        <v>62</v>
      </c>
      <c r="G17" s="139">
        <v>44927</v>
      </c>
      <c r="H17" s="139">
        <v>45016</v>
      </c>
      <c r="I17" s="138">
        <v>60000</v>
      </c>
      <c r="J17" s="121">
        <v>3</v>
      </c>
      <c r="K17" s="122">
        <f t="shared" si="0"/>
        <v>180000</v>
      </c>
      <c r="M17" s="9"/>
    </row>
    <row r="18" spans="1:13" ht="15.6" x14ac:dyDescent="0.3">
      <c r="A18" s="110">
        <v>11</v>
      </c>
      <c r="B18" s="136" t="s">
        <v>2703</v>
      </c>
      <c r="C18" s="110" t="s">
        <v>2704</v>
      </c>
      <c r="D18" s="118" t="s">
        <v>5039</v>
      </c>
      <c r="E18" s="115"/>
      <c r="F18" s="119">
        <v>58</v>
      </c>
      <c r="G18" s="139">
        <v>44927</v>
      </c>
      <c r="H18" s="139">
        <v>45016</v>
      </c>
      <c r="I18" s="138">
        <v>60000</v>
      </c>
      <c r="J18" s="121">
        <v>3</v>
      </c>
      <c r="K18" s="122">
        <f t="shared" si="0"/>
        <v>180000</v>
      </c>
      <c r="M18" s="9"/>
    </row>
    <row r="19" spans="1:13" ht="15.6" x14ac:dyDescent="0.3">
      <c r="A19" s="110">
        <v>12</v>
      </c>
      <c r="B19" s="136" t="s">
        <v>2775</v>
      </c>
      <c r="C19" s="110" t="s">
        <v>2776</v>
      </c>
      <c r="D19" s="118" t="s">
        <v>5040</v>
      </c>
      <c r="E19" s="115"/>
      <c r="F19" s="119">
        <v>61</v>
      </c>
      <c r="G19" s="139">
        <v>44927</v>
      </c>
      <c r="H19" s="139">
        <v>45016</v>
      </c>
      <c r="I19" s="138">
        <v>60000</v>
      </c>
      <c r="J19" s="121">
        <v>3</v>
      </c>
      <c r="K19" s="122">
        <f t="shared" si="0"/>
        <v>180000</v>
      </c>
      <c r="M19" s="9"/>
    </row>
    <row r="20" spans="1:13" ht="15.6" x14ac:dyDescent="0.3">
      <c r="A20" s="110">
        <v>13</v>
      </c>
      <c r="B20" s="136" t="s">
        <v>2875</v>
      </c>
      <c r="C20" s="110" t="s">
        <v>2876</v>
      </c>
      <c r="D20" s="118" t="s">
        <v>5041</v>
      </c>
      <c r="E20" s="115"/>
      <c r="F20" s="119">
        <v>60</v>
      </c>
      <c r="G20" s="139">
        <v>44927</v>
      </c>
      <c r="H20" s="139">
        <v>45016</v>
      </c>
      <c r="I20" s="138">
        <v>60000</v>
      </c>
      <c r="J20" s="121">
        <v>3</v>
      </c>
      <c r="K20" s="122">
        <f t="shared" si="0"/>
        <v>180000</v>
      </c>
      <c r="M20" s="9"/>
    </row>
    <row r="21" spans="1:13" ht="15.6" x14ac:dyDescent="0.3">
      <c r="A21" s="110">
        <v>14</v>
      </c>
      <c r="B21" s="136" t="s">
        <v>3141</v>
      </c>
      <c r="C21" s="110" t="s">
        <v>3142</v>
      </c>
      <c r="D21" s="118" t="s">
        <v>5042</v>
      </c>
      <c r="E21" s="115"/>
      <c r="F21" s="119">
        <v>44</v>
      </c>
      <c r="G21" s="139">
        <v>44927</v>
      </c>
      <c r="H21" s="139">
        <v>45016</v>
      </c>
      <c r="I21" s="138">
        <v>60000</v>
      </c>
      <c r="J21" s="121">
        <v>3</v>
      </c>
      <c r="K21" s="122">
        <f t="shared" si="0"/>
        <v>180000</v>
      </c>
      <c r="M21" s="9"/>
    </row>
    <row r="22" spans="1:13" ht="15.6" x14ac:dyDescent="0.3">
      <c r="A22" s="110">
        <v>15</v>
      </c>
      <c r="B22" s="136" t="s">
        <v>3150</v>
      </c>
      <c r="C22" s="110" t="s">
        <v>3151</v>
      </c>
      <c r="D22" s="118" t="s">
        <v>5043</v>
      </c>
      <c r="E22" s="115"/>
      <c r="F22" s="119">
        <v>45</v>
      </c>
      <c r="G22" s="139">
        <v>44927</v>
      </c>
      <c r="H22" s="139">
        <v>45016</v>
      </c>
      <c r="I22" s="138">
        <v>60000</v>
      </c>
      <c r="J22" s="121">
        <v>3</v>
      </c>
      <c r="K22" s="122">
        <f t="shared" si="0"/>
        <v>180000</v>
      </c>
      <c r="M22" s="9"/>
    </row>
    <row r="23" spans="1:13" ht="15.6" x14ac:dyDescent="0.3">
      <c r="A23" s="110">
        <v>16</v>
      </c>
      <c r="B23" s="136" t="s">
        <v>3156</v>
      </c>
      <c r="C23" s="110" t="s">
        <v>3157</v>
      </c>
      <c r="D23" s="118" t="s">
        <v>5044</v>
      </c>
      <c r="E23" s="115"/>
      <c r="F23" s="119">
        <v>60</v>
      </c>
      <c r="G23" s="139">
        <v>44927</v>
      </c>
      <c r="H23" s="139">
        <v>45016</v>
      </c>
      <c r="I23" s="138">
        <v>60000</v>
      </c>
      <c r="J23" s="121">
        <v>3</v>
      </c>
      <c r="K23" s="122">
        <f t="shared" si="0"/>
        <v>180000</v>
      </c>
      <c r="M23" s="9"/>
    </row>
    <row r="24" spans="1:13" ht="15.6" x14ac:dyDescent="0.3">
      <c r="A24" s="110">
        <v>17</v>
      </c>
      <c r="B24" s="136" t="s">
        <v>3233</v>
      </c>
      <c r="C24" s="110" t="s">
        <v>3234</v>
      </c>
      <c r="D24" s="118" t="s">
        <v>5045</v>
      </c>
      <c r="E24" s="115"/>
      <c r="F24" s="119">
        <v>57</v>
      </c>
      <c r="G24" s="139">
        <v>44927</v>
      </c>
      <c r="H24" s="139">
        <v>45016</v>
      </c>
      <c r="I24" s="138">
        <v>60000</v>
      </c>
      <c r="J24" s="121">
        <v>3</v>
      </c>
      <c r="K24" s="122">
        <f t="shared" si="0"/>
        <v>180000</v>
      </c>
      <c r="M24" s="9"/>
    </row>
    <row r="25" spans="1:13" ht="15.6" x14ac:dyDescent="0.3">
      <c r="A25" s="110">
        <v>18</v>
      </c>
      <c r="B25" s="136" t="s">
        <v>3242</v>
      </c>
      <c r="C25" s="110" t="s">
        <v>3243</v>
      </c>
      <c r="D25" s="118" t="s">
        <v>5046</v>
      </c>
      <c r="E25" s="115"/>
      <c r="F25" s="119">
        <v>55</v>
      </c>
      <c r="G25" s="139">
        <v>44927</v>
      </c>
      <c r="H25" s="139">
        <v>45016</v>
      </c>
      <c r="I25" s="138">
        <v>60000</v>
      </c>
      <c r="J25" s="121">
        <v>3</v>
      </c>
      <c r="K25" s="122">
        <f t="shared" si="0"/>
        <v>180000</v>
      </c>
      <c r="M25" s="9"/>
    </row>
    <row r="26" spans="1:13" ht="15.6" x14ac:dyDescent="0.3">
      <c r="A26" s="110"/>
      <c r="B26" s="123"/>
      <c r="C26" s="124"/>
      <c r="D26" s="125"/>
      <c r="E26" s="126"/>
      <c r="F26" s="127"/>
      <c r="G26" s="128"/>
      <c r="H26" s="128"/>
      <c r="I26" s="120"/>
      <c r="J26" s="121"/>
      <c r="K26" s="122"/>
    </row>
    <row r="27" spans="1:13" x14ac:dyDescent="0.3">
      <c r="A27" s="129"/>
      <c r="B27" s="129"/>
      <c r="C27" s="130"/>
      <c r="D27" s="131"/>
      <c r="E27" s="131"/>
      <c r="F27" s="131"/>
      <c r="G27" s="131"/>
      <c r="H27" s="131"/>
      <c r="I27" s="131" t="s">
        <v>5025</v>
      </c>
      <c r="J27" s="132"/>
      <c r="K27" s="133">
        <f>IF(SUM(K4:K26)&gt;0,SUM(K4:K26),"")</f>
        <v>3420000</v>
      </c>
    </row>
    <row r="28" spans="1:13" x14ac:dyDescent="0.3">
      <c r="A28" s="129"/>
      <c r="B28" s="129"/>
      <c r="C28" s="130"/>
      <c r="D28" s="131"/>
      <c r="E28" s="131"/>
      <c r="F28" s="131"/>
      <c r="G28" s="131"/>
      <c r="H28" s="131"/>
      <c r="I28" s="131" t="s">
        <v>5047</v>
      </c>
      <c r="J28" s="134">
        <v>0.18</v>
      </c>
      <c r="K28" s="133">
        <f>IF(K27&lt;&gt;"",ROUND(K27*18%,0),"")</f>
        <v>615600</v>
      </c>
    </row>
    <row r="29" spans="1:13" x14ac:dyDescent="0.3">
      <c r="A29" s="129"/>
      <c r="B29" s="129"/>
      <c r="C29" s="130"/>
      <c r="D29" s="131"/>
      <c r="E29" s="131"/>
      <c r="F29" s="131"/>
      <c r="G29" s="131"/>
      <c r="H29" s="131"/>
      <c r="I29" s="131" t="s">
        <v>5026</v>
      </c>
      <c r="J29" s="132"/>
      <c r="K29" s="135">
        <f>IF(K27&lt;&gt;"",SUM(K27:K28),"")</f>
        <v>4035600</v>
      </c>
    </row>
  </sheetData>
  <mergeCells count="2">
    <mergeCell ref="D3:H3"/>
    <mergeCell ref="D5:F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6CA7D-D2E4-4A3C-9F14-BEAE5890F9DF}">
  <sheetPr filterMode="1"/>
  <dimension ref="B2:P206"/>
  <sheetViews>
    <sheetView topLeftCell="J182" workbookViewId="0">
      <selection activeCell="Q204" sqref="Q204"/>
    </sheetView>
  </sheetViews>
  <sheetFormatPr baseColWidth="10" defaultRowHeight="11.4" x14ac:dyDescent="0.2"/>
  <cols>
    <col min="1" max="2" width="11.5546875" style="98"/>
    <col min="3" max="3" width="67.33203125" style="98" customWidth="1"/>
    <col min="4" max="4" width="24.33203125" style="98" customWidth="1"/>
    <col min="5" max="5" width="23.88671875" style="98" customWidth="1"/>
    <col min="6" max="6" width="31.5546875" style="98" customWidth="1"/>
    <col min="7" max="7" width="11.88671875" style="98" customWidth="1"/>
    <col min="8" max="8" width="12.88671875" style="98" customWidth="1"/>
    <col min="9" max="9" width="11.5546875" style="98"/>
    <col min="10" max="10" width="15.33203125" style="98" customWidth="1"/>
    <col min="11" max="11" width="11.5546875" style="98"/>
    <col min="12" max="12" width="13.88671875" style="98" bestFit="1" customWidth="1"/>
    <col min="13" max="13" width="15.6640625" style="98" customWidth="1"/>
    <col min="14" max="14" width="12.6640625" style="98" customWidth="1"/>
    <col min="15" max="15" width="14.44140625" style="98" customWidth="1"/>
    <col min="16" max="16" width="15" style="98" customWidth="1"/>
    <col min="17" max="16384" width="11.5546875" style="98"/>
  </cols>
  <sheetData>
    <row r="2" spans="2:16" ht="17.399999999999999" x14ac:dyDescent="0.3">
      <c r="O2" s="224"/>
    </row>
    <row r="5" spans="2:16" ht="15" thickBot="1" x14ac:dyDescent="0.35">
      <c r="B5" s="295" t="s">
        <v>5276</v>
      </c>
      <c r="C5" s="295"/>
      <c r="N5" s="144">
        <v>0.15</v>
      </c>
      <c r="O5" s="181" t="s">
        <v>5198</v>
      </c>
    </row>
    <row r="6" spans="2:16" ht="12.6" thickBot="1" x14ac:dyDescent="0.25">
      <c r="B6" s="145" t="s">
        <v>5057</v>
      </c>
      <c r="C6" s="146" t="s">
        <v>4504</v>
      </c>
      <c r="D6" s="147" t="s">
        <v>5058</v>
      </c>
      <c r="E6" s="175" t="s">
        <v>5059</v>
      </c>
      <c r="F6" s="147" t="s">
        <v>5087</v>
      </c>
      <c r="G6" s="148" t="s">
        <v>5060</v>
      </c>
      <c r="H6" s="149" t="s">
        <v>5061</v>
      </c>
      <c r="I6" s="149" t="s">
        <v>4504</v>
      </c>
      <c r="J6" s="150" t="s">
        <v>5062</v>
      </c>
      <c r="K6" s="148" t="s">
        <v>5063</v>
      </c>
      <c r="L6" s="148" t="s">
        <v>4507</v>
      </c>
      <c r="M6" s="183" t="s">
        <v>5064</v>
      </c>
      <c r="N6" s="182" t="s">
        <v>5065</v>
      </c>
      <c r="O6" s="151" t="s">
        <v>5024</v>
      </c>
      <c r="P6" s="151" t="s">
        <v>5089</v>
      </c>
    </row>
    <row r="7" spans="2:16" ht="13.8" hidden="1" x14ac:dyDescent="0.2">
      <c r="B7" s="248">
        <v>1</v>
      </c>
      <c r="C7" s="250" t="s">
        <v>5066</v>
      </c>
      <c r="D7" s="162" t="s">
        <v>5067</v>
      </c>
      <c r="E7" s="176" t="s">
        <v>5068</v>
      </c>
      <c r="F7" s="163" t="s">
        <v>5088</v>
      </c>
      <c r="G7" s="164">
        <v>44666</v>
      </c>
      <c r="H7" s="164">
        <v>44681</v>
      </c>
      <c r="I7" s="165">
        <f>((H7-G7)+1)/30</f>
        <v>0.53333333333333333</v>
      </c>
      <c r="J7" s="165">
        <f>ROUND(I7,2)</f>
        <v>0.53</v>
      </c>
      <c r="K7" s="165">
        <v>65</v>
      </c>
      <c r="L7" s="168">
        <v>1744861.92810306</v>
      </c>
      <c r="M7" s="169">
        <f>L7*J7</f>
        <v>924776.82189462183</v>
      </c>
      <c r="N7" s="170">
        <f>M7*$N$5</f>
        <v>138716.52328419327</v>
      </c>
      <c r="O7" s="171">
        <f>M7-N7</f>
        <v>786060.29861042858</v>
      </c>
      <c r="P7" s="166">
        <v>44652</v>
      </c>
    </row>
    <row r="8" spans="2:16" ht="13.8" hidden="1" x14ac:dyDescent="0.2">
      <c r="B8" s="249">
        <v>2</v>
      </c>
      <c r="C8" s="251" t="s">
        <v>5069</v>
      </c>
      <c r="D8" s="153" t="s">
        <v>5070</v>
      </c>
      <c r="E8" s="153" t="s">
        <v>5071</v>
      </c>
      <c r="F8" s="154" t="s">
        <v>5088</v>
      </c>
      <c r="G8" s="155">
        <v>44670</v>
      </c>
      <c r="H8" s="155">
        <v>44681</v>
      </c>
      <c r="I8" s="156">
        <f t="shared" ref="I8:I13" si="0">((H8-G8)+1)/30</f>
        <v>0.4</v>
      </c>
      <c r="J8" s="156">
        <f t="shared" ref="J8:J13" si="1">ROUND(I8,2)</f>
        <v>0.4</v>
      </c>
      <c r="K8" s="156">
        <v>60</v>
      </c>
      <c r="L8" s="172">
        <v>1744861.92810306</v>
      </c>
      <c r="M8" s="167">
        <f t="shared" ref="M8:M13" si="2">L8*J8</f>
        <v>697944.77124122402</v>
      </c>
      <c r="N8" s="167">
        <f t="shared" ref="N8:N13" si="3">M8*$N$5</f>
        <v>104691.7156861836</v>
      </c>
      <c r="O8" s="173">
        <f t="shared" ref="O8:O13" si="4">M8-N8</f>
        <v>593253.05555504048</v>
      </c>
      <c r="P8" s="157">
        <v>44652</v>
      </c>
    </row>
    <row r="9" spans="2:16" ht="13.8" hidden="1" x14ac:dyDescent="0.2">
      <c r="B9" s="248">
        <v>3</v>
      </c>
      <c r="C9" s="251" t="s">
        <v>5072</v>
      </c>
      <c r="D9" s="153" t="s">
        <v>5073</v>
      </c>
      <c r="E9" s="153" t="s">
        <v>5074</v>
      </c>
      <c r="F9" s="154" t="s">
        <v>5088</v>
      </c>
      <c r="G9" s="155">
        <v>44668</v>
      </c>
      <c r="H9" s="155">
        <v>44681</v>
      </c>
      <c r="I9" s="156">
        <f t="shared" si="0"/>
        <v>0.46666666666666667</v>
      </c>
      <c r="J9" s="156">
        <f t="shared" si="1"/>
        <v>0.47</v>
      </c>
      <c r="K9" s="156">
        <v>54</v>
      </c>
      <c r="L9" s="172">
        <v>1744861.92810306</v>
      </c>
      <c r="M9" s="167">
        <f t="shared" si="2"/>
        <v>820085.10620843817</v>
      </c>
      <c r="N9" s="167">
        <f t="shared" si="3"/>
        <v>123012.76593126572</v>
      </c>
      <c r="O9" s="173">
        <f t="shared" si="4"/>
        <v>697072.34027717239</v>
      </c>
      <c r="P9" s="157">
        <v>44652</v>
      </c>
    </row>
    <row r="10" spans="2:16" ht="13.8" hidden="1" x14ac:dyDescent="0.2">
      <c r="B10" s="249">
        <v>4</v>
      </c>
      <c r="C10" s="251" t="s">
        <v>5075</v>
      </c>
      <c r="D10" s="153" t="s">
        <v>5076</v>
      </c>
      <c r="E10" s="153" t="s">
        <v>5077</v>
      </c>
      <c r="F10" s="154" t="s">
        <v>5088</v>
      </c>
      <c r="G10" s="155">
        <v>44672</v>
      </c>
      <c r="H10" s="155">
        <v>44681</v>
      </c>
      <c r="I10" s="156">
        <f t="shared" si="0"/>
        <v>0.33333333333333331</v>
      </c>
      <c r="J10" s="156">
        <f t="shared" si="1"/>
        <v>0.33</v>
      </c>
      <c r="K10" s="156">
        <v>65</v>
      </c>
      <c r="L10" s="172">
        <v>1744861.92810306</v>
      </c>
      <c r="M10" s="167">
        <f t="shared" si="2"/>
        <v>575804.43627400987</v>
      </c>
      <c r="N10" s="167">
        <f t="shared" si="3"/>
        <v>86370.665441101475</v>
      </c>
      <c r="O10" s="173">
        <f t="shared" si="4"/>
        <v>489433.7708329084</v>
      </c>
      <c r="P10" s="157">
        <v>44652</v>
      </c>
    </row>
    <row r="11" spans="2:16" ht="13.8" hidden="1" x14ac:dyDescent="0.2">
      <c r="B11" s="248">
        <v>5</v>
      </c>
      <c r="C11" s="251" t="s">
        <v>5078</v>
      </c>
      <c r="D11" s="153" t="s">
        <v>5079</v>
      </c>
      <c r="E11" s="153" t="s">
        <v>5080</v>
      </c>
      <c r="F11" s="154" t="s">
        <v>5088</v>
      </c>
      <c r="G11" s="155">
        <v>44667</v>
      </c>
      <c r="H11" s="155">
        <v>44681</v>
      </c>
      <c r="I11" s="156">
        <f t="shared" si="0"/>
        <v>0.5</v>
      </c>
      <c r="J11" s="156">
        <f t="shared" si="1"/>
        <v>0.5</v>
      </c>
      <c r="K11" s="156">
        <v>45</v>
      </c>
      <c r="L11" s="172">
        <v>1435883.78979314</v>
      </c>
      <c r="M11" s="167">
        <f t="shared" si="2"/>
        <v>717941.89489657001</v>
      </c>
      <c r="N11" s="167">
        <f t="shared" si="3"/>
        <v>107691.2842344855</v>
      </c>
      <c r="O11" s="173">
        <f t="shared" si="4"/>
        <v>610250.61066208454</v>
      </c>
      <c r="P11" s="157">
        <v>44652</v>
      </c>
    </row>
    <row r="12" spans="2:16" ht="13.8" hidden="1" x14ac:dyDescent="0.2">
      <c r="B12" s="249">
        <v>6</v>
      </c>
      <c r="C12" s="251" t="s">
        <v>5081</v>
      </c>
      <c r="D12" s="153" t="s">
        <v>5082</v>
      </c>
      <c r="E12" s="153" t="s">
        <v>5083</v>
      </c>
      <c r="F12" s="154" t="s">
        <v>5088</v>
      </c>
      <c r="G12" s="155">
        <v>44664</v>
      </c>
      <c r="H12" s="155">
        <v>44681</v>
      </c>
      <c r="I12" s="156">
        <f t="shared" si="0"/>
        <v>0.6</v>
      </c>
      <c r="J12" s="156">
        <f t="shared" si="1"/>
        <v>0.6</v>
      </c>
      <c r="K12" s="156">
        <v>50</v>
      </c>
      <c r="L12" s="172">
        <v>1744861.92810306</v>
      </c>
      <c r="M12" s="167">
        <f>L12*J12</f>
        <v>1046917.156861836</v>
      </c>
      <c r="N12" s="167">
        <f t="shared" si="3"/>
        <v>157037.5735292754</v>
      </c>
      <c r="O12" s="173">
        <f t="shared" si="4"/>
        <v>889879.58333256061</v>
      </c>
      <c r="P12" s="157">
        <v>44652</v>
      </c>
    </row>
    <row r="13" spans="2:16" ht="13.8" hidden="1" x14ac:dyDescent="0.2">
      <c r="B13" s="248">
        <v>7</v>
      </c>
      <c r="C13" s="251" t="s">
        <v>5084</v>
      </c>
      <c r="D13" s="153" t="s">
        <v>5085</v>
      </c>
      <c r="E13" s="153" t="s">
        <v>5086</v>
      </c>
      <c r="F13" s="154" t="s">
        <v>5088</v>
      </c>
      <c r="G13" s="155">
        <v>44665</v>
      </c>
      <c r="H13" s="155">
        <v>44681</v>
      </c>
      <c r="I13" s="156">
        <f t="shared" si="0"/>
        <v>0.56666666666666665</v>
      </c>
      <c r="J13" s="156">
        <f t="shared" si="1"/>
        <v>0.56999999999999995</v>
      </c>
      <c r="K13" s="156">
        <v>42</v>
      </c>
      <c r="L13" s="172">
        <v>1435883.78979314</v>
      </c>
      <c r="M13" s="167">
        <f t="shared" si="2"/>
        <v>818453.76018208975</v>
      </c>
      <c r="N13" s="167">
        <f t="shared" si="3"/>
        <v>122768.06402731346</v>
      </c>
      <c r="O13" s="173">
        <f t="shared" si="4"/>
        <v>695685.69615477626</v>
      </c>
      <c r="P13" s="157">
        <v>44652</v>
      </c>
    </row>
    <row r="14" spans="2:16" ht="13.8" hidden="1" x14ac:dyDescent="0.2">
      <c r="B14" s="249">
        <v>8</v>
      </c>
      <c r="C14" s="251" t="s">
        <v>5090</v>
      </c>
      <c r="D14" s="153" t="s">
        <v>5067</v>
      </c>
      <c r="E14" s="177" t="s">
        <v>5068</v>
      </c>
      <c r="F14" s="154" t="s">
        <v>5088</v>
      </c>
      <c r="G14" s="155">
        <v>44682</v>
      </c>
      <c r="H14" s="155">
        <v>44712</v>
      </c>
      <c r="I14" s="156">
        <v>1</v>
      </c>
      <c r="J14" s="156">
        <f>ROUND(I14,2)</f>
        <v>1</v>
      </c>
      <c r="K14" s="156">
        <v>65</v>
      </c>
      <c r="L14" s="172">
        <v>1744861.92810306</v>
      </c>
      <c r="M14" s="167">
        <f>L14*J14</f>
        <v>1744861.92810306</v>
      </c>
      <c r="N14" s="167">
        <f>M14*$N$5</f>
        <v>261729.28921545899</v>
      </c>
      <c r="O14" s="173">
        <f>M14-N14</f>
        <v>1483132.638887601</v>
      </c>
      <c r="P14" s="157">
        <v>44682</v>
      </c>
    </row>
    <row r="15" spans="2:16" ht="13.8" hidden="1" x14ac:dyDescent="0.2">
      <c r="B15" s="248">
        <v>9</v>
      </c>
      <c r="C15" s="251" t="s">
        <v>5091</v>
      </c>
      <c r="D15" s="153" t="s">
        <v>5070</v>
      </c>
      <c r="E15" s="153" t="s">
        <v>5071</v>
      </c>
      <c r="F15" s="154" t="s">
        <v>5088</v>
      </c>
      <c r="G15" s="155">
        <v>44682</v>
      </c>
      <c r="H15" s="155">
        <v>44712</v>
      </c>
      <c r="I15" s="156">
        <v>1</v>
      </c>
      <c r="J15" s="156">
        <f t="shared" ref="J15:J20" si="5">ROUND(I15,2)</f>
        <v>1</v>
      </c>
      <c r="K15" s="156">
        <v>60</v>
      </c>
      <c r="L15" s="172">
        <v>1744861.92810306</v>
      </c>
      <c r="M15" s="167">
        <f t="shared" ref="M15:M18" si="6">L15*J15</f>
        <v>1744861.92810306</v>
      </c>
      <c r="N15" s="167">
        <f t="shared" ref="N15" si="7">M15*$N$5</f>
        <v>261729.28921545899</v>
      </c>
      <c r="O15" s="173">
        <f t="shared" ref="O15:O20" si="8">M15-N15</f>
        <v>1483132.638887601</v>
      </c>
      <c r="P15" s="157">
        <v>44682</v>
      </c>
    </row>
    <row r="16" spans="2:16" ht="13.8" hidden="1" x14ac:dyDescent="0.2">
      <c r="B16" s="249">
        <v>10</v>
      </c>
      <c r="C16" s="251" t="s">
        <v>5092</v>
      </c>
      <c r="D16" s="153" t="s">
        <v>5073</v>
      </c>
      <c r="E16" s="153" t="s">
        <v>5074</v>
      </c>
      <c r="F16" s="154" t="s">
        <v>5088</v>
      </c>
      <c r="G16" s="155">
        <v>44682</v>
      </c>
      <c r="H16" s="155">
        <v>44712</v>
      </c>
      <c r="I16" s="156">
        <v>1</v>
      </c>
      <c r="J16" s="156">
        <f t="shared" si="5"/>
        <v>1</v>
      </c>
      <c r="K16" s="156">
        <v>54</v>
      </c>
      <c r="L16" s="172">
        <v>1744861.92810306</v>
      </c>
      <c r="M16" s="167">
        <f t="shared" si="6"/>
        <v>1744861.92810306</v>
      </c>
      <c r="N16" s="167">
        <f t="shared" ref="N16" si="9">M16*$N$5</f>
        <v>261729.28921545899</v>
      </c>
      <c r="O16" s="173">
        <f t="shared" si="8"/>
        <v>1483132.638887601</v>
      </c>
      <c r="P16" s="157">
        <v>44682</v>
      </c>
    </row>
    <row r="17" spans="2:16" ht="13.8" hidden="1" x14ac:dyDescent="0.2">
      <c r="B17" s="248">
        <v>11</v>
      </c>
      <c r="C17" s="251" t="s">
        <v>5093</v>
      </c>
      <c r="D17" s="153" t="s">
        <v>5076</v>
      </c>
      <c r="E17" s="153" t="s">
        <v>5077</v>
      </c>
      <c r="F17" s="154" t="s">
        <v>5088</v>
      </c>
      <c r="G17" s="155">
        <v>44682</v>
      </c>
      <c r="H17" s="155">
        <v>44712</v>
      </c>
      <c r="I17" s="156">
        <v>1</v>
      </c>
      <c r="J17" s="156">
        <f t="shared" si="5"/>
        <v>1</v>
      </c>
      <c r="K17" s="156">
        <v>65</v>
      </c>
      <c r="L17" s="172">
        <v>1744861.92810306</v>
      </c>
      <c r="M17" s="167">
        <f t="shared" si="6"/>
        <v>1744861.92810306</v>
      </c>
      <c r="N17" s="167">
        <f t="shared" ref="N17" si="10">M17*$N$5</f>
        <v>261729.28921545899</v>
      </c>
      <c r="O17" s="173">
        <f t="shared" si="8"/>
        <v>1483132.638887601</v>
      </c>
      <c r="P17" s="157">
        <v>44682</v>
      </c>
    </row>
    <row r="18" spans="2:16" ht="13.8" hidden="1" x14ac:dyDescent="0.2">
      <c r="B18" s="249">
        <v>12</v>
      </c>
      <c r="C18" s="251" t="s">
        <v>5094</v>
      </c>
      <c r="D18" s="153" t="s">
        <v>5079</v>
      </c>
      <c r="E18" s="153" t="s">
        <v>5080</v>
      </c>
      <c r="F18" s="154" t="s">
        <v>5088</v>
      </c>
      <c r="G18" s="155">
        <v>44682</v>
      </c>
      <c r="H18" s="155">
        <v>44712</v>
      </c>
      <c r="I18" s="156">
        <v>1</v>
      </c>
      <c r="J18" s="156">
        <f t="shared" si="5"/>
        <v>1</v>
      </c>
      <c r="K18" s="156">
        <v>45</v>
      </c>
      <c r="L18" s="172">
        <v>1435883.78979314</v>
      </c>
      <c r="M18" s="167">
        <f t="shared" si="6"/>
        <v>1435883.78979314</v>
      </c>
      <c r="N18" s="167">
        <f t="shared" ref="N18" si="11">M18*$N$5</f>
        <v>215382.568468971</v>
      </c>
      <c r="O18" s="173">
        <f t="shared" si="8"/>
        <v>1220501.2213241691</v>
      </c>
      <c r="P18" s="157">
        <v>44682</v>
      </c>
    </row>
    <row r="19" spans="2:16" ht="13.8" hidden="1" x14ac:dyDescent="0.2">
      <c r="B19" s="248">
        <v>13</v>
      </c>
      <c r="C19" s="251" t="s">
        <v>5095</v>
      </c>
      <c r="D19" s="153" t="s">
        <v>5082</v>
      </c>
      <c r="E19" s="153" t="s">
        <v>5083</v>
      </c>
      <c r="F19" s="154" t="s">
        <v>5088</v>
      </c>
      <c r="G19" s="155">
        <v>44682</v>
      </c>
      <c r="H19" s="155">
        <v>44712</v>
      </c>
      <c r="I19" s="156">
        <v>1</v>
      </c>
      <c r="J19" s="156">
        <f t="shared" si="5"/>
        <v>1</v>
      </c>
      <c r="K19" s="156">
        <v>50</v>
      </c>
      <c r="L19" s="172">
        <v>1744861.92810306</v>
      </c>
      <c r="M19" s="167">
        <f>L19*J19</f>
        <v>1744861.92810306</v>
      </c>
      <c r="N19" s="167">
        <f t="shared" ref="N19" si="12">M19*$N$5</f>
        <v>261729.28921545899</v>
      </c>
      <c r="O19" s="173">
        <f t="shared" si="8"/>
        <v>1483132.638887601</v>
      </c>
      <c r="P19" s="157">
        <v>44682</v>
      </c>
    </row>
    <row r="20" spans="2:16" ht="13.8" hidden="1" x14ac:dyDescent="0.2">
      <c r="B20" s="249">
        <v>14</v>
      </c>
      <c r="C20" s="251" t="s">
        <v>5096</v>
      </c>
      <c r="D20" s="153" t="s">
        <v>5085</v>
      </c>
      <c r="E20" s="153" t="s">
        <v>5086</v>
      </c>
      <c r="F20" s="154" t="s">
        <v>5088</v>
      </c>
      <c r="G20" s="155">
        <v>44682</v>
      </c>
      <c r="H20" s="155">
        <v>44712</v>
      </c>
      <c r="I20" s="156">
        <v>1</v>
      </c>
      <c r="J20" s="156">
        <f t="shared" si="5"/>
        <v>1</v>
      </c>
      <c r="K20" s="156">
        <v>42</v>
      </c>
      <c r="L20" s="172">
        <v>1435883.78979314</v>
      </c>
      <c r="M20" s="167">
        <f t="shared" ref="M20" si="13">L20*J20</f>
        <v>1435883.78979314</v>
      </c>
      <c r="N20" s="167">
        <f t="shared" ref="N20" si="14">M20*$N$5</f>
        <v>215382.568468971</v>
      </c>
      <c r="O20" s="173">
        <f t="shared" si="8"/>
        <v>1220501.2213241691</v>
      </c>
      <c r="P20" s="157">
        <v>44682</v>
      </c>
    </row>
    <row r="21" spans="2:16" ht="14.4" hidden="1" x14ac:dyDescent="0.3">
      <c r="B21" s="248">
        <v>15</v>
      </c>
      <c r="C21" s="252" t="s">
        <v>5097</v>
      </c>
      <c r="D21" s="2" t="s">
        <v>5098</v>
      </c>
      <c r="E21" s="178" t="s">
        <v>5099</v>
      </c>
      <c r="F21" s="154" t="s">
        <v>5088</v>
      </c>
      <c r="G21" s="158">
        <v>44685</v>
      </c>
      <c r="H21" s="158">
        <v>44712</v>
      </c>
      <c r="I21" s="160">
        <f>((H21-G21)+1)/31</f>
        <v>0.90322580645161288</v>
      </c>
      <c r="J21" s="160">
        <f>ROUND(I21,2)</f>
        <v>0.9</v>
      </c>
      <c r="K21" s="160">
        <v>52</v>
      </c>
      <c r="L21" s="172">
        <v>1744861.92810306</v>
      </c>
      <c r="M21" s="7">
        <f>L21*J21</f>
        <v>1570375.7352927541</v>
      </c>
      <c r="N21" s="7">
        <f>M21*$N$5</f>
        <v>235556.36029391311</v>
      </c>
      <c r="O21" s="174">
        <f>M21-N21</f>
        <v>1334819.374998841</v>
      </c>
      <c r="P21" s="157">
        <v>44682</v>
      </c>
    </row>
    <row r="22" spans="2:16" ht="14.4" hidden="1" x14ac:dyDescent="0.3">
      <c r="B22" s="249">
        <v>16</v>
      </c>
      <c r="C22" s="252" t="s">
        <v>5100</v>
      </c>
      <c r="D22" s="2" t="s">
        <v>5101</v>
      </c>
      <c r="E22" s="2" t="s">
        <v>5102</v>
      </c>
      <c r="F22" s="154" t="s">
        <v>5088</v>
      </c>
      <c r="G22" s="158">
        <v>44685</v>
      </c>
      <c r="H22" s="158">
        <v>44712</v>
      </c>
      <c r="I22" s="160">
        <f t="shared" ref="I22:I30" si="15">((H22-G22)+1)/31</f>
        <v>0.90322580645161288</v>
      </c>
      <c r="J22" s="160">
        <f t="shared" ref="J22:J30" si="16">ROUND(I22,2)</f>
        <v>0.9</v>
      </c>
      <c r="K22" s="160">
        <v>63</v>
      </c>
      <c r="L22" s="172">
        <v>1744861.92810306</v>
      </c>
      <c r="M22" s="7">
        <f t="shared" ref="M22:M47" si="17">L22*J22</f>
        <v>1570375.7352927541</v>
      </c>
      <c r="N22" s="7">
        <f t="shared" ref="N22:N47" si="18">M22*$N$5</f>
        <v>235556.36029391311</v>
      </c>
      <c r="O22" s="174">
        <f t="shared" ref="O22:O47" si="19">M22-N22</f>
        <v>1334819.374998841</v>
      </c>
      <c r="P22" s="157">
        <v>44682</v>
      </c>
    </row>
    <row r="23" spans="2:16" ht="14.4" hidden="1" x14ac:dyDescent="0.3">
      <c r="B23" s="248">
        <v>17</v>
      </c>
      <c r="C23" s="252" t="s">
        <v>5103</v>
      </c>
      <c r="D23" s="2" t="s">
        <v>5104</v>
      </c>
      <c r="E23" s="2" t="s">
        <v>5105</v>
      </c>
      <c r="F23" s="154" t="s">
        <v>5088</v>
      </c>
      <c r="G23" s="158">
        <v>44685</v>
      </c>
      <c r="H23" s="158">
        <v>44712</v>
      </c>
      <c r="I23" s="160">
        <f t="shared" si="15"/>
        <v>0.90322580645161288</v>
      </c>
      <c r="J23" s="160">
        <f t="shared" si="16"/>
        <v>0.9</v>
      </c>
      <c r="K23" s="160">
        <v>50</v>
      </c>
      <c r="L23" s="172">
        <v>1744861.92810306</v>
      </c>
      <c r="M23" s="7">
        <f t="shared" si="17"/>
        <v>1570375.7352927541</v>
      </c>
      <c r="N23" s="7">
        <f t="shared" si="18"/>
        <v>235556.36029391311</v>
      </c>
      <c r="O23" s="174">
        <f t="shared" si="19"/>
        <v>1334819.374998841</v>
      </c>
      <c r="P23" s="157">
        <v>44682</v>
      </c>
    </row>
    <row r="24" spans="2:16" ht="14.4" hidden="1" x14ac:dyDescent="0.3">
      <c r="B24" s="249">
        <v>18</v>
      </c>
      <c r="C24" s="252" t="s">
        <v>5106</v>
      </c>
      <c r="D24" s="2" t="s">
        <v>5107</v>
      </c>
      <c r="E24" s="2" t="s">
        <v>5108</v>
      </c>
      <c r="F24" s="154" t="s">
        <v>5088</v>
      </c>
      <c r="G24" s="158">
        <v>44684</v>
      </c>
      <c r="H24" s="158">
        <v>44712</v>
      </c>
      <c r="I24" s="160">
        <f t="shared" si="15"/>
        <v>0.93548387096774188</v>
      </c>
      <c r="J24" s="160">
        <f t="shared" si="16"/>
        <v>0.94</v>
      </c>
      <c r="K24" s="160">
        <v>12</v>
      </c>
      <c r="L24" s="172">
        <v>895360.00011026103</v>
      </c>
      <c r="M24" s="7">
        <f t="shared" si="17"/>
        <v>841638.40010364528</v>
      </c>
      <c r="N24" s="7">
        <f t="shared" si="18"/>
        <v>126245.76001554678</v>
      </c>
      <c r="O24" s="174">
        <f t="shared" si="19"/>
        <v>715392.64008809847</v>
      </c>
      <c r="P24" s="157">
        <v>44682</v>
      </c>
    </row>
    <row r="25" spans="2:16" ht="14.4" hidden="1" x14ac:dyDescent="0.3">
      <c r="B25" s="248">
        <v>19</v>
      </c>
      <c r="C25" s="252" t="s">
        <v>5109</v>
      </c>
      <c r="D25" s="2" t="s">
        <v>5110</v>
      </c>
      <c r="E25" s="2" t="s">
        <v>5111</v>
      </c>
      <c r="F25" s="154" t="s">
        <v>5088</v>
      </c>
      <c r="G25" s="158">
        <v>44685</v>
      </c>
      <c r="H25" s="158">
        <v>44712</v>
      </c>
      <c r="I25" s="160">
        <f t="shared" si="15"/>
        <v>0.90322580645161288</v>
      </c>
      <c r="J25" s="160">
        <f t="shared" si="16"/>
        <v>0.9</v>
      </c>
      <c r="K25" s="160">
        <v>52</v>
      </c>
      <c r="L25" s="172">
        <v>1744861.92810306</v>
      </c>
      <c r="M25" s="7">
        <f t="shared" si="17"/>
        <v>1570375.7352927541</v>
      </c>
      <c r="N25" s="7">
        <f t="shared" si="18"/>
        <v>235556.36029391311</v>
      </c>
      <c r="O25" s="174">
        <f t="shared" si="19"/>
        <v>1334819.374998841</v>
      </c>
      <c r="P25" s="157">
        <v>44682</v>
      </c>
    </row>
    <row r="26" spans="2:16" ht="14.4" hidden="1" x14ac:dyDescent="0.3">
      <c r="B26" s="249">
        <v>20</v>
      </c>
      <c r="C26" s="252" t="s">
        <v>5112</v>
      </c>
      <c r="D26" s="2" t="s">
        <v>5113</v>
      </c>
      <c r="E26" s="2" t="s">
        <v>5114</v>
      </c>
      <c r="F26" s="154" t="s">
        <v>5088</v>
      </c>
      <c r="G26" s="158">
        <v>44684</v>
      </c>
      <c r="H26" s="158">
        <v>44712</v>
      </c>
      <c r="I26" s="160">
        <f t="shared" si="15"/>
        <v>0.93548387096774188</v>
      </c>
      <c r="J26" s="160">
        <f t="shared" si="16"/>
        <v>0.94</v>
      </c>
      <c r="K26" s="160">
        <v>6</v>
      </c>
      <c r="L26" s="172">
        <v>895360.00011026103</v>
      </c>
      <c r="M26" s="7">
        <f>L26*J26</f>
        <v>841638.40010364528</v>
      </c>
      <c r="N26" s="7">
        <f t="shared" si="18"/>
        <v>126245.76001554678</v>
      </c>
      <c r="O26" s="174">
        <f t="shared" si="19"/>
        <v>715392.64008809847</v>
      </c>
      <c r="P26" s="157">
        <v>44682</v>
      </c>
    </row>
    <row r="27" spans="2:16" ht="14.4" hidden="1" x14ac:dyDescent="0.3">
      <c r="B27" s="248">
        <v>21</v>
      </c>
      <c r="C27" s="252" t="s">
        <v>5115</v>
      </c>
      <c r="D27" s="2" t="s">
        <v>5116</v>
      </c>
      <c r="E27" s="2" t="s">
        <v>5117</v>
      </c>
      <c r="F27" s="154" t="s">
        <v>5088</v>
      </c>
      <c r="G27" s="158">
        <v>44684</v>
      </c>
      <c r="H27" s="158">
        <v>44712</v>
      </c>
      <c r="I27" s="160">
        <f t="shared" si="15"/>
        <v>0.93548387096774188</v>
      </c>
      <c r="J27" s="160">
        <f t="shared" si="16"/>
        <v>0.94</v>
      </c>
      <c r="K27" s="160">
        <v>22</v>
      </c>
      <c r="L27" s="172">
        <v>1215614.7069552301</v>
      </c>
      <c r="M27" s="7">
        <f t="shared" si="17"/>
        <v>1142677.8245379163</v>
      </c>
      <c r="N27" s="7">
        <f t="shared" si="18"/>
        <v>171401.67368068744</v>
      </c>
      <c r="O27" s="174">
        <f t="shared" si="19"/>
        <v>971276.1508572289</v>
      </c>
      <c r="P27" s="157">
        <v>44682</v>
      </c>
    </row>
    <row r="28" spans="2:16" ht="14.4" hidden="1" x14ac:dyDescent="0.3">
      <c r="B28" s="249">
        <v>22</v>
      </c>
      <c r="C28" s="252" t="s">
        <v>5118</v>
      </c>
      <c r="D28" s="2" t="s">
        <v>5119</v>
      </c>
      <c r="E28" s="2" t="s">
        <v>5120</v>
      </c>
      <c r="F28" s="154" t="s">
        <v>5088</v>
      </c>
      <c r="G28" s="158">
        <v>44685</v>
      </c>
      <c r="H28" s="158">
        <v>44712</v>
      </c>
      <c r="I28" s="160">
        <f t="shared" si="15"/>
        <v>0.90322580645161288</v>
      </c>
      <c r="J28" s="160">
        <f t="shared" si="16"/>
        <v>0.9</v>
      </c>
      <c r="K28" s="160">
        <v>55</v>
      </c>
      <c r="L28" s="172">
        <v>1744861.92810306</v>
      </c>
      <c r="M28" s="7">
        <f t="shared" si="17"/>
        <v>1570375.7352927541</v>
      </c>
      <c r="N28" s="7">
        <f t="shared" si="18"/>
        <v>235556.36029391311</v>
      </c>
      <c r="O28" s="174">
        <f t="shared" si="19"/>
        <v>1334819.374998841</v>
      </c>
      <c r="P28" s="157">
        <v>44682</v>
      </c>
    </row>
    <row r="29" spans="2:16" ht="14.4" hidden="1" x14ac:dyDescent="0.3">
      <c r="B29" s="248">
        <v>23</v>
      </c>
      <c r="C29" s="252" t="s">
        <v>5121</v>
      </c>
      <c r="D29" s="2" t="s">
        <v>5122</v>
      </c>
      <c r="E29" s="2" t="s">
        <v>5123</v>
      </c>
      <c r="F29" s="154" t="s">
        <v>5088</v>
      </c>
      <c r="G29" s="158">
        <v>44684</v>
      </c>
      <c r="H29" s="158">
        <v>44712</v>
      </c>
      <c r="I29" s="160">
        <f t="shared" si="15"/>
        <v>0.93548387096774188</v>
      </c>
      <c r="J29" s="160">
        <f t="shared" si="16"/>
        <v>0.94</v>
      </c>
      <c r="K29" s="160">
        <v>9</v>
      </c>
      <c r="L29" s="172">
        <v>895360.00011026103</v>
      </c>
      <c r="M29" s="7">
        <f t="shared" si="17"/>
        <v>841638.40010364528</v>
      </c>
      <c r="N29" s="7">
        <f t="shared" si="18"/>
        <v>126245.76001554678</v>
      </c>
      <c r="O29" s="174">
        <f t="shared" si="19"/>
        <v>715392.64008809847</v>
      </c>
      <c r="P29" s="157">
        <v>44682</v>
      </c>
    </row>
    <row r="30" spans="2:16" ht="14.4" hidden="1" x14ac:dyDescent="0.3">
      <c r="B30" s="249">
        <v>24</v>
      </c>
      <c r="C30" s="252" t="s">
        <v>5124</v>
      </c>
      <c r="D30" s="2" t="s">
        <v>5125</v>
      </c>
      <c r="E30" s="2" t="s">
        <v>5126</v>
      </c>
      <c r="F30" s="154" t="s">
        <v>5088</v>
      </c>
      <c r="G30" s="158">
        <v>44685</v>
      </c>
      <c r="H30" s="158">
        <v>44712</v>
      </c>
      <c r="I30" s="160">
        <f t="shared" si="15"/>
        <v>0.90322580645161288</v>
      </c>
      <c r="J30" s="160">
        <f t="shared" si="16"/>
        <v>0.9</v>
      </c>
      <c r="K30" s="160">
        <v>57</v>
      </c>
      <c r="L30" s="172">
        <v>1744861.92810306</v>
      </c>
      <c r="M30" s="7">
        <f t="shared" si="17"/>
        <v>1570375.7352927541</v>
      </c>
      <c r="N30" s="7">
        <f t="shared" si="18"/>
        <v>235556.36029391311</v>
      </c>
      <c r="O30" s="174">
        <f t="shared" si="19"/>
        <v>1334819.374998841</v>
      </c>
      <c r="P30" s="157">
        <v>44682</v>
      </c>
    </row>
    <row r="31" spans="2:16" ht="14.4" hidden="1" x14ac:dyDescent="0.3">
      <c r="B31" s="248">
        <v>25</v>
      </c>
      <c r="C31" s="253" t="s">
        <v>5128</v>
      </c>
      <c r="D31" s="153" t="s">
        <v>5067</v>
      </c>
      <c r="E31" s="153" t="s">
        <v>5068</v>
      </c>
      <c r="F31" s="154" t="s">
        <v>5088</v>
      </c>
      <c r="G31" s="158">
        <v>44713</v>
      </c>
      <c r="H31" s="158" t="s">
        <v>5127</v>
      </c>
      <c r="I31" s="153">
        <v>1</v>
      </c>
      <c r="J31" s="153">
        <v>1</v>
      </c>
      <c r="K31" s="153">
        <v>65</v>
      </c>
      <c r="L31" s="167">
        <v>1744861.92810306</v>
      </c>
      <c r="M31" s="7">
        <f t="shared" si="17"/>
        <v>1744861.92810306</v>
      </c>
      <c r="N31" s="7">
        <f t="shared" si="18"/>
        <v>261729.28921545899</v>
      </c>
      <c r="O31" s="174">
        <f t="shared" si="19"/>
        <v>1483132.638887601</v>
      </c>
      <c r="P31" s="157">
        <v>44713</v>
      </c>
    </row>
    <row r="32" spans="2:16" ht="14.4" hidden="1" x14ac:dyDescent="0.3">
      <c r="B32" s="249">
        <v>26</v>
      </c>
      <c r="C32" s="253" t="s">
        <v>5129</v>
      </c>
      <c r="D32" s="153" t="s">
        <v>5070</v>
      </c>
      <c r="E32" s="153" t="s">
        <v>5071</v>
      </c>
      <c r="F32" s="154" t="s">
        <v>5088</v>
      </c>
      <c r="G32" s="158">
        <v>44713</v>
      </c>
      <c r="H32" s="158" t="s">
        <v>5127</v>
      </c>
      <c r="I32" s="153">
        <v>1</v>
      </c>
      <c r="J32" s="153">
        <v>1</v>
      </c>
      <c r="K32" s="153">
        <v>60</v>
      </c>
      <c r="L32" s="167">
        <v>1744861.92810306</v>
      </c>
      <c r="M32" s="7">
        <f t="shared" si="17"/>
        <v>1744861.92810306</v>
      </c>
      <c r="N32" s="7">
        <f t="shared" si="18"/>
        <v>261729.28921545899</v>
      </c>
      <c r="O32" s="174">
        <f t="shared" si="19"/>
        <v>1483132.638887601</v>
      </c>
      <c r="P32" s="157">
        <v>44713</v>
      </c>
    </row>
    <row r="33" spans="2:16" ht="14.4" hidden="1" x14ac:dyDescent="0.3">
      <c r="B33" s="248">
        <v>27</v>
      </c>
      <c r="C33" s="253" t="s">
        <v>5130</v>
      </c>
      <c r="D33" s="153" t="s">
        <v>5073</v>
      </c>
      <c r="E33" s="153" t="s">
        <v>5074</v>
      </c>
      <c r="F33" s="154" t="s">
        <v>5088</v>
      </c>
      <c r="G33" s="158">
        <v>44713</v>
      </c>
      <c r="H33" s="158" t="s">
        <v>5127</v>
      </c>
      <c r="I33" s="153">
        <v>1</v>
      </c>
      <c r="J33" s="153">
        <v>1</v>
      </c>
      <c r="K33" s="153">
        <v>54</v>
      </c>
      <c r="L33" s="167">
        <v>1744861.92810306</v>
      </c>
      <c r="M33" s="7">
        <f t="shared" si="17"/>
        <v>1744861.92810306</v>
      </c>
      <c r="N33" s="7">
        <f t="shared" si="18"/>
        <v>261729.28921545899</v>
      </c>
      <c r="O33" s="174">
        <f t="shared" si="19"/>
        <v>1483132.638887601</v>
      </c>
      <c r="P33" s="157">
        <v>44713</v>
      </c>
    </row>
    <row r="34" spans="2:16" ht="14.4" hidden="1" x14ac:dyDescent="0.3">
      <c r="B34" s="249">
        <v>28</v>
      </c>
      <c r="C34" s="253" t="s">
        <v>5131</v>
      </c>
      <c r="D34" s="153" t="s">
        <v>5076</v>
      </c>
      <c r="E34" s="153" t="s">
        <v>5077</v>
      </c>
      <c r="F34" s="154" t="s">
        <v>5088</v>
      </c>
      <c r="G34" s="158">
        <v>44713</v>
      </c>
      <c r="H34" s="158" t="s">
        <v>5127</v>
      </c>
      <c r="I34" s="153">
        <v>1</v>
      </c>
      <c r="J34" s="153">
        <v>1</v>
      </c>
      <c r="K34" s="153">
        <v>65</v>
      </c>
      <c r="L34" s="167">
        <v>1744861.92810306</v>
      </c>
      <c r="M34" s="7">
        <f t="shared" si="17"/>
        <v>1744861.92810306</v>
      </c>
      <c r="N34" s="7">
        <f t="shared" si="18"/>
        <v>261729.28921545899</v>
      </c>
      <c r="O34" s="174">
        <f t="shared" si="19"/>
        <v>1483132.638887601</v>
      </c>
      <c r="P34" s="157">
        <v>44713</v>
      </c>
    </row>
    <row r="35" spans="2:16" ht="14.4" hidden="1" x14ac:dyDescent="0.3">
      <c r="B35" s="248">
        <v>29</v>
      </c>
      <c r="C35" s="253" t="s">
        <v>5132</v>
      </c>
      <c r="D35" s="153" t="s">
        <v>5079</v>
      </c>
      <c r="E35" s="153" t="s">
        <v>5080</v>
      </c>
      <c r="F35" s="154" t="s">
        <v>5088</v>
      </c>
      <c r="G35" s="158">
        <v>44713</v>
      </c>
      <c r="H35" s="158" t="s">
        <v>5127</v>
      </c>
      <c r="I35" s="153">
        <v>1</v>
      </c>
      <c r="J35" s="153">
        <v>1</v>
      </c>
      <c r="K35" s="153">
        <v>45</v>
      </c>
      <c r="L35" s="167">
        <v>1435883.78979314</v>
      </c>
      <c r="M35" s="7">
        <f t="shared" si="17"/>
        <v>1435883.78979314</v>
      </c>
      <c r="N35" s="7">
        <f t="shared" si="18"/>
        <v>215382.568468971</v>
      </c>
      <c r="O35" s="174">
        <f t="shared" si="19"/>
        <v>1220501.2213241691</v>
      </c>
      <c r="P35" s="157">
        <v>44713</v>
      </c>
    </row>
    <row r="36" spans="2:16" ht="14.4" hidden="1" x14ac:dyDescent="0.3">
      <c r="B36" s="249">
        <v>30</v>
      </c>
      <c r="C36" s="253" t="s">
        <v>5133</v>
      </c>
      <c r="D36" s="153" t="s">
        <v>5082</v>
      </c>
      <c r="E36" s="153" t="s">
        <v>5083</v>
      </c>
      <c r="F36" s="154" t="s">
        <v>5088</v>
      </c>
      <c r="G36" s="158">
        <v>44713</v>
      </c>
      <c r="H36" s="158" t="s">
        <v>5127</v>
      </c>
      <c r="I36" s="153">
        <v>1</v>
      </c>
      <c r="J36" s="153">
        <v>1</v>
      </c>
      <c r="K36" s="153">
        <v>50</v>
      </c>
      <c r="L36" s="167">
        <v>1744861.92810306</v>
      </c>
      <c r="M36" s="7">
        <f t="shared" si="17"/>
        <v>1744861.92810306</v>
      </c>
      <c r="N36" s="7">
        <f t="shared" si="18"/>
        <v>261729.28921545899</v>
      </c>
      <c r="O36" s="174">
        <f t="shared" si="19"/>
        <v>1483132.638887601</v>
      </c>
      <c r="P36" s="157">
        <v>44713</v>
      </c>
    </row>
    <row r="37" spans="2:16" ht="14.4" hidden="1" x14ac:dyDescent="0.3">
      <c r="B37" s="248">
        <v>31</v>
      </c>
      <c r="C37" s="253" t="s">
        <v>5134</v>
      </c>
      <c r="D37" s="153" t="s">
        <v>5085</v>
      </c>
      <c r="E37" s="153" t="s">
        <v>5086</v>
      </c>
      <c r="F37" s="154" t="s">
        <v>5088</v>
      </c>
      <c r="G37" s="158">
        <v>44713</v>
      </c>
      <c r="H37" s="158" t="s">
        <v>5127</v>
      </c>
      <c r="I37" s="153">
        <v>1</v>
      </c>
      <c r="J37" s="153">
        <v>1</v>
      </c>
      <c r="K37" s="153">
        <v>42</v>
      </c>
      <c r="L37" s="167">
        <v>1435883.78979314</v>
      </c>
      <c r="M37" s="7">
        <f t="shared" si="17"/>
        <v>1435883.78979314</v>
      </c>
      <c r="N37" s="7">
        <f t="shared" si="18"/>
        <v>215382.568468971</v>
      </c>
      <c r="O37" s="174">
        <f t="shared" si="19"/>
        <v>1220501.2213241691</v>
      </c>
      <c r="P37" s="157">
        <v>44713</v>
      </c>
    </row>
    <row r="38" spans="2:16" ht="14.4" hidden="1" x14ac:dyDescent="0.3">
      <c r="B38" s="249">
        <v>32</v>
      </c>
      <c r="C38" s="253" t="s">
        <v>5135</v>
      </c>
      <c r="D38" s="153" t="s">
        <v>5098</v>
      </c>
      <c r="E38" s="153" t="s">
        <v>5099</v>
      </c>
      <c r="F38" s="154" t="s">
        <v>5088</v>
      </c>
      <c r="G38" s="158">
        <v>44713</v>
      </c>
      <c r="H38" s="158" t="s">
        <v>5127</v>
      </c>
      <c r="I38" s="153">
        <v>1</v>
      </c>
      <c r="J38" s="153">
        <v>1</v>
      </c>
      <c r="K38" s="153">
        <v>52</v>
      </c>
      <c r="L38" s="167">
        <v>1744861.92810306</v>
      </c>
      <c r="M38" s="7">
        <f t="shared" si="17"/>
        <v>1744861.92810306</v>
      </c>
      <c r="N38" s="7">
        <f t="shared" si="18"/>
        <v>261729.28921545899</v>
      </c>
      <c r="O38" s="174">
        <f t="shared" si="19"/>
        <v>1483132.638887601</v>
      </c>
      <c r="P38" s="157">
        <v>44713</v>
      </c>
    </row>
    <row r="39" spans="2:16" ht="14.4" hidden="1" x14ac:dyDescent="0.3">
      <c r="B39" s="248">
        <v>33</v>
      </c>
      <c r="C39" s="253" t="s">
        <v>5136</v>
      </c>
      <c r="D39" s="153" t="s">
        <v>5101</v>
      </c>
      <c r="E39" s="153" t="s">
        <v>5102</v>
      </c>
      <c r="F39" s="154" t="s">
        <v>5088</v>
      </c>
      <c r="G39" s="158">
        <v>44713</v>
      </c>
      <c r="H39" s="158" t="s">
        <v>5127</v>
      </c>
      <c r="I39" s="153">
        <v>1</v>
      </c>
      <c r="J39" s="153">
        <v>1</v>
      </c>
      <c r="K39" s="153">
        <v>63</v>
      </c>
      <c r="L39" s="167">
        <v>1744861.92810306</v>
      </c>
      <c r="M39" s="7">
        <f t="shared" si="17"/>
        <v>1744861.92810306</v>
      </c>
      <c r="N39" s="7">
        <f t="shared" si="18"/>
        <v>261729.28921545899</v>
      </c>
      <c r="O39" s="174">
        <f t="shared" si="19"/>
        <v>1483132.638887601</v>
      </c>
      <c r="P39" s="157">
        <v>44713</v>
      </c>
    </row>
    <row r="40" spans="2:16" ht="14.4" hidden="1" x14ac:dyDescent="0.3">
      <c r="B40" s="249">
        <v>34</v>
      </c>
      <c r="C40" s="253" t="s">
        <v>5137</v>
      </c>
      <c r="D40" s="153" t="s">
        <v>5104</v>
      </c>
      <c r="E40" s="153" t="s">
        <v>5105</v>
      </c>
      <c r="F40" s="154" t="s">
        <v>5088</v>
      </c>
      <c r="G40" s="158">
        <v>44713</v>
      </c>
      <c r="H40" s="158" t="s">
        <v>5127</v>
      </c>
      <c r="I40" s="153">
        <v>1</v>
      </c>
      <c r="J40" s="153">
        <v>1</v>
      </c>
      <c r="K40" s="153">
        <v>50</v>
      </c>
      <c r="L40" s="167">
        <v>1744861.92810306</v>
      </c>
      <c r="M40" s="7">
        <f t="shared" si="17"/>
        <v>1744861.92810306</v>
      </c>
      <c r="N40" s="7">
        <f t="shared" si="18"/>
        <v>261729.28921545899</v>
      </c>
      <c r="O40" s="174">
        <f t="shared" si="19"/>
        <v>1483132.638887601</v>
      </c>
      <c r="P40" s="157">
        <v>44713</v>
      </c>
    </row>
    <row r="41" spans="2:16" ht="14.4" hidden="1" x14ac:dyDescent="0.3">
      <c r="B41" s="248">
        <v>35</v>
      </c>
      <c r="C41" s="253" t="s">
        <v>5138</v>
      </c>
      <c r="D41" s="153" t="s">
        <v>5107</v>
      </c>
      <c r="E41" s="153" t="s">
        <v>5108</v>
      </c>
      <c r="F41" s="154" t="s">
        <v>5088</v>
      </c>
      <c r="G41" s="158">
        <v>44713</v>
      </c>
      <c r="H41" s="158" t="s">
        <v>5127</v>
      </c>
      <c r="I41" s="153">
        <v>1</v>
      </c>
      <c r="J41" s="153">
        <v>1</v>
      </c>
      <c r="K41" s="153">
        <v>12</v>
      </c>
      <c r="L41" s="167">
        <v>895360.00011026103</v>
      </c>
      <c r="M41" s="7">
        <f t="shared" si="17"/>
        <v>895360.00011026103</v>
      </c>
      <c r="N41" s="7">
        <f t="shared" si="18"/>
        <v>134304.00001653915</v>
      </c>
      <c r="O41" s="174">
        <f t="shared" si="19"/>
        <v>761056.0000937219</v>
      </c>
      <c r="P41" s="157">
        <v>44713</v>
      </c>
    </row>
    <row r="42" spans="2:16" ht="14.4" hidden="1" x14ac:dyDescent="0.3">
      <c r="B42" s="249">
        <v>36</v>
      </c>
      <c r="C42" s="253" t="s">
        <v>5139</v>
      </c>
      <c r="D42" s="153" t="s">
        <v>5110</v>
      </c>
      <c r="E42" s="153" t="s">
        <v>5111</v>
      </c>
      <c r="F42" s="154" t="s">
        <v>5088</v>
      </c>
      <c r="G42" s="158">
        <v>44713</v>
      </c>
      <c r="H42" s="158" t="s">
        <v>5127</v>
      </c>
      <c r="I42" s="153">
        <v>1</v>
      </c>
      <c r="J42" s="153">
        <v>1</v>
      </c>
      <c r="K42" s="153">
        <v>52</v>
      </c>
      <c r="L42" s="167">
        <v>1744861.92810306</v>
      </c>
      <c r="M42" s="7">
        <f t="shared" si="17"/>
        <v>1744861.92810306</v>
      </c>
      <c r="N42" s="7">
        <f t="shared" si="18"/>
        <v>261729.28921545899</v>
      </c>
      <c r="O42" s="174">
        <f t="shared" si="19"/>
        <v>1483132.638887601</v>
      </c>
      <c r="P42" s="157">
        <v>44713</v>
      </c>
    </row>
    <row r="43" spans="2:16" ht="14.4" hidden="1" x14ac:dyDescent="0.3">
      <c r="B43" s="248">
        <v>37</v>
      </c>
      <c r="C43" s="253" t="s">
        <v>5140</v>
      </c>
      <c r="D43" s="153" t="s">
        <v>5113</v>
      </c>
      <c r="E43" s="153" t="s">
        <v>5114</v>
      </c>
      <c r="F43" s="154" t="s">
        <v>5088</v>
      </c>
      <c r="G43" s="158">
        <v>44713</v>
      </c>
      <c r="H43" s="158" t="s">
        <v>5127</v>
      </c>
      <c r="I43" s="153">
        <v>1</v>
      </c>
      <c r="J43" s="153">
        <v>1</v>
      </c>
      <c r="K43" s="153">
        <v>6</v>
      </c>
      <c r="L43" s="167">
        <v>895360.00011026103</v>
      </c>
      <c r="M43" s="7">
        <f t="shared" si="17"/>
        <v>895360.00011026103</v>
      </c>
      <c r="N43" s="7">
        <f t="shared" si="18"/>
        <v>134304.00001653915</v>
      </c>
      <c r="O43" s="174">
        <f t="shared" si="19"/>
        <v>761056.0000937219</v>
      </c>
      <c r="P43" s="157">
        <v>44713</v>
      </c>
    </row>
    <row r="44" spans="2:16" ht="14.4" hidden="1" x14ac:dyDescent="0.3">
      <c r="B44" s="249">
        <v>38</v>
      </c>
      <c r="C44" s="253" t="s">
        <v>5141</v>
      </c>
      <c r="D44" s="153" t="s">
        <v>5116</v>
      </c>
      <c r="E44" s="153" t="s">
        <v>5117</v>
      </c>
      <c r="F44" s="154" t="s">
        <v>5088</v>
      </c>
      <c r="G44" s="158">
        <v>44713</v>
      </c>
      <c r="H44" s="158" t="s">
        <v>5127</v>
      </c>
      <c r="I44" s="153">
        <v>1</v>
      </c>
      <c r="J44" s="153">
        <v>1</v>
      </c>
      <c r="K44" s="153">
        <v>22</v>
      </c>
      <c r="L44" s="167">
        <v>1215614.7069552301</v>
      </c>
      <c r="M44" s="7">
        <f t="shared" si="17"/>
        <v>1215614.7069552301</v>
      </c>
      <c r="N44" s="7">
        <f t="shared" si="18"/>
        <v>182342.2060432845</v>
      </c>
      <c r="O44" s="174">
        <f t="shared" si="19"/>
        <v>1033272.5009119456</v>
      </c>
      <c r="P44" s="157">
        <v>44713</v>
      </c>
    </row>
    <row r="45" spans="2:16" ht="14.4" hidden="1" x14ac:dyDescent="0.3">
      <c r="B45" s="248">
        <v>39</v>
      </c>
      <c r="C45" s="253" t="s">
        <v>5142</v>
      </c>
      <c r="D45" s="153" t="s">
        <v>5119</v>
      </c>
      <c r="E45" s="153" t="s">
        <v>5120</v>
      </c>
      <c r="F45" s="154" t="s">
        <v>5088</v>
      </c>
      <c r="G45" s="158">
        <v>44713</v>
      </c>
      <c r="H45" s="158" t="s">
        <v>5127</v>
      </c>
      <c r="I45" s="153">
        <v>1</v>
      </c>
      <c r="J45" s="153">
        <v>1</v>
      </c>
      <c r="K45" s="153">
        <v>55</v>
      </c>
      <c r="L45" s="167">
        <v>1744861.92810306</v>
      </c>
      <c r="M45" s="7">
        <f t="shared" si="17"/>
        <v>1744861.92810306</v>
      </c>
      <c r="N45" s="7">
        <f t="shared" si="18"/>
        <v>261729.28921545899</v>
      </c>
      <c r="O45" s="174">
        <f t="shared" si="19"/>
        <v>1483132.638887601</v>
      </c>
      <c r="P45" s="157">
        <v>44713</v>
      </c>
    </row>
    <row r="46" spans="2:16" ht="14.4" hidden="1" x14ac:dyDescent="0.3">
      <c r="B46" s="249">
        <v>40</v>
      </c>
      <c r="C46" s="253" t="s">
        <v>5143</v>
      </c>
      <c r="D46" s="153" t="s">
        <v>5122</v>
      </c>
      <c r="E46" s="153" t="s">
        <v>5123</v>
      </c>
      <c r="F46" s="154" t="s">
        <v>5088</v>
      </c>
      <c r="G46" s="158">
        <v>44713</v>
      </c>
      <c r="H46" s="158" t="s">
        <v>5127</v>
      </c>
      <c r="I46" s="153">
        <v>1</v>
      </c>
      <c r="J46" s="153">
        <v>1</v>
      </c>
      <c r="K46" s="153">
        <v>9</v>
      </c>
      <c r="L46" s="167">
        <v>895360.00011026103</v>
      </c>
      <c r="M46" s="7">
        <f t="shared" si="17"/>
        <v>895360.00011026103</v>
      </c>
      <c r="N46" s="7">
        <f t="shared" si="18"/>
        <v>134304.00001653915</v>
      </c>
      <c r="O46" s="174">
        <f t="shared" si="19"/>
        <v>761056.0000937219</v>
      </c>
      <c r="P46" s="157">
        <v>44713</v>
      </c>
    </row>
    <row r="47" spans="2:16" ht="14.4" hidden="1" x14ac:dyDescent="0.3">
      <c r="B47" s="248">
        <v>41</v>
      </c>
      <c r="C47" s="253" t="s">
        <v>5144</v>
      </c>
      <c r="D47" s="153" t="s">
        <v>5125</v>
      </c>
      <c r="E47" s="153" t="s">
        <v>5126</v>
      </c>
      <c r="F47" s="154" t="s">
        <v>5088</v>
      </c>
      <c r="G47" s="158">
        <v>44713</v>
      </c>
      <c r="H47" s="158" t="s">
        <v>5127</v>
      </c>
      <c r="I47" s="153">
        <v>1</v>
      </c>
      <c r="J47" s="153">
        <v>1</v>
      </c>
      <c r="K47" s="153">
        <v>57</v>
      </c>
      <c r="L47" s="167">
        <v>1744861.92810306</v>
      </c>
      <c r="M47" s="7">
        <f t="shared" si="17"/>
        <v>1744861.92810306</v>
      </c>
      <c r="N47" s="7">
        <f t="shared" si="18"/>
        <v>261729.28921545899</v>
      </c>
      <c r="O47" s="174">
        <f t="shared" si="19"/>
        <v>1483132.638887601</v>
      </c>
      <c r="P47" s="157">
        <v>44713</v>
      </c>
    </row>
    <row r="48" spans="2:16" ht="14.4" hidden="1" x14ac:dyDescent="0.3">
      <c r="B48" s="249">
        <v>42</v>
      </c>
      <c r="C48" s="253" t="s">
        <v>5145</v>
      </c>
      <c r="D48" s="153" t="s">
        <v>5067</v>
      </c>
      <c r="E48" s="153" t="s">
        <v>5068</v>
      </c>
      <c r="F48" s="154" t="s">
        <v>5088</v>
      </c>
      <c r="G48" s="158">
        <v>44743</v>
      </c>
      <c r="H48" s="158">
        <v>44773</v>
      </c>
      <c r="I48" s="153">
        <v>1</v>
      </c>
      <c r="J48" s="153">
        <v>1</v>
      </c>
      <c r="K48" s="153">
        <v>65</v>
      </c>
      <c r="L48" s="167">
        <v>1744861.92810306</v>
      </c>
      <c r="M48" s="7">
        <f t="shared" ref="M48:M98" si="20">L48*J48</f>
        <v>1744861.92810306</v>
      </c>
      <c r="N48" s="7">
        <f t="shared" ref="N48:N98" si="21">M48*$N$5</f>
        <v>261729.28921545899</v>
      </c>
      <c r="O48" s="174">
        <f t="shared" ref="O48:O98" si="22">M48-N48</f>
        <v>1483132.638887601</v>
      </c>
      <c r="P48" s="157">
        <v>44743</v>
      </c>
    </row>
    <row r="49" spans="2:16" ht="14.4" hidden="1" x14ac:dyDescent="0.3">
      <c r="B49" s="248">
        <v>43</v>
      </c>
      <c r="C49" s="253" t="s">
        <v>5146</v>
      </c>
      <c r="D49" s="153" t="s">
        <v>5070</v>
      </c>
      <c r="E49" s="153" t="s">
        <v>5071</v>
      </c>
      <c r="F49" s="154" t="s">
        <v>5088</v>
      </c>
      <c r="G49" s="158">
        <v>44743</v>
      </c>
      <c r="H49" s="158">
        <v>44773</v>
      </c>
      <c r="I49" s="153">
        <v>1</v>
      </c>
      <c r="J49" s="153">
        <v>1</v>
      </c>
      <c r="K49" s="153">
        <v>60</v>
      </c>
      <c r="L49" s="167">
        <v>1744861.92810306</v>
      </c>
      <c r="M49" s="7">
        <f t="shared" si="20"/>
        <v>1744861.92810306</v>
      </c>
      <c r="N49" s="7">
        <f t="shared" si="21"/>
        <v>261729.28921545899</v>
      </c>
      <c r="O49" s="174">
        <f t="shared" si="22"/>
        <v>1483132.638887601</v>
      </c>
      <c r="P49" s="157">
        <v>44743</v>
      </c>
    </row>
    <row r="50" spans="2:16" ht="14.4" hidden="1" x14ac:dyDescent="0.3">
      <c r="B50" s="249">
        <v>44</v>
      </c>
      <c r="C50" s="253" t="s">
        <v>5147</v>
      </c>
      <c r="D50" s="153" t="s">
        <v>5073</v>
      </c>
      <c r="E50" s="153" t="s">
        <v>5074</v>
      </c>
      <c r="F50" s="154" t="s">
        <v>5088</v>
      </c>
      <c r="G50" s="158">
        <v>44743</v>
      </c>
      <c r="H50" s="158">
        <v>44773</v>
      </c>
      <c r="I50" s="153">
        <v>1</v>
      </c>
      <c r="J50" s="153">
        <v>1</v>
      </c>
      <c r="K50" s="153">
        <v>54</v>
      </c>
      <c r="L50" s="167">
        <v>1744861.92810306</v>
      </c>
      <c r="M50" s="7">
        <f t="shared" si="20"/>
        <v>1744861.92810306</v>
      </c>
      <c r="N50" s="7">
        <f t="shared" si="21"/>
        <v>261729.28921545899</v>
      </c>
      <c r="O50" s="174">
        <f t="shared" si="22"/>
        <v>1483132.638887601</v>
      </c>
      <c r="P50" s="157">
        <v>44743</v>
      </c>
    </row>
    <row r="51" spans="2:16" ht="14.4" hidden="1" x14ac:dyDescent="0.3">
      <c r="B51" s="248">
        <v>45</v>
      </c>
      <c r="C51" s="253" t="s">
        <v>5148</v>
      </c>
      <c r="D51" s="153" t="s">
        <v>5076</v>
      </c>
      <c r="E51" s="153" t="s">
        <v>5077</v>
      </c>
      <c r="F51" s="154" t="s">
        <v>5088</v>
      </c>
      <c r="G51" s="158">
        <v>44743</v>
      </c>
      <c r="H51" s="158">
        <v>44773</v>
      </c>
      <c r="I51" s="153">
        <v>1</v>
      </c>
      <c r="J51" s="153">
        <v>1</v>
      </c>
      <c r="K51" s="153">
        <v>65</v>
      </c>
      <c r="L51" s="167">
        <v>1744861.92810306</v>
      </c>
      <c r="M51" s="7">
        <f t="shared" si="20"/>
        <v>1744861.92810306</v>
      </c>
      <c r="N51" s="7">
        <f t="shared" si="21"/>
        <v>261729.28921545899</v>
      </c>
      <c r="O51" s="174">
        <f t="shared" si="22"/>
        <v>1483132.638887601</v>
      </c>
      <c r="P51" s="157">
        <v>44743</v>
      </c>
    </row>
    <row r="52" spans="2:16" ht="14.4" hidden="1" x14ac:dyDescent="0.3">
      <c r="B52" s="249">
        <v>46</v>
      </c>
      <c r="C52" s="253" t="s">
        <v>5149</v>
      </c>
      <c r="D52" s="153" t="s">
        <v>5079</v>
      </c>
      <c r="E52" s="153" t="s">
        <v>5080</v>
      </c>
      <c r="F52" s="154" t="s">
        <v>5088</v>
      </c>
      <c r="G52" s="158">
        <v>44743</v>
      </c>
      <c r="H52" s="158">
        <v>44773</v>
      </c>
      <c r="I52" s="153">
        <v>1</v>
      </c>
      <c r="J52" s="153">
        <v>1</v>
      </c>
      <c r="K52" s="153">
        <v>45</v>
      </c>
      <c r="L52" s="167">
        <v>1435883.78979314</v>
      </c>
      <c r="M52" s="7">
        <f t="shared" si="20"/>
        <v>1435883.78979314</v>
      </c>
      <c r="N52" s="7">
        <f t="shared" si="21"/>
        <v>215382.568468971</v>
      </c>
      <c r="O52" s="174">
        <f t="shared" si="22"/>
        <v>1220501.2213241691</v>
      </c>
      <c r="P52" s="157">
        <v>44743</v>
      </c>
    </row>
    <row r="53" spans="2:16" ht="14.4" hidden="1" x14ac:dyDescent="0.3">
      <c r="B53" s="248">
        <v>47</v>
      </c>
      <c r="C53" s="253" t="s">
        <v>5150</v>
      </c>
      <c r="D53" s="153" t="s">
        <v>5082</v>
      </c>
      <c r="E53" s="153" t="s">
        <v>5083</v>
      </c>
      <c r="F53" s="154" t="s">
        <v>5088</v>
      </c>
      <c r="G53" s="158">
        <v>44743</v>
      </c>
      <c r="H53" s="158">
        <v>44773</v>
      </c>
      <c r="I53" s="153">
        <v>1</v>
      </c>
      <c r="J53" s="153">
        <v>1</v>
      </c>
      <c r="K53" s="153">
        <v>50</v>
      </c>
      <c r="L53" s="167">
        <v>1744861.92810306</v>
      </c>
      <c r="M53" s="7">
        <f t="shared" si="20"/>
        <v>1744861.92810306</v>
      </c>
      <c r="N53" s="7">
        <f t="shared" si="21"/>
        <v>261729.28921545899</v>
      </c>
      <c r="O53" s="174">
        <f t="shared" si="22"/>
        <v>1483132.638887601</v>
      </c>
      <c r="P53" s="157">
        <v>44743</v>
      </c>
    </row>
    <row r="54" spans="2:16" ht="14.4" hidden="1" x14ac:dyDescent="0.3">
      <c r="B54" s="249">
        <v>48</v>
      </c>
      <c r="C54" s="253" t="s">
        <v>5151</v>
      </c>
      <c r="D54" s="153" t="s">
        <v>5085</v>
      </c>
      <c r="E54" s="153" t="s">
        <v>5086</v>
      </c>
      <c r="F54" s="154" t="s">
        <v>5088</v>
      </c>
      <c r="G54" s="158">
        <v>44743</v>
      </c>
      <c r="H54" s="158">
        <v>44773</v>
      </c>
      <c r="I54" s="153">
        <v>1</v>
      </c>
      <c r="J54" s="153">
        <v>1</v>
      </c>
      <c r="K54" s="153">
        <v>42</v>
      </c>
      <c r="L54" s="167">
        <v>1435883.78979314</v>
      </c>
      <c r="M54" s="7">
        <f t="shared" si="20"/>
        <v>1435883.78979314</v>
      </c>
      <c r="N54" s="7">
        <f t="shared" si="21"/>
        <v>215382.568468971</v>
      </c>
      <c r="O54" s="174">
        <f t="shared" si="22"/>
        <v>1220501.2213241691</v>
      </c>
      <c r="P54" s="157">
        <v>44743</v>
      </c>
    </row>
    <row r="55" spans="2:16" ht="14.4" hidden="1" x14ac:dyDescent="0.3">
      <c r="B55" s="248">
        <v>49</v>
      </c>
      <c r="C55" s="253" t="s">
        <v>5152</v>
      </c>
      <c r="D55" s="153" t="s">
        <v>5098</v>
      </c>
      <c r="E55" s="153" t="s">
        <v>5099</v>
      </c>
      <c r="F55" s="154" t="s">
        <v>5088</v>
      </c>
      <c r="G55" s="158">
        <v>44743</v>
      </c>
      <c r="H55" s="158">
        <v>44773</v>
      </c>
      <c r="I55" s="153">
        <v>1</v>
      </c>
      <c r="J55" s="153">
        <v>1</v>
      </c>
      <c r="K55" s="153">
        <v>52</v>
      </c>
      <c r="L55" s="167">
        <v>1744861.92810306</v>
      </c>
      <c r="M55" s="7">
        <f t="shared" si="20"/>
        <v>1744861.92810306</v>
      </c>
      <c r="N55" s="7">
        <f t="shared" si="21"/>
        <v>261729.28921545899</v>
      </c>
      <c r="O55" s="174">
        <f t="shared" si="22"/>
        <v>1483132.638887601</v>
      </c>
      <c r="P55" s="157">
        <v>44743</v>
      </c>
    </row>
    <row r="56" spans="2:16" ht="14.4" hidden="1" x14ac:dyDescent="0.3">
      <c r="B56" s="249">
        <v>50</v>
      </c>
      <c r="C56" s="253" t="s">
        <v>5153</v>
      </c>
      <c r="D56" s="153" t="s">
        <v>5101</v>
      </c>
      <c r="E56" s="153" t="s">
        <v>5102</v>
      </c>
      <c r="F56" s="154" t="s">
        <v>5088</v>
      </c>
      <c r="G56" s="158">
        <v>44743</v>
      </c>
      <c r="H56" s="158">
        <v>44773</v>
      </c>
      <c r="I56" s="153">
        <v>1</v>
      </c>
      <c r="J56" s="153">
        <v>1</v>
      </c>
      <c r="K56" s="153">
        <v>63</v>
      </c>
      <c r="L56" s="167">
        <v>1744861.92810306</v>
      </c>
      <c r="M56" s="7">
        <f t="shared" si="20"/>
        <v>1744861.92810306</v>
      </c>
      <c r="N56" s="7">
        <f t="shared" si="21"/>
        <v>261729.28921545899</v>
      </c>
      <c r="O56" s="174">
        <f t="shared" si="22"/>
        <v>1483132.638887601</v>
      </c>
      <c r="P56" s="157">
        <v>44743</v>
      </c>
    </row>
    <row r="57" spans="2:16" ht="14.4" hidden="1" x14ac:dyDescent="0.3">
      <c r="B57" s="248">
        <v>51</v>
      </c>
      <c r="C57" s="253" t="s">
        <v>5154</v>
      </c>
      <c r="D57" s="153" t="s">
        <v>5104</v>
      </c>
      <c r="E57" s="153" t="s">
        <v>5105</v>
      </c>
      <c r="F57" s="154" t="s">
        <v>5088</v>
      </c>
      <c r="G57" s="158">
        <v>44743</v>
      </c>
      <c r="H57" s="158">
        <v>44773</v>
      </c>
      <c r="I57" s="153">
        <v>1</v>
      </c>
      <c r="J57" s="153">
        <v>1</v>
      </c>
      <c r="K57" s="153">
        <v>50</v>
      </c>
      <c r="L57" s="167">
        <v>1744861.92810306</v>
      </c>
      <c r="M57" s="7">
        <f t="shared" si="20"/>
        <v>1744861.92810306</v>
      </c>
      <c r="N57" s="7">
        <f t="shared" si="21"/>
        <v>261729.28921545899</v>
      </c>
      <c r="O57" s="174">
        <f t="shared" si="22"/>
        <v>1483132.638887601</v>
      </c>
      <c r="P57" s="157">
        <v>44743</v>
      </c>
    </row>
    <row r="58" spans="2:16" ht="14.4" hidden="1" x14ac:dyDescent="0.3">
      <c r="B58" s="249">
        <v>52</v>
      </c>
      <c r="C58" s="253" t="s">
        <v>5155</v>
      </c>
      <c r="D58" s="153" t="s">
        <v>5107</v>
      </c>
      <c r="E58" s="153" t="s">
        <v>5108</v>
      </c>
      <c r="F58" s="154" t="s">
        <v>5088</v>
      </c>
      <c r="G58" s="158">
        <v>44743</v>
      </c>
      <c r="H58" s="158">
        <v>44773</v>
      </c>
      <c r="I58" s="153">
        <v>1</v>
      </c>
      <c r="J58" s="153">
        <v>1</v>
      </c>
      <c r="K58" s="153">
        <v>12</v>
      </c>
      <c r="L58" s="167">
        <v>895360.00011026103</v>
      </c>
      <c r="M58" s="7">
        <f t="shared" si="20"/>
        <v>895360.00011026103</v>
      </c>
      <c r="N58" s="7">
        <f t="shared" si="21"/>
        <v>134304.00001653915</v>
      </c>
      <c r="O58" s="174">
        <f t="shared" si="22"/>
        <v>761056.0000937219</v>
      </c>
      <c r="P58" s="157">
        <v>44743</v>
      </c>
    </row>
    <row r="59" spans="2:16" ht="14.4" hidden="1" x14ac:dyDescent="0.3">
      <c r="B59" s="248">
        <v>53</v>
      </c>
      <c r="C59" s="253" t="s">
        <v>5156</v>
      </c>
      <c r="D59" s="153" t="s">
        <v>5110</v>
      </c>
      <c r="E59" s="153" t="s">
        <v>5111</v>
      </c>
      <c r="F59" s="154" t="s">
        <v>5088</v>
      </c>
      <c r="G59" s="158">
        <v>44743</v>
      </c>
      <c r="H59" s="158">
        <v>44773</v>
      </c>
      <c r="I59" s="153">
        <v>1</v>
      </c>
      <c r="J59" s="153">
        <v>1</v>
      </c>
      <c r="K59" s="153">
        <v>52</v>
      </c>
      <c r="L59" s="167">
        <v>1744861.92810306</v>
      </c>
      <c r="M59" s="7">
        <f t="shared" si="20"/>
        <v>1744861.92810306</v>
      </c>
      <c r="N59" s="7">
        <f t="shared" si="21"/>
        <v>261729.28921545899</v>
      </c>
      <c r="O59" s="174">
        <f t="shared" si="22"/>
        <v>1483132.638887601</v>
      </c>
      <c r="P59" s="157">
        <v>44743</v>
      </c>
    </row>
    <row r="60" spans="2:16" ht="14.4" hidden="1" x14ac:dyDescent="0.3">
      <c r="B60" s="249">
        <v>54</v>
      </c>
      <c r="C60" s="253" t="s">
        <v>5157</v>
      </c>
      <c r="D60" s="153" t="s">
        <v>5113</v>
      </c>
      <c r="E60" s="153" t="s">
        <v>5114</v>
      </c>
      <c r="F60" s="154" t="s">
        <v>5088</v>
      </c>
      <c r="G60" s="158">
        <v>44743</v>
      </c>
      <c r="H60" s="158">
        <v>44773</v>
      </c>
      <c r="I60" s="153">
        <v>1</v>
      </c>
      <c r="J60" s="153">
        <v>1</v>
      </c>
      <c r="K60" s="153">
        <v>6</v>
      </c>
      <c r="L60" s="167">
        <v>895360.00011026103</v>
      </c>
      <c r="M60" s="7">
        <f t="shared" si="20"/>
        <v>895360.00011026103</v>
      </c>
      <c r="N60" s="7">
        <f t="shared" si="21"/>
        <v>134304.00001653915</v>
      </c>
      <c r="O60" s="174">
        <f t="shared" si="22"/>
        <v>761056.0000937219</v>
      </c>
      <c r="P60" s="157">
        <v>44743</v>
      </c>
    </row>
    <row r="61" spans="2:16" ht="14.4" hidden="1" x14ac:dyDescent="0.3">
      <c r="B61" s="248">
        <v>55</v>
      </c>
      <c r="C61" s="253" t="s">
        <v>5158</v>
      </c>
      <c r="D61" s="153" t="s">
        <v>5116</v>
      </c>
      <c r="E61" s="153" t="s">
        <v>5117</v>
      </c>
      <c r="F61" s="154" t="s">
        <v>5088</v>
      </c>
      <c r="G61" s="158">
        <v>44743</v>
      </c>
      <c r="H61" s="158">
        <v>44773</v>
      </c>
      <c r="I61" s="153">
        <v>1</v>
      </c>
      <c r="J61" s="153">
        <v>1</v>
      </c>
      <c r="K61" s="153">
        <v>22</v>
      </c>
      <c r="L61" s="167">
        <v>1215614.7069552301</v>
      </c>
      <c r="M61" s="7">
        <f t="shared" si="20"/>
        <v>1215614.7069552301</v>
      </c>
      <c r="N61" s="7">
        <f t="shared" si="21"/>
        <v>182342.2060432845</v>
      </c>
      <c r="O61" s="174">
        <f t="shared" si="22"/>
        <v>1033272.5009119456</v>
      </c>
      <c r="P61" s="157">
        <v>44743</v>
      </c>
    </row>
    <row r="62" spans="2:16" ht="14.4" hidden="1" x14ac:dyDescent="0.3">
      <c r="B62" s="249">
        <v>56</v>
      </c>
      <c r="C62" s="253" t="s">
        <v>5159</v>
      </c>
      <c r="D62" s="153" t="s">
        <v>5119</v>
      </c>
      <c r="E62" s="153" t="s">
        <v>5120</v>
      </c>
      <c r="F62" s="154" t="s">
        <v>5088</v>
      </c>
      <c r="G62" s="158">
        <v>44743</v>
      </c>
      <c r="H62" s="158">
        <v>44773</v>
      </c>
      <c r="I62" s="153">
        <v>1</v>
      </c>
      <c r="J62" s="153">
        <v>1</v>
      </c>
      <c r="K62" s="153">
        <v>55</v>
      </c>
      <c r="L62" s="167">
        <v>1744861.92810306</v>
      </c>
      <c r="M62" s="7">
        <f t="shared" si="20"/>
        <v>1744861.92810306</v>
      </c>
      <c r="N62" s="7">
        <f t="shared" si="21"/>
        <v>261729.28921545899</v>
      </c>
      <c r="O62" s="174">
        <f t="shared" si="22"/>
        <v>1483132.638887601</v>
      </c>
      <c r="P62" s="157">
        <v>44743</v>
      </c>
    </row>
    <row r="63" spans="2:16" ht="14.4" hidden="1" x14ac:dyDescent="0.3">
      <c r="B63" s="248">
        <v>57</v>
      </c>
      <c r="C63" s="253" t="s">
        <v>5160</v>
      </c>
      <c r="D63" s="153" t="s">
        <v>5122</v>
      </c>
      <c r="E63" s="153" t="s">
        <v>5123</v>
      </c>
      <c r="F63" s="154" t="s">
        <v>5088</v>
      </c>
      <c r="G63" s="158">
        <v>44743</v>
      </c>
      <c r="H63" s="158">
        <v>44773</v>
      </c>
      <c r="I63" s="153">
        <v>1</v>
      </c>
      <c r="J63" s="153">
        <v>1</v>
      </c>
      <c r="K63" s="153">
        <v>9</v>
      </c>
      <c r="L63" s="167">
        <v>895360.00011026103</v>
      </c>
      <c r="M63" s="7">
        <f t="shared" si="20"/>
        <v>895360.00011026103</v>
      </c>
      <c r="N63" s="7">
        <f t="shared" si="21"/>
        <v>134304.00001653915</v>
      </c>
      <c r="O63" s="174">
        <f t="shared" si="22"/>
        <v>761056.0000937219</v>
      </c>
      <c r="P63" s="157">
        <v>44743</v>
      </c>
    </row>
    <row r="64" spans="2:16" ht="14.4" hidden="1" x14ac:dyDescent="0.3">
      <c r="B64" s="249">
        <v>58</v>
      </c>
      <c r="C64" s="253" t="s">
        <v>5161</v>
      </c>
      <c r="D64" s="153" t="s">
        <v>5125</v>
      </c>
      <c r="E64" s="153" t="s">
        <v>5126</v>
      </c>
      <c r="F64" s="154" t="s">
        <v>5088</v>
      </c>
      <c r="G64" s="158">
        <v>44743</v>
      </c>
      <c r="H64" s="158">
        <v>44773</v>
      </c>
      <c r="I64" s="153">
        <v>1</v>
      </c>
      <c r="J64" s="153">
        <v>1</v>
      </c>
      <c r="K64" s="153">
        <v>57</v>
      </c>
      <c r="L64" s="167">
        <v>1744861.92810306</v>
      </c>
      <c r="M64" s="7">
        <f t="shared" si="20"/>
        <v>1744861.92810306</v>
      </c>
      <c r="N64" s="7">
        <f t="shared" si="21"/>
        <v>261729.28921545899</v>
      </c>
      <c r="O64" s="174">
        <f t="shared" si="22"/>
        <v>1483132.638887601</v>
      </c>
      <c r="P64" s="157">
        <v>44743</v>
      </c>
    </row>
    <row r="65" spans="2:16" ht="14.4" hidden="1" x14ac:dyDescent="0.3">
      <c r="B65" s="248">
        <v>59</v>
      </c>
      <c r="C65" s="253" t="s">
        <v>5162</v>
      </c>
      <c r="D65" s="153" t="s">
        <v>5067</v>
      </c>
      <c r="E65" s="153" t="s">
        <v>5068</v>
      </c>
      <c r="F65" s="154" t="s">
        <v>5088</v>
      </c>
      <c r="G65" s="158">
        <v>44774</v>
      </c>
      <c r="H65" s="158">
        <v>44804</v>
      </c>
      <c r="I65" s="153">
        <v>1</v>
      </c>
      <c r="J65" s="153">
        <v>1</v>
      </c>
      <c r="K65" s="153">
        <v>65</v>
      </c>
      <c r="L65" s="167">
        <v>1744861.92810306</v>
      </c>
      <c r="M65" s="7">
        <f t="shared" si="20"/>
        <v>1744861.92810306</v>
      </c>
      <c r="N65" s="7">
        <f t="shared" si="21"/>
        <v>261729.28921545899</v>
      </c>
      <c r="O65" s="174">
        <f t="shared" si="22"/>
        <v>1483132.638887601</v>
      </c>
      <c r="P65" s="157">
        <v>44774</v>
      </c>
    </row>
    <row r="66" spans="2:16" ht="14.4" hidden="1" x14ac:dyDescent="0.3">
      <c r="B66" s="249">
        <v>60</v>
      </c>
      <c r="C66" s="253" t="s">
        <v>5163</v>
      </c>
      <c r="D66" s="153" t="s">
        <v>5070</v>
      </c>
      <c r="E66" s="153" t="s">
        <v>5071</v>
      </c>
      <c r="F66" s="154" t="s">
        <v>5088</v>
      </c>
      <c r="G66" s="158">
        <v>44774</v>
      </c>
      <c r="H66" s="158">
        <v>44804</v>
      </c>
      <c r="I66" s="153">
        <v>1</v>
      </c>
      <c r="J66" s="153">
        <v>1</v>
      </c>
      <c r="K66" s="153">
        <v>60</v>
      </c>
      <c r="L66" s="167">
        <v>1744861.92810306</v>
      </c>
      <c r="M66" s="7">
        <f t="shared" si="20"/>
        <v>1744861.92810306</v>
      </c>
      <c r="N66" s="7">
        <f t="shared" si="21"/>
        <v>261729.28921545899</v>
      </c>
      <c r="O66" s="174">
        <f t="shared" si="22"/>
        <v>1483132.638887601</v>
      </c>
      <c r="P66" s="157">
        <v>44774</v>
      </c>
    </row>
    <row r="67" spans="2:16" ht="14.4" hidden="1" x14ac:dyDescent="0.3">
      <c r="B67" s="248">
        <v>61</v>
      </c>
      <c r="C67" s="253" t="s">
        <v>5164</v>
      </c>
      <c r="D67" s="153" t="s">
        <v>5073</v>
      </c>
      <c r="E67" s="153" t="s">
        <v>5074</v>
      </c>
      <c r="F67" s="154" t="s">
        <v>5088</v>
      </c>
      <c r="G67" s="158">
        <v>44774</v>
      </c>
      <c r="H67" s="158">
        <v>44804</v>
      </c>
      <c r="I67" s="153">
        <v>1</v>
      </c>
      <c r="J67" s="153">
        <v>1</v>
      </c>
      <c r="K67" s="153">
        <v>54</v>
      </c>
      <c r="L67" s="167">
        <v>1744861.92810306</v>
      </c>
      <c r="M67" s="7">
        <f t="shared" si="20"/>
        <v>1744861.92810306</v>
      </c>
      <c r="N67" s="7">
        <f t="shared" si="21"/>
        <v>261729.28921545899</v>
      </c>
      <c r="O67" s="174">
        <f t="shared" si="22"/>
        <v>1483132.638887601</v>
      </c>
      <c r="P67" s="157">
        <v>44774</v>
      </c>
    </row>
    <row r="68" spans="2:16" ht="14.4" hidden="1" x14ac:dyDescent="0.3">
      <c r="B68" s="249">
        <v>62</v>
      </c>
      <c r="C68" s="253" t="s">
        <v>5165</v>
      </c>
      <c r="D68" s="153" t="s">
        <v>5076</v>
      </c>
      <c r="E68" s="153" t="s">
        <v>5077</v>
      </c>
      <c r="F68" s="154" t="s">
        <v>5088</v>
      </c>
      <c r="G68" s="158">
        <v>44774</v>
      </c>
      <c r="H68" s="158">
        <v>44804</v>
      </c>
      <c r="I68" s="153">
        <v>1</v>
      </c>
      <c r="J68" s="153">
        <v>1</v>
      </c>
      <c r="K68" s="153">
        <v>65</v>
      </c>
      <c r="L68" s="167">
        <v>1744861.92810306</v>
      </c>
      <c r="M68" s="7">
        <f t="shared" si="20"/>
        <v>1744861.92810306</v>
      </c>
      <c r="N68" s="7">
        <f t="shared" si="21"/>
        <v>261729.28921545899</v>
      </c>
      <c r="O68" s="174">
        <f t="shared" si="22"/>
        <v>1483132.638887601</v>
      </c>
      <c r="P68" s="157">
        <v>44774</v>
      </c>
    </row>
    <row r="69" spans="2:16" ht="14.4" hidden="1" x14ac:dyDescent="0.3">
      <c r="B69" s="248">
        <v>63</v>
      </c>
      <c r="C69" s="253" t="s">
        <v>5166</v>
      </c>
      <c r="D69" s="153" t="s">
        <v>5079</v>
      </c>
      <c r="E69" s="153" t="s">
        <v>5080</v>
      </c>
      <c r="F69" s="154" t="s">
        <v>5088</v>
      </c>
      <c r="G69" s="158">
        <v>44774</v>
      </c>
      <c r="H69" s="158">
        <v>44804</v>
      </c>
      <c r="I69" s="153">
        <v>1</v>
      </c>
      <c r="J69" s="153">
        <v>1</v>
      </c>
      <c r="K69" s="153">
        <v>45</v>
      </c>
      <c r="L69" s="167">
        <v>1435883.78979314</v>
      </c>
      <c r="M69" s="7">
        <f t="shared" si="20"/>
        <v>1435883.78979314</v>
      </c>
      <c r="N69" s="7">
        <f t="shared" si="21"/>
        <v>215382.568468971</v>
      </c>
      <c r="O69" s="174">
        <f t="shared" si="22"/>
        <v>1220501.2213241691</v>
      </c>
      <c r="P69" s="157">
        <v>44774</v>
      </c>
    </row>
    <row r="70" spans="2:16" ht="14.4" hidden="1" x14ac:dyDescent="0.3">
      <c r="B70" s="249">
        <v>64</v>
      </c>
      <c r="C70" s="253" t="s">
        <v>5167</v>
      </c>
      <c r="D70" s="153" t="s">
        <v>5082</v>
      </c>
      <c r="E70" s="153" t="s">
        <v>5083</v>
      </c>
      <c r="F70" s="154" t="s">
        <v>5088</v>
      </c>
      <c r="G70" s="158">
        <v>44774</v>
      </c>
      <c r="H70" s="158">
        <v>44804</v>
      </c>
      <c r="I70" s="153">
        <v>1</v>
      </c>
      <c r="J70" s="153">
        <v>1</v>
      </c>
      <c r="K70" s="153">
        <v>50</v>
      </c>
      <c r="L70" s="167">
        <v>1744861.92810306</v>
      </c>
      <c r="M70" s="7">
        <f t="shared" si="20"/>
        <v>1744861.92810306</v>
      </c>
      <c r="N70" s="7">
        <f t="shared" si="21"/>
        <v>261729.28921545899</v>
      </c>
      <c r="O70" s="174">
        <f t="shared" si="22"/>
        <v>1483132.638887601</v>
      </c>
      <c r="P70" s="157">
        <v>44774</v>
      </c>
    </row>
    <row r="71" spans="2:16" ht="14.4" hidden="1" x14ac:dyDescent="0.3">
      <c r="B71" s="248">
        <v>65</v>
      </c>
      <c r="C71" s="253" t="s">
        <v>5168</v>
      </c>
      <c r="D71" s="153" t="s">
        <v>5085</v>
      </c>
      <c r="E71" s="153" t="s">
        <v>5086</v>
      </c>
      <c r="F71" s="154" t="s">
        <v>5088</v>
      </c>
      <c r="G71" s="158">
        <v>44774</v>
      </c>
      <c r="H71" s="158">
        <v>44804</v>
      </c>
      <c r="I71" s="153">
        <v>1</v>
      </c>
      <c r="J71" s="153">
        <v>1</v>
      </c>
      <c r="K71" s="153">
        <v>42</v>
      </c>
      <c r="L71" s="167">
        <v>1435883.78979314</v>
      </c>
      <c r="M71" s="7">
        <f t="shared" si="20"/>
        <v>1435883.78979314</v>
      </c>
      <c r="N71" s="7">
        <f t="shared" si="21"/>
        <v>215382.568468971</v>
      </c>
      <c r="O71" s="174">
        <f t="shared" si="22"/>
        <v>1220501.2213241691</v>
      </c>
      <c r="P71" s="157">
        <v>44774</v>
      </c>
    </row>
    <row r="72" spans="2:16" ht="14.4" hidden="1" x14ac:dyDescent="0.3">
      <c r="B72" s="249">
        <v>66</v>
      </c>
      <c r="C72" s="253" t="s">
        <v>5169</v>
      </c>
      <c r="D72" s="153" t="s">
        <v>5098</v>
      </c>
      <c r="E72" s="153" t="s">
        <v>5099</v>
      </c>
      <c r="F72" s="154" t="s">
        <v>5088</v>
      </c>
      <c r="G72" s="158">
        <v>44774</v>
      </c>
      <c r="H72" s="158">
        <v>44804</v>
      </c>
      <c r="I72" s="153">
        <v>1</v>
      </c>
      <c r="J72" s="153">
        <v>1</v>
      </c>
      <c r="K72" s="153">
        <v>52</v>
      </c>
      <c r="L72" s="167">
        <v>1744861.92810306</v>
      </c>
      <c r="M72" s="7">
        <f t="shared" si="20"/>
        <v>1744861.92810306</v>
      </c>
      <c r="N72" s="7">
        <f t="shared" si="21"/>
        <v>261729.28921545899</v>
      </c>
      <c r="O72" s="174">
        <f t="shared" si="22"/>
        <v>1483132.638887601</v>
      </c>
      <c r="P72" s="157">
        <v>44774</v>
      </c>
    </row>
    <row r="73" spans="2:16" ht="14.4" hidden="1" x14ac:dyDescent="0.3">
      <c r="B73" s="248">
        <v>67</v>
      </c>
      <c r="C73" s="253" t="s">
        <v>5170</v>
      </c>
      <c r="D73" s="153" t="s">
        <v>5101</v>
      </c>
      <c r="E73" s="153" t="s">
        <v>5102</v>
      </c>
      <c r="F73" s="154" t="s">
        <v>5088</v>
      </c>
      <c r="G73" s="158">
        <v>44774</v>
      </c>
      <c r="H73" s="158">
        <v>44804</v>
      </c>
      <c r="I73" s="153">
        <v>1</v>
      </c>
      <c r="J73" s="153">
        <v>1</v>
      </c>
      <c r="K73" s="153">
        <v>63</v>
      </c>
      <c r="L73" s="167">
        <v>1744861.92810306</v>
      </c>
      <c r="M73" s="7">
        <f t="shared" si="20"/>
        <v>1744861.92810306</v>
      </c>
      <c r="N73" s="7">
        <f t="shared" si="21"/>
        <v>261729.28921545899</v>
      </c>
      <c r="O73" s="174">
        <f t="shared" si="22"/>
        <v>1483132.638887601</v>
      </c>
      <c r="P73" s="157">
        <v>44774</v>
      </c>
    </row>
    <row r="74" spans="2:16" ht="14.4" hidden="1" x14ac:dyDescent="0.3">
      <c r="B74" s="249">
        <v>68</v>
      </c>
      <c r="C74" s="253" t="s">
        <v>5171</v>
      </c>
      <c r="D74" s="153" t="s">
        <v>5104</v>
      </c>
      <c r="E74" s="153" t="s">
        <v>5105</v>
      </c>
      <c r="F74" s="154" t="s">
        <v>5088</v>
      </c>
      <c r="G74" s="158">
        <v>44774</v>
      </c>
      <c r="H74" s="158">
        <v>44804</v>
      </c>
      <c r="I74" s="153">
        <v>1</v>
      </c>
      <c r="J74" s="153">
        <v>1</v>
      </c>
      <c r="K74" s="153">
        <v>50</v>
      </c>
      <c r="L74" s="167">
        <v>1744861.92810306</v>
      </c>
      <c r="M74" s="7">
        <f t="shared" si="20"/>
        <v>1744861.92810306</v>
      </c>
      <c r="N74" s="7">
        <f t="shared" si="21"/>
        <v>261729.28921545899</v>
      </c>
      <c r="O74" s="174">
        <f t="shared" si="22"/>
        <v>1483132.638887601</v>
      </c>
      <c r="P74" s="157">
        <v>44774</v>
      </c>
    </row>
    <row r="75" spans="2:16" ht="14.4" hidden="1" x14ac:dyDescent="0.3">
      <c r="B75" s="248">
        <v>69</v>
      </c>
      <c r="C75" s="253" t="s">
        <v>5172</v>
      </c>
      <c r="D75" s="153" t="s">
        <v>5107</v>
      </c>
      <c r="E75" s="153" t="s">
        <v>5108</v>
      </c>
      <c r="F75" s="154" t="s">
        <v>5088</v>
      </c>
      <c r="G75" s="158">
        <v>44774</v>
      </c>
      <c r="H75" s="158">
        <v>44804</v>
      </c>
      <c r="I75" s="153">
        <v>1</v>
      </c>
      <c r="J75" s="153">
        <v>1</v>
      </c>
      <c r="K75" s="153">
        <v>12</v>
      </c>
      <c r="L75" s="167">
        <v>895360.00011026103</v>
      </c>
      <c r="M75" s="7">
        <f t="shared" si="20"/>
        <v>895360.00011026103</v>
      </c>
      <c r="N75" s="7">
        <f t="shared" si="21"/>
        <v>134304.00001653915</v>
      </c>
      <c r="O75" s="174">
        <f t="shared" si="22"/>
        <v>761056.0000937219</v>
      </c>
      <c r="P75" s="157">
        <v>44774</v>
      </c>
    </row>
    <row r="76" spans="2:16" ht="14.4" hidden="1" x14ac:dyDescent="0.3">
      <c r="B76" s="249">
        <v>70</v>
      </c>
      <c r="C76" s="253" t="s">
        <v>5173</v>
      </c>
      <c r="D76" s="153" t="s">
        <v>5110</v>
      </c>
      <c r="E76" s="153" t="s">
        <v>5111</v>
      </c>
      <c r="F76" s="154" t="s">
        <v>5088</v>
      </c>
      <c r="G76" s="158">
        <v>44774</v>
      </c>
      <c r="H76" s="158">
        <v>44804</v>
      </c>
      <c r="I76" s="153">
        <v>1</v>
      </c>
      <c r="J76" s="153">
        <v>1</v>
      </c>
      <c r="K76" s="153">
        <v>52</v>
      </c>
      <c r="L76" s="167">
        <v>1744861.92810306</v>
      </c>
      <c r="M76" s="7">
        <f t="shared" si="20"/>
        <v>1744861.92810306</v>
      </c>
      <c r="N76" s="7">
        <f t="shared" si="21"/>
        <v>261729.28921545899</v>
      </c>
      <c r="O76" s="174">
        <f t="shared" si="22"/>
        <v>1483132.638887601</v>
      </c>
      <c r="P76" s="157">
        <v>44774</v>
      </c>
    </row>
    <row r="77" spans="2:16" ht="14.4" hidden="1" x14ac:dyDescent="0.3">
      <c r="B77" s="248">
        <v>71</v>
      </c>
      <c r="C77" s="253" t="s">
        <v>5174</v>
      </c>
      <c r="D77" s="153" t="s">
        <v>5113</v>
      </c>
      <c r="E77" s="153" t="s">
        <v>5114</v>
      </c>
      <c r="F77" s="154" t="s">
        <v>5088</v>
      </c>
      <c r="G77" s="158">
        <v>44774</v>
      </c>
      <c r="H77" s="158">
        <v>44804</v>
      </c>
      <c r="I77" s="153">
        <v>1</v>
      </c>
      <c r="J77" s="153">
        <v>1</v>
      </c>
      <c r="K77" s="153">
        <v>6</v>
      </c>
      <c r="L77" s="167">
        <v>895360.00011026103</v>
      </c>
      <c r="M77" s="7">
        <f t="shared" si="20"/>
        <v>895360.00011026103</v>
      </c>
      <c r="N77" s="7">
        <f t="shared" si="21"/>
        <v>134304.00001653915</v>
      </c>
      <c r="O77" s="174">
        <f t="shared" si="22"/>
        <v>761056.0000937219</v>
      </c>
      <c r="P77" s="157">
        <v>44774</v>
      </c>
    </row>
    <row r="78" spans="2:16" ht="14.4" hidden="1" x14ac:dyDescent="0.3">
      <c r="B78" s="249">
        <v>72</v>
      </c>
      <c r="C78" s="253" t="s">
        <v>5175</v>
      </c>
      <c r="D78" s="153" t="s">
        <v>5116</v>
      </c>
      <c r="E78" s="153" t="s">
        <v>5117</v>
      </c>
      <c r="F78" s="154" t="s">
        <v>5088</v>
      </c>
      <c r="G78" s="158">
        <v>44774</v>
      </c>
      <c r="H78" s="158">
        <v>44804</v>
      </c>
      <c r="I78" s="153">
        <v>1</v>
      </c>
      <c r="J78" s="153">
        <v>1</v>
      </c>
      <c r="K78" s="153">
        <v>22</v>
      </c>
      <c r="L78" s="167">
        <v>1215614.7069552301</v>
      </c>
      <c r="M78" s="7">
        <f t="shared" si="20"/>
        <v>1215614.7069552301</v>
      </c>
      <c r="N78" s="7">
        <f t="shared" si="21"/>
        <v>182342.2060432845</v>
      </c>
      <c r="O78" s="174">
        <f t="shared" si="22"/>
        <v>1033272.5009119456</v>
      </c>
      <c r="P78" s="157">
        <v>44774</v>
      </c>
    </row>
    <row r="79" spans="2:16" ht="14.4" hidden="1" x14ac:dyDescent="0.3">
      <c r="B79" s="248">
        <v>73</v>
      </c>
      <c r="C79" s="253" t="s">
        <v>5176</v>
      </c>
      <c r="D79" s="153" t="s">
        <v>5119</v>
      </c>
      <c r="E79" s="153" t="s">
        <v>5120</v>
      </c>
      <c r="F79" s="154" t="s">
        <v>5088</v>
      </c>
      <c r="G79" s="158">
        <v>44774</v>
      </c>
      <c r="H79" s="158">
        <v>44804</v>
      </c>
      <c r="I79" s="153">
        <v>1</v>
      </c>
      <c r="J79" s="153">
        <v>1</v>
      </c>
      <c r="K79" s="153">
        <v>55</v>
      </c>
      <c r="L79" s="167">
        <v>1744861.92810306</v>
      </c>
      <c r="M79" s="7">
        <f t="shared" si="20"/>
        <v>1744861.92810306</v>
      </c>
      <c r="N79" s="7">
        <f t="shared" si="21"/>
        <v>261729.28921545899</v>
      </c>
      <c r="O79" s="174">
        <f t="shared" si="22"/>
        <v>1483132.638887601</v>
      </c>
      <c r="P79" s="157">
        <v>44774</v>
      </c>
    </row>
    <row r="80" spans="2:16" ht="14.4" hidden="1" x14ac:dyDescent="0.3">
      <c r="B80" s="249">
        <v>74</v>
      </c>
      <c r="C80" s="253" t="s">
        <v>5177</v>
      </c>
      <c r="D80" s="153" t="s">
        <v>5122</v>
      </c>
      <c r="E80" s="153" t="s">
        <v>5123</v>
      </c>
      <c r="F80" s="154" t="s">
        <v>5088</v>
      </c>
      <c r="G80" s="158">
        <v>44774</v>
      </c>
      <c r="H80" s="158">
        <v>44804</v>
      </c>
      <c r="I80" s="153">
        <v>1</v>
      </c>
      <c r="J80" s="153">
        <v>1</v>
      </c>
      <c r="K80" s="153">
        <v>9</v>
      </c>
      <c r="L80" s="167">
        <v>895360.00011026103</v>
      </c>
      <c r="M80" s="7">
        <f t="shared" si="20"/>
        <v>895360.00011026103</v>
      </c>
      <c r="N80" s="7">
        <f t="shared" si="21"/>
        <v>134304.00001653915</v>
      </c>
      <c r="O80" s="174">
        <f t="shared" si="22"/>
        <v>761056.0000937219</v>
      </c>
      <c r="P80" s="157">
        <v>44774</v>
      </c>
    </row>
    <row r="81" spans="2:16" ht="14.4" hidden="1" x14ac:dyDescent="0.3">
      <c r="B81" s="248">
        <v>75</v>
      </c>
      <c r="C81" s="253" t="s">
        <v>5178</v>
      </c>
      <c r="D81" s="153" t="s">
        <v>5125</v>
      </c>
      <c r="E81" s="153" t="s">
        <v>5126</v>
      </c>
      <c r="F81" s="154" t="s">
        <v>5088</v>
      </c>
      <c r="G81" s="158">
        <v>44774</v>
      </c>
      <c r="H81" s="158">
        <v>44804</v>
      </c>
      <c r="I81" s="153">
        <v>1</v>
      </c>
      <c r="J81" s="153">
        <v>1</v>
      </c>
      <c r="K81" s="153">
        <v>57</v>
      </c>
      <c r="L81" s="167">
        <v>1744861.92810306</v>
      </c>
      <c r="M81" s="7">
        <f t="shared" si="20"/>
        <v>1744861.92810306</v>
      </c>
      <c r="N81" s="7">
        <f t="shared" si="21"/>
        <v>261729.28921545899</v>
      </c>
      <c r="O81" s="174">
        <f t="shared" si="22"/>
        <v>1483132.638887601</v>
      </c>
      <c r="P81" s="157">
        <v>44774</v>
      </c>
    </row>
    <row r="82" spans="2:16" ht="14.4" hidden="1" x14ac:dyDescent="0.3">
      <c r="B82" s="249">
        <v>76</v>
      </c>
      <c r="C82" s="253" t="s">
        <v>5179</v>
      </c>
      <c r="D82" s="153" t="s">
        <v>5067</v>
      </c>
      <c r="E82" s="153" t="s">
        <v>5068</v>
      </c>
      <c r="F82" s="154" t="s">
        <v>5088</v>
      </c>
      <c r="G82" s="158">
        <v>44805</v>
      </c>
      <c r="H82" s="158" t="s">
        <v>5196</v>
      </c>
      <c r="I82" s="153">
        <v>1</v>
      </c>
      <c r="J82" s="153">
        <v>1</v>
      </c>
      <c r="K82" s="153">
        <v>65</v>
      </c>
      <c r="L82" s="167">
        <v>1744861.92810306</v>
      </c>
      <c r="M82" s="7">
        <f t="shared" si="20"/>
        <v>1744861.92810306</v>
      </c>
      <c r="N82" s="7">
        <f t="shared" si="21"/>
        <v>261729.28921545899</v>
      </c>
      <c r="O82" s="174">
        <f t="shared" si="22"/>
        <v>1483132.638887601</v>
      </c>
      <c r="P82" s="157">
        <v>44805</v>
      </c>
    </row>
    <row r="83" spans="2:16" ht="14.4" hidden="1" x14ac:dyDescent="0.3">
      <c r="B83" s="248">
        <v>77</v>
      </c>
      <c r="C83" s="253" t="s">
        <v>5180</v>
      </c>
      <c r="D83" s="153" t="s">
        <v>5070</v>
      </c>
      <c r="E83" s="153" t="s">
        <v>5071</v>
      </c>
      <c r="F83" s="154" t="s">
        <v>5088</v>
      </c>
      <c r="G83" s="158">
        <v>44805</v>
      </c>
      <c r="H83" s="158" t="s">
        <v>5196</v>
      </c>
      <c r="I83" s="153">
        <v>1</v>
      </c>
      <c r="J83" s="153">
        <v>1</v>
      </c>
      <c r="K83" s="153">
        <v>60</v>
      </c>
      <c r="L83" s="167">
        <v>1744861.92810306</v>
      </c>
      <c r="M83" s="7">
        <f t="shared" si="20"/>
        <v>1744861.92810306</v>
      </c>
      <c r="N83" s="7">
        <f t="shared" si="21"/>
        <v>261729.28921545899</v>
      </c>
      <c r="O83" s="174">
        <f t="shared" si="22"/>
        <v>1483132.638887601</v>
      </c>
      <c r="P83" s="157">
        <v>44805</v>
      </c>
    </row>
    <row r="84" spans="2:16" ht="14.4" hidden="1" x14ac:dyDescent="0.3">
      <c r="B84" s="249">
        <v>78</v>
      </c>
      <c r="C84" s="253" t="s">
        <v>5181</v>
      </c>
      <c r="D84" s="153" t="s">
        <v>5073</v>
      </c>
      <c r="E84" s="153" t="s">
        <v>5074</v>
      </c>
      <c r="F84" s="154" t="s">
        <v>5088</v>
      </c>
      <c r="G84" s="158">
        <v>44805</v>
      </c>
      <c r="H84" s="158" t="s">
        <v>5196</v>
      </c>
      <c r="I84" s="153">
        <v>1</v>
      </c>
      <c r="J84" s="153">
        <v>1</v>
      </c>
      <c r="K84" s="153">
        <v>54</v>
      </c>
      <c r="L84" s="167">
        <v>1744861.92810306</v>
      </c>
      <c r="M84" s="7">
        <f t="shared" si="20"/>
        <v>1744861.92810306</v>
      </c>
      <c r="N84" s="7">
        <f t="shared" si="21"/>
        <v>261729.28921545899</v>
      </c>
      <c r="O84" s="174">
        <f t="shared" si="22"/>
        <v>1483132.638887601</v>
      </c>
      <c r="P84" s="157">
        <v>44805</v>
      </c>
    </row>
    <row r="85" spans="2:16" ht="14.4" hidden="1" x14ac:dyDescent="0.3">
      <c r="B85" s="248">
        <v>79</v>
      </c>
      <c r="C85" s="253" t="s">
        <v>5182</v>
      </c>
      <c r="D85" s="153" t="s">
        <v>5076</v>
      </c>
      <c r="E85" s="153" t="s">
        <v>5077</v>
      </c>
      <c r="F85" s="154" t="s">
        <v>5088</v>
      </c>
      <c r="G85" s="158">
        <v>44805</v>
      </c>
      <c r="H85" s="158" t="s">
        <v>5196</v>
      </c>
      <c r="I85" s="153">
        <v>1</v>
      </c>
      <c r="J85" s="153">
        <v>1</v>
      </c>
      <c r="K85" s="153">
        <v>65</v>
      </c>
      <c r="L85" s="167">
        <v>1744861.92810306</v>
      </c>
      <c r="M85" s="7">
        <f t="shared" si="20"/>
        <v>1744861.92810306</v>
      </c>
      <c r="N85" s="7">
        <f t="shared" si="21"/>
        <v>261729.28921545899</v>
      </c>
      <c r="O85" s="174">
        <f t="shared" si="22"/>
        <v>1483132.638887601</v>
      </c>
      <c r="P85" s="157">
        <v>44805</v>
      </c>
    </row>
    <row r="86" spans="2:16" ht="14.4" hidden="1" x14ac:dyDescent="0.3">
      <c r="B86" s="249">
        <v>80</v>
      </c>
      <c r="C86" s="253" t="s">
        <v>5183</v>
      </c>
      <c r="D86" s="153" t="s">
        <v>5079</v>
      </c>
      <c r="E86" s="153" t="s">
        <v>5080</v>
      </c>
      <c r="F86" s="154" t="s">
        <v>5088</v>
      </c>
      <c r="G86" s="158">
        <v>44805</v>
      </c>
      <c r="H86" s="158" t="s">
        <v>5196</v>
      </c>
      <c r="I86" s="153">
        <v>1</v>
      </c>
      <c r="J86" s="153">
        <v>1</v>
      </c>
      <c r="K86" s="153">
        <v>45</v>
      </c>
      <c r="L86" s="167">
        <v>1435883.78979314</v>
      </c>
      <c r="M86" s="7">
        <f t="shared" si="20"/>
        <v>1435883.78979314</v>
      </c>
      <c r="N86" s="7">
        <f t="shared" si="21"/>
        <v>215382.568468971</v>
      </c>
      <c r="O86" s="174">
        <f t="shared" si="22"/>
        <v>1220501.2213241691</v>
      </c>
      <c r="P86" s="157">
        <v>44805</v>
      </c>
    </row>
    <row r="87" spans="2:16" ht="14.4" hidden="1" x14ac:dyDescent="0.3">
      <c r="B87" s="248">
        <v>81</v>
      </c>
      <c r="C87" s="253" t="s">
        <v>5184</v>
      </c>
      <c r="D87" s="153" t="s">
        <v>5082</v>
      </c>
      <c r="E87" s="153" t="s">
        <v>5083</v>
      </c>
      <c r="F87" s="154" t="s">
        <v>5088</v>
      </c>
      <c r="G87" s="158">
        <v>44805</v>
      </c>
      <c r="H87" s="158" t="s">
        <v>5196</v>
      </c>
      <c r="I87" s="153">
        <v>1</v>
      </c>
      <c r="J87" s="153">
        <v>1</v>
      </c>
      <c r="K87" s="153">
        <v>50</v>
      </c>
      <c r="L87" s="167">
        <v>1744861.92810306</v>
      </c>
      <c r="M87" s="7">
        <f t="shared" si="20"/>
        <v>1744861.92810306</v>
      </c>
      <c r="N87" s="7">
        <f t="shared" si="21"/>
        <v>261729.28921545899</v>
      </c>
      <c r="O87" s="174">
        <f t="shared" si="22"/>
        <v>1483132.638887601</v>
      </c>
      <c r="P87" s="157">
        <v>44805</v>
      </c>
    </row>
    <row r="88" spans="2:16" ht="14.4" hidden="1" x14ac:dyDescent="0.3">
      <c r="B88" s="249">
        <v>82</v>
      </c>
      <c r="C88" s="253" t="s">
        <v>5185</v>
      </c>
      <c r="D88" s="153" t="s">
        <v>5085</v>
      </c>
      <c r="E88" s="153" t="s">
        <v>5086</v>
      </c>
      <c r="F88" s="154" t="s">
        <v>5088</v>
      </c>
      <c r="G88" s="158">
        <v>44805</v>
      </c>
      <c r="H88" s="158" t="s">
        <v>5196</v>
      </c>
      <c r="I88" s="153">
        <v>1</v>
      </c>
      <c r="J88" s="153">
        <v>1</v>
      </c>
      <c r="K88" s="153">
        <v>42</v>
      </c>
      <c r="L88" s="167">
        <v>1435883.78979314</v>
      </c>
      <c r="M88" s="7">
        <f t="shared" si="20"/>
        <v>1435883.78979314</v>
      </c>
      <c r="N88" s="7">
        <f t="shared" si="21"/>
        <v>215382.568468971</v>
      </c>
      <c r="O88" s="174">
        <f t="shared" si="22"/>
        <v>1220501.2213241691</v>
      </c>
      <c r="P88" s="157">
        <v>44805</v>
      </c>
    </row>
    <row r="89" spans="2:16" ht="14.4" hidden="1" x14ac:dyDescent="0.3">
      <c r="B89" s="248">
        <v>83</v>
      </c>
      <c r="C89" s="253" t="s">
        <v>5186</v>
      </c>
      <c r="D89" s="153" t="s">
        <v>5098</v>
      </c>
      <c r="E89" s="153" t="s">
        <v>5099</v>
      </c>
      <c r="F89" s="154" t="s">
        <v>5088</v>
      </c>
      <c r="G89" s="158">
        <v>44805</v>
      </c>
      <c r="H89" s="158" t="s">
        <v>5196</v>
      </c>
      <c r="I89" s="153">
        <v>1</v>
      </c>
      <c r="J89" s="153">
        <v>1</v>
      </c>
      <c r="K89" s="153">
        <v>52</v>
      </c>
      <c r="L89" s="167">
        <v>1744861.92810306</v>
      </c>
      <c r="M89" s="7">
        <f t="shared" si="20"/>
        <v>1744861.92810306</v>
      </c>
      <c r="N89" s="7">
        <f t="shared" si="21"/>
        <v>261729.28921545899</v>
      </c>
      <c r="O89" s="174">
        <f t="shared" si="22"/>
        <v>1483132.638887601</v>
      </c>
      <c r="P89" s="157">
        <v>44805</v>
      </c>
    </row>
    <row r="90" spans="2:16" ht="14.4" hidden="1" x14ac:dyDescent="0.3">
      <c r="B90" s="249">
        <v>84</v>
      </c>
      <c r="C90" s="253" t="s">
        <v>5187</v>
      </c>
      <c r="D90" s="153" t="s">
        <v>5101</v>
      </c>
      <c r="E90" s="153" t="s">
        <v>5102</v>
      </c>
      <c r="F90" s="154" t="s">
        <v>5088</v>
      </c>
      <c r="G90" s="158">
        <v>44805</v>
      </c>
      <c r="H90" s="158" t="s">
        <v>5196</v>
      </c>
      <c r="I90" s="153">
        <v>1</v>
      </c>
      <c r="J90" s="153">
        <v>1</v>
      </c>
      <c r="K90" s="153">
        <v>63</v>
      </c>
      <c r="L90" s="167">
        <v>1744861.92810306</v>
      </c>
      <c r="M90" s="7">
        <f t="shared" si="20"/>
        <v>1744861.92810306</v>
      </c>
      <c r="N90" s="7">
        <f t="shared" si="21"/>
        <v>261729.28921545899</v>
      </c>
      <c r="O90" s="174">
        <f t="shared" si="22"/>
        <v>1483132.638887601</v>
      </c>
      <c r="P90" s="157">
        <v>44805</v>
      </c>
    </row>
    <row r="91" spans="2:16" ht="14.4" hidden="1" x14ac:dyDescent="0.3">
      <c r="B91" s="248">
        <v>85</v>
      </c>
      <c r="C91" s="253" t="s">
        <v>5188</v>
      </c>
      <c r="D91" s="153" t="s">
        <v>5104</v>
      </c>
      <c r="E91" s="153" t="s">
        <v>5105</v>
      </c>
      <c r="F91" s="154" t="s">
        <v>5088</v>
      </c>
      <c r="G91" s="158">
        <v>44805</v>
      </c>
      <c r="H91" s="158" t="s">
        <v>5196</v>
      </c>
      <c r="I91" s="153">
        <v>1</v>
      </c>
      <c r="J91" s="153">
        <v>1</v>
      </c>
      <c r="K91" s="153">
        <v>50</v>
      </c>
      <c r="L91" s="167">
        <v>1744861.92810306</v>
      </c>
      <c r="M91" s="7">
        <f t="shared" si="20"/>
        <v>1744861.92810306</v>
      </c>
      <c r="N91" s="7">
        <f t="shared" si="21"/>
        <v>261729.28921545899</v>
      </c>
      <c r="O91" s="174">
        <f t="shared" si="22"/>
        <v>1483132.638887601</v>
      </c>
      <c r="P91" s="157">
        <v>44805</v>
      </c>
    </row>
    <row r="92" spans="2:16" ht="14.4" hidden="1" x14ac:dyDescent="0.3">
      <c r="B92" s="249">
        <v>86</v>
      </c>
      <c r="C92" s="253" t="s">
        <v>5189</v>
      </c>
      <c r="D92" s="153" t="s">
        <v>5107</v>
      </c>
      <c r="E92" s="153" t="s">
        <v>5108</v>
      </c>
      <c r="F92" s="154" t="s">
        <v>5088</v>
      </c>
      <c r="G92" s="158">
        <v>44805</v>
      </c>
      <c r="H92" s="158" t="s">
        <v>5196</v>
      </c>
      <c r="I92" s="153">
        <v>1</v>
      </c>
      <c r="J92" s="153">
        <v>1</v>
      </c>
      <c r="K92" s="153">
        <v>12</v>
      </c>
      <c r="L92" s="167">
        <v>895360.00011026103</v>
      </c>
      <c r="M92" s="7">
        <f t="shared" si="20"/>
        <v>895360.00011026103</v>
      </c>
      <c r="N92" s="7">
        <f t="shared" si="21"/>
        <v>134304.00001653915</v>
      </c>
      <c r="O92" s="174">
        <f t="shared" si="22"/>
        <v>761056.0000937219</v>
      </c>
      <c r="P92" s="157">
        <v>44805</v>
      </c>
    </row>
    <row r="93" spans="2:16" ht="14.4" hidden="1" x14ac:dyDescent="0.3">
      <c r="B93" s="248">
        <v>87</v>
      </c>
      <c r="C93" s="253" t="s">
        <v>5190</v>
      </c>
      <c r="D93" s="153" t="s">
        <v>5110</v>
      </c>
      <c r="E93" s="153" t="s">
        <v>5111</v>
      </c>
      <c r="F93" s="154" t="s">
        <v>5088</v>
      </c>
      <c r="G93" s="158">
        <v>44805</v>
      </c>
      <c r="H93" s="158" t="s">
        <v>5196</v>
      </c>
      <c r="I93" s="153">
        <v>1</v>
      </c>
      <c r="J93" s="153">
        <v>1</v>
      </c>
      <c r="K93" s="153">
        <v>52</v>
      </c>
      <c r="L93" s="167">
        <v>1744861.92810306</v>
      </c>
      <c r="M93" s="7">
        <f t="shared" si="20"/>
        <v>1744861.92810306</v>
      </c>
      <c r="N93" s="7">
        <f t="shared" si="21"/>
        <v>261729.28921545899</v>
      </c>
      <c r="O93" s="174">
        <f t="shared" si="22"/>
        <v>1483132.638887601</v>
      </c>
      <c r="P93" s="157">
        <v>44805</v>
      </c>
    </row>
    <row r="94" spans="2:16" ht="14.4" hidden="1" x14ac:dyDescent="0.3">
      <c r="B94" s="249">
        <v>88</v>
      </c>
      <c r="C94" s="253" t="s">
        <v>5191</v>
      </c>
      <c r="D94" s="153" t="s">
        <v>5113</v>
      </c>
      <c r="E94" s="153" t="s">
        <v>5114</v>
      </c>
      <c r="F94" s="154" t="s">
        <v>5088</v>
      </c>
      <c r="G94" s="158">
        <v>44805</v>
      </c>
      <c r="H94" s="158" t="s">
        <v>5196</v>
      </c>
      <c r="I94" s="153">
        <v>1</v>
      </c>
      <c r="J94" s="153">
        <v>1</v>
      </c>
      <c r="K94" s="153">
        <v>6</v>
      </c>
      <c r="L94" s="167">
        <v>895360.00011026103</v>
      </c>
      <c r="M94" s="7">
        <f t="shared" si="20"/>
        <v>895360.00011026103</v>
      </c>
      <c r="N94" s="7">
        <f t="shared" si="21"/>
        <v>134304.00001653915</v>
      </c>
      <c r="O94" s="174">
        <f t="shared" si="22"/>
        <v>761056.0000937219</v>
      </c>
      <c r="P94" s="157">
        <v>44805</v>
      </c>
    </row>
    <row r="95" spans="2:16" ht="14.4" hidden="1" x14ac:dyDescent="0.3">
      <c r="B95" s="248">
        <v>89</v>
      </c>
      <c r="C95" s="253" t="s">
        <v>5192</v>
      </c>
      <c r="D95" s="153" t="s">
        <v>5116</v>
      </c>
      <c r="E95" s="153" t="s">
        <v>5117</v>
      </c>
      <c r="F95" s="154" t="s">
        <v>5088</v>
      </c>
      <c r="G95" s="158">
        <v>44805</v>
      </c>
      <c r="H95" s="158" t="s">
        <v>5196</v>
      </c>
      <c r="I95" s="153">
        <v>1</v>
      </c>
      <c r="J95" s="153">
        <v>1</v>
      </c>
      <c r="K95" s="153">
        <v>22</v>
      </c>
      <c r="L95" s="167">
        <v>1215614.7069552301</v>
      </c>
      <c r="M95" s="7">
        <f t="shared" si="20"/>
        <v>1215614.7069552301</v>
      </c>
      <c r="N95" s="7">
        <f t="shared" si="21"/>
        <v>182342.2060432845</v>
      </c>
      <c r="O95" s="174">
        <f t="shared" si="22"/>
        <v>1033272.5009119456</v>
      </c>
      <c r="P95" s="157">
        <v>44805</v>
      </c>
    </row>
    <row r="96" spans="2:16" ht="14.4" hidden="1" x14ac:dyDescent="0.3">
      <c r="B96" s="249">
        <v>90</v>
      </c>
      <c r="C96" s="253" t="s">
        <v>5193</v>
      </c>
      <c r="D96" s="153" t="s">
        <v>5119</v>
      </c>
      <c r="E96" s="153" t="s">
        <v>5120</v>
      </c>
      <c r="F96" s="154" t="s">
        <v>5088</v>
      </c>
      <c r="G96" s="158">
        <v>44805</v>
      </c>
      <c r="H96" s="158" t="s">
        <v>5196</v>
      </c>
      <c r="I96" s="153">
        <v>1</v>
      </c>
      <c r="J96" s="153">
        <v>1</v>
      </c>
      <c r="K96" s="153">
        <v>55</v>
      </c>
      <c r="L96" s="167">
        <v>1744861.92810306</v>
      </c>
      <c r="M96" s="7">
        <f t="shared" si="20"/>
        <v>1744861.92810306</v>
      </c>
      <c r="N96" s="7">
        <f t="shared" si="21"/>
        <v>261729.28921545899</v>
      </c>
      <c r="O96" s="174">
        <f t="shared" si="22"/>
        <v>1483132.638887601</v>
      </c>
      <c r="P96" s="157">
        <v>44805</v>
      </c>
    </row>
    <row r="97" spans="2:16" ht="14.4" hidden="1" x14ac:dyDescent="0.3">
      <c r="B97" s="248">
        <v>91</v>
      </c>
      <c r="C97" s="253" t="s">
        <v>5194</v>
      </c>
      <c r="D97" s="153" t="s">
        <v>5122</v>
      </c>
      <c r="E97" s="153" t="s">
        <v>5123</v>
      </c>
      <c r="F97" s="154" t="s">
        <v>5088</v>
      </c>
      <c r="G97" s="158">
        <v>44805</v>
      </c>
      <c r="H97" s="158" t="s">
        <v>5196</v>
      </c>
      <c r="I97" s="153">
        <v>1</v>
      </c>
      <c r="J97" s="153">
        <v>1</v>
      </c>
      <c r="K97" s="153">
        <v>9</v>
      </c>
      <c r="L97" s="167">
        <v>895360.00011026103</v>
      </c>
      <c r="M97" s="7">
        <f t="shared" si="20"/>
        <v>895360.00011026103</v>
      </c>
      <c r="N97" s="7">
        <f t="shared" si="21"/>
        <v>134304.00001653915</v>
      </c>
      <c r="O97" s="174">
        <f t="shared" si="22"/>
        <v>761056.0000937219</v>
      </c>
      <c r="P97" s="157">
        <v>44805</v>
      </c>
    </row>
    <row r="98" spans="2:16" ht="14.4" hidden="1" x14ac:dyDescent="0.3">
      <c r="B98" s="249">
        <v>92</v>
      </c>
      <c r="C98" s="253" t="s">
        <v>5195</v>
      </c>
      <c r="D98" s="153" t="s">
        <v>5125</v>
      </c>
      <c r="E98" s="153" t="s">
        <v>5126</v>
      </c>
      <c r="F98" s="154" t="s">
        <v>5088</v>
      </c>
      <c r="G98" s="158">
        <v>44805</v>
      </c>
      <c r="H98" s="158" t="s">
        <v>5196</v>
      </c>
      <c r="I98" s="153">
        <v>1</v>
      </c>
      <c r="J98" s="153">
        <v>1</v>
      </c>
      <c r="K98" s="153">
        <v>57</v>
      </c>
      <c r="L98" s="167">
        <v>1744861.92810306</v>
      </c>
      <c r="M98" s="7">
        <f t="shared" si="20"/>
        <v>1744861.92810306</v>
      </c>
      <c r="N98" s="7">
        <f t="shared" si="21"/>
        <v>261729.28921545899</v>
      </c>
      <c r="O98" s="174">
        <f t="shared" si="22"/>
        <v>1483132.638887601</v>
      </c>
      <c r="P98" s="157">
        <v>44805</v>
      </c>
    </row>
    <row r="99" spans="2:16" ht="14.4" hidden="1" x14ac:dyDescent="0.3">
      <c r="B99" s="248">
        <v>93</v>
      </c>
      <c r="C99" s="253" t="s">
        <v>5234</v>
      </c>
      <c r="D99" s="153" t="s">
        <v>5067</v>
      </c>
      <c r="E99" s="153" t="s">
        <v>5068</v>
      </c>
      <c r="F99" s="154" t="s">
        <v>5088</v>
      </c>
      <c r="G99" s="158">
        <v>44835</v>
      </c>
      <c r="H99" s="158">
        <v>44865</v>
      </c>
      <c r="I99" s="153">
        <v>1</v>
      </c>
      <c r="J99" s="153">
        <v>1</v>
      </c>
      <c r="K99" s="153">
        <v>65</v>
      </c>
      <c r="L99" s="167">
        <v>1744861.92810306</v>
      </c>
      <c r="M99" s="7">
        <f t="shared" ref="M99:M151" si="23">L99*J99</f>
        <v>1744861.92810306</v>
      </c>
      <c r="N99" s="7">
        <f t="shared" ref="N99:N151" si="24">M99*$N$5</f>
        <v>261729.28921545899</v>
      </c>
      <c r="O99" s="174">
        <f t="shared" ref="O99:O151" si="25">M99-N99</f>
        <v>1483132.638887601</v>
      </c>
      <c r="P99" s="157">
        <v>44835</v>
      </c>
    </row>
    <row r="100" spans="2:16" ht="14.4" hidden="1" x14ac:dyDescent="0.3">
      <c r="B100" s="249">
        <v>94</v>
      </c>
      <c r="C100" s="253" t="s">
        <v>5235</v>
      </c>
      <c r="D100" s="153" t="s">
        <v>5070</v>
      </c>
      <c r="E100" s="153" t="s">
        <v>5071</v>
      </c>
      <c r="F100" s="154" t="s">
        <v>5088</v>
      </c>
      <c r="G100" s="158">
        <v>44835</v>
      </c>
      <c r="H100" s="158">
        <v>44865</v>
      </c>
      <c r="I100" s="153">
        <v>1</v>
      </c>
      <c r="J100" s="153">
        <v>1</v>
      </c>
      <c r="K100" s="153">
        <v>60</v>
      </c>
      <c r="L100" s="167">
        <v>1744861.92810306</v>
      </c>
      <c r="M100" s="7">
        <f t="shared" si="23"/>
        <v>1744861.92810306</v>
      </c>
      <c r="N100" s="7">
        <f t="shared" si="24"/>
        <v>261729.28921545899</v>
      </c>
      <c r="O100" s="174">
        <f t="shared" si="25"/>
        <v>1483132.638887601</v>
      </c>
      <c r="P100" s="157">
        <v>44835</v>
      </c>
    </row>
    <row r="101" spans="2:16" ht="14.4" hidden="1" x14ac:dyDescent="0.3">
      <c r="B101" s="248">
        <v>95</v>
      </c>
      <c r="C101" s="253" t="s">
        <v>5236</v>
      </c>
      <c r="D101" s="153" t="s">
        <v>5073</v>
      </c>
      <c r="E101" s="153" t="s">
        <v>5074</v>
      </c>
      <c r="F101" s="154" t="s">
        <v>5088</v>
      </c>
      <c r="G101" s="158">
        <v>44835</v>
      </c>
      <c r="H101" s="158">
        <v>44865</v>
      </c>
      <c r="I101" s="153">
        <v>1</v>
      </c>
      <c r="J101" s="153">
        <v>1</v>
      </c>
      <c r="K101" s="153">
        <v>54</v>
      </c>
      <c r="L101" s="167">
        <v>1744861.92810306</v>
      </c>
      <c r="M101" s="7">
        <f t="shared" si="23"/>
        <v>1744861.92810306</v>
      </c>
      <c r="N101" s="7">
        <f t="shared" si="24"/>
        <v>261729.28921545899</v>
      </c>
      <c r="O101" s="174">
        <f t="shared" si="25"/>
        <v>1483132.638887601</v>
      </c>
      <c r="P101" s="157">
        <v>44835</v>
      </c>
    </row>
    <row r="102" spans="2:16" ht="14.4" hidden="1" x14ac:dyDescent="0.3">
      <c r="B102" s="249">
        <v>96</v>
      </c>
      <c r="C102" s="253" t="s">
        <v>5237</v>
      </c>
      <c r="D102" s="153" t="s">
        <v>5076</v>
      </c>
      <c r="E102" s="153" t="s">
        <v>5077</v>
      </c>
      <c r="F102" s="154" t="s">
        <v>5088</v>
      </c>
      <c r="G102" s="158">
        <v>44835</v>
      </c>
      <c r="H102" s="158">
        <v>44865</v>
      </c>
      <c r="I102" s="153">
        <v>1</v>
      </c>
      <c r="J102" s="153">
        <v>1</v>
      </c>
      <c r="K102" s="153">
        <v>65</v>
      </c>
      <c r="L102" s="167">
        <v>1744861.92810306</v>
      </c>
      <c r="M102" s="7">
        <f t="shared" si="23"/>
        <v>1744861.92810306</v>
      </c>
      <c r="N102" s="7">
        <f t="shared" si="24"/>
        <v>261729.28921545899</v>
      </c>
      <c r="O102" s="174">
        <f t="shared" si="25"/>
        <v>1483132.638887601</v>
      </c>
      <c r="P102" s="157">
        <v>44835</v>
      </c>
    </row>
    <row r="103" spans="2:16" ht="14.4" hidden="1" x14ac:dyDescent="0.3">
      <c r="B103" s="248">
        <v>97</v>
      </c>
      <c r="C103" s="253" t="s">
        <v>5238</v>
      </c>
      <c r="D103" s="153" t="s">
        <v>5079</v>
      </c>
      <c r="E103" s="153" t="s">
        <v>5080</v>
      </c>
      <c r="F103" s="154" t="s">
        <v>5088</v>
      </c>
      <c r="G103" s="158">
        <v>44835</v>
      </c>
      <c r="H103" s="158">
        <v>44865</v>
      </c>
      <c r="I103" s="153">
        <v>1</v>
      </c>
      <c r="J103" s="153">
        <v>1</v>
      </c>
      <c r="K103" s="153">
        <v>45</v>
      </c>
      <c r="L103" s="167">
        <v>1435883.78979314</v>
      </c>
      <c r="M103" s="7">
        <f t="shared" si="23"/>
        <v>1435883.78979314</v>
      </c>
      <c r="N103" s="7">
        <f t="shared" si="24"/>
        <v>215382.568468971</v>
      </c>
      <c r="O103" s="174">
        <f t="shared" si="25"/>
        <v>1220501.2213241691</v>
      </c>
      <c r="P103" s="157">
        <v>44835</v>
      </c>
    </row>
    <row r="104" spans="2:16" ht="14.4" hidden="1" x14ac:dyDescent="0.3">
      <c r="B104" s="249">
        <v>98</v>
      </c>
      <c r="C104" s="253" t="s">
        <v>5239</v>
      </c>
      <c r="D104" s="153" t="s">
        <v>5082</v>
      </c>
      <c r="E104" s="153" t="s">
        <v>5083</v>
      </c>
      <c r="F104" s="154" t="s">
        <v>5088</v>
      </c>
      <c r="G104" s="158">
        <v>44835</v>
      </c>
      <c r="H104" s="158">
        <v>44865</v>
      </c>
      <c r="I104" s="153">
        <v>1</v>
      </c>
      <c r="J104" s="153">
        <v>1</v>
      </c>
      <c r="K104" s="153">
        <v>50</v>
      </c>
      <c r="L104" s="167">
        <v>1744861.92810306</v>
      </c>
      <c r="M104" s="7">
        <f t="shared" si="23"/>
        <v>1744861.92810306</v>
      </c>
      <c r="N104" s="7">
        <f t="shared" si="24"/>
        <v>261729.28921545899</v>
      </c>
      <c r="O104" s="174">
        <f t="shared" si="25"/>
        <v>1483132.638887601</v>
      </c>
      <c r="P104" s="157">
        <v>44835</v>
      </c>
    </row>
    <row r="105" spans="2:16" ht="14.4" hidden="1" x14ac:dyDescent="0.3">
      <c r="B105" s="248">
        <v>99</v>
      </c>
      <c r="C105" s="253" t="s">
        <v>5240</v>
      </c>
      <c r="D105" s="153" t="s">
        <v>5085</v>
      </c>
      <c r="E105" s="153" t="s">
        <v>5086</v>
      </c>
      <c r="F105" s="154" t="s">
        <v>5088</v>
      </c>
      <c r="G105" s="158">
        <v>44835</v>
      </c>
      <c r="H105" s="158">
        <v>44865</v>
      </c>
      <c r="I105" s="153">
        <v>1</v>
      </c>
      <c r="J105" s="153">
        <v>1</v>
      </c>
      <c r="K105" s="153">
        <v>42</v>
      </c>
      <c r="L105" s="167">
        <v>1435883.78979314</v>
      </c>
      <c r="M105" s="7">
        <f t="shared" si="23"/>
        <v>1435883.78979314</v>
      </c>
      <c r="N105" s="7">
        <f t="shared" si="24"/>
        <v>215382.568468971</v>
      </c>
      <c r="O105" s="174">
        <f t="shared" si="25"/>
        <v>1220501.2213241691</v>
      </c>
      <c r="P105" s="157">
        <v>44835</v>
      </c>
    </row>
    <row r="106" spans="2:16" ht="14.4" hidden="1" x14ac:dyDescent="0.3">
      <c r="B106" s="249">
        <v>100</v>
      </c>
      <c r="C106" s="253" t="s">
        <v>5241</v>
      </c>
      <c r="D106" s="153" t="s">
        <v>5098</v>
      </c>
      <c r="E106" s="153" t="s">
        <v>5099</v>
      </c>
      <c r="F106" s="154" t="s">
        <v>5088</v>
      </c>
      <c r="G106" s="158">
        <v>44835</v>
      </c>
      <c r="H106" s="158">
        <v>44865</v>
      </c>
      <c r="I106" s="153">
        <v>1</v>
      </c>
      <c r="J106" s="153">
        <v>1</v>
      </c>
      <c r="K106" s="153">
        <v>52</v>
      </c>
      <c r="L106" s="167">
        <v>1744861.92810306</v>
      </c>
      <c r="M106" s="7">
        <f t="shared" si="23"/>
        <v>1744861.92810306</v>
      </c>
      <c r="N106" s="7">
        <f t="shared" si="24"/>
        <v>261729.28921545899</v>
      </c>
      <c r="O106" s="174">
        <f t="shared" si="25"/>
        <v>1483132.638887601</v>
      </c>
      <c r="P106" s="157">
        <v>44835</v>
      </c>
    </row>
    <row r="107" spans="2:16" ht="14.4" hidden="1" x14ac:dyDescent="0.3">
      <c r="B107" s="248">
        <v>101</v>
      </c>
      <c r="C107" s="253" t="s">
        <v>5242</v>
      </c>
      <c r="D107" s="153" t="s">
        <v>5101</v>
      </c>
      <c r="E107" s="153" t="s">
        <v>5102</v>
      </c>
      <c r="F107" s="154" t="s">
        <v>5088</v>
      </c>
      <c r="G107" s="158">
        <v>44835</v>
      </c>
      <c r="H107" s="158">
        <v>44865</v>
      </c>
      <c r="I107" s="153">
        <v>1</v>
      </c>
      <c r="J107" s="153">
        <v>1</v>
      </c>
      <c r="K107" s="153">
        <v>63</v>
      </c>
      <c r="L107" s="167">
        <v>1744861.92810306</v>
      </c>
      <c r="M107" s="7">
        <f t="shared" si="23"/>
        <v>1744861.92810306</v>
      </c>
      <c r="N107" s="7">
        <f t="shared" si="24"/>
        <v>261729.28921545899</v>
      </c>
      <c r="O107" s="174">
        <f t="shared" si="25"/>
        <v>1483132.638887601</v>
      </c>
      <c r="P107" s="157">
        <v>44835</v>
      </c>
    </row>
    <row r="108" spans="2:16" ht="14.4" hidden="1" x14ac:dyDescent="0.3">
      <c r="B108" s="249">
        <v>102</v>
      </c>
      <c r="C108" s="253" t="s">
        <v>5243</v>
      </c>
      <c r="D108" s="153" t="s">
        <v>5104</v>
      </c>
      <c r="E108" s="153" t="s">
        <v>5105</v>
      </c>
      <c r="F108" s="154" t="s">
        <v>5088</v>
      </c>
      <c r="G108" s="158">
        <v>44835</v>
      </c>
      <c r="H108" s="158">
        <v>44865</v>
      </c>
      <c r="I108" s="153">
        <v>1</v>
      </c>
      <c r="J108" s="153">
        <v>1</v>
      </c>
      <c r="K108" s="153">
        <v>50</v>
      </c>
      <c r="L108" s="167">
        <v>1744861.92810306</v>
      </c>
      <c r="M108" s="7">
        <f t="shared" si="23"/>
        <v>1744861.92810306</v>
      </c>
      <c r="N108" s="7">
        <f t="shared" si="24"/>
        <v>261729.28921545899</v>
      </c>
      <c r="O108" s="174">
        <f t="shared" si="25"/>
        <v>1483132.638887601</v>
      </c>
      <c r="P108" s="157">
        <v>44835</v>
      </c>
    </row>
    <row r="109" spans="2:16" ht="14.4" hidden="1" x14ac:dyDescent="0.3">
      <c r="B109" s="248">
        <v>103</v>
      </c>
      <c r="C109" s="253" t="s">
        <v>5244</v>
      </c>
      <c r="D109" s="153" t="s">
        <v>5107</v>
      </c>
      <c r="E109" s="153" t="s">
        <v>5108</v>
      </c>
      <c r="F109" s="154" t="s">
        <v>5088</v>
      </c>
      <c r="G109" s="158">
        <v>44835</v>
      </c>
      <c r="H109" s="158">
        <v>44865</v>
      </c>
      <c r="I109" s="153">
        <v>1</v>
      </c>
      <c r="J109" s="153">
        <v>1</v>
      </c>
      <c r="K109" s="153">
        <v>12</v>
      </c>
      <c r="L109" s="167">
        <v>895360.00011026103</v>
      </c>
      <c r="M109" s="7">
        <f t="shared" si="23"/>
        <v>895360.00011026103</v>
      </c>
      <c r="N109" s="7">
        <f t="shared" si="24"/>
        <v>134304.00001653915</v>
      </c>
      <c r="O109" s="174">
        <f t="shared" si="25"/>
        <v>761056.0000937219</v>
      </c>
      <c r="P109" s="157">
        <v>44835</v>
      </c>
    </row>
    <row r="110" spans="2:16" ht="14.4" hidden="1" x14ac:dyDescent="0.3">
      <c r="B110" s="249">
        <v>104</v>
      </c>
      <c r="C110" s="253" t="s">
        <v>5245</v>
      </c>
      <c r="D110" s="153" t="s">
        <v>5110</v>
      </c>
      <c r="E110" s="153" t="s">
        <v>5111</v>
      </c>
      <c r="F110" s="154" t="s">
        <v>5088</v>
      </c>
      <c r="G110" s="158">
        <v>44835</v>
      </c>
      <c r="H110" s="158">
        <v>44865</v>
      </c>
      <c r="I110" s="153">
        <v>1</v>
      </c>
      <c r="J110" s="153">
        <v>1</v>
      </c>
      <c r="K110" s="153">
        <v>52</v>
      </c>
      <c r="L110" s="167">
        <v>1744861.92810306</v>
      </c>
      <c r="M110" s="7">
        <f t="shared" si="23"/>
        <v>1744861.92810306</v>
      </c>
      <c r="N110" s="7">
        <f t="shared" si="24"/>
        <v>261729.28921545899</v>
      </c>
      <c r="O110" s="174">
        <f t="shared" si="25"/>
        <v>1483132.638887601</v>
      </c>
      <c r="P110" s="157">
        <v>44835</v>
      </c>
    </row>
    <row r="111" spans="2:16" ht="14.4" hidden="1" x14ac:dyDescent="0.3">
      <c r="B111" s="248">
        <v>105</v>
      </c>
      <c r="C111" s="253" t="s">
        <v>5246</v>
      </c>
      <c r="D111" s="153" t="s">
        <v>5113</v>
      </c>
      <c r="E111" s="153" t="s">
        <v>5114</v>
      </c>
      <c r="F111" s="154" t="s">
        <v>5088</v>
      </c>
      <c r="G111" s="158">
        <v>44835</v>
      </c>
      <c r="H111" s="158">
        <v>44865</v>
      </c>
      <c r="I111" s="153">
        <v>1</v>
      </c>
      <c r="J111" s="153">
        <v>1</v>
      </c>
      <c r="K111" s="153">
        <v>6</v>
      </c>
      <c r="L111" s="167">
        <v>895360.00011026103</v>
      </c>
      <c r="M111" s="7">
        <f t="shared" si="23"/>
        <v>895360.00011026103</v>
      </c>
      <c r="N111" s="7">
        <f t="shared" si="24"/>
        <v>134304.00001653915</v>
      </c>
      <c r="O111" s="174">
        <f t="shared" si="25"/>
        <v>761056.0000937219</v>
      </c>
      <c r="P111" s="157">
        <v>44835</v>
      </c>
    </row>
    <row r="112" spans="2:16" ht="14.4" hidden="1" x14ac:dyDescent="0.3">
      <c r="B112" s="249">
        <v>106</v>
      </c>
      <c r="C112" s="253" t="s">
        <v>5247</v>
      </c>
      <c r="D112" s="153" t="s">
        <v>5116</v>
      </c>
      <c r="E112" s="153" t="s">
        <v>5117</v>
      </c>
      <c r="F112" s="154" t="s">
        <v>5088</v>
      </c>
      <c r="G112" s="158">
        <v>44835</v>
      </c>
      <c r="H112" s="158">
        <v>44865</v>
      </c>
      <c r="I112" s="153">
        <v>1</v>
      </c>
      <c r="J112" s="153">
        <v>1</v>
      </c>
      <c r="K112" s="153">
        <v>22</v>
      </c>
      <c r="L112" s="167">
        <v>1215614.7069552301</v>
      </c>
      <c r="M112" s="7">
        <f t="shared" si="23"/>
        <v>1215614.7069552301</v>
      </c>
      <c r="N112" s="7">
        <f t="shared" si="24"/>
        <v>182342.2060432845</v>
      </c>
      <c r="O112" s="174">
        <f t="shared" si="25"/>
        <v>1033272.5009119456</v>
      </c>
      <c r="P112" s="157">
        <v>44835</v>
      </c>
    </row>
    <row r="113" spans="2:16" ht="14.4" hidden="1" x14ac:dyDescent="0.3">
      <c r="B113" s="248">
        <v>107</v>
      </c>
      <c r="C113" s="253" t="s">
        <v>5248</v>
      </c>
      <c r="D113" s="153" t="s">
        <v>5119</v>
      </c>
      <c r="E113" s="153" t="s">
        <v>5120</v>
      </c>
      <c r="F113" s="154" t="s">
        <v>5088</v>
      </c>
      <c r="G113" s="158">
        <v>44835</v>
      </c>
      <c r="H113" s="158">
        <v>44865</v>
      </c>
      <c r="I113" s="153">
        <v>1</v>
      </c>
      <c r="J113" s="153">
        <v>1</v>
      </c>
      <c r="K113" s="153">
        <v>55</v>
      </c>
      <c r="L113" s="167">
        <v>1744861.92810306</v>
      </c>
      <c r="M113" s="7">
        <f t="shared" si="23"/>
        <v>1744861.92810306</v>
      </c>
      <c r="N113" s="7">
        <f t="shared" si="24"/>
        <v>261729.28921545899</v>
      </c>
      <c r="O113" s="174">
        <f t="shared" si="25"/>
        <v>1483132.638887601</v>
      </c>
      <c r="P113" s="157">
        <v>44835</v>
      </c>
    </row>
    <row r="114" spans="2:16" ht="14.4" hidden="1" x14ac:dyDescent="0.3">
      <c r="B114" s="249">
        <v>108</v>
      </c>
      <c r="C114" s="253" t="s">
        <v>5249</v>
      </c>
      <c r="D114" s="153" t="s">
        <v>5122</v>
      </c>
      <c r="E114" s="153" t="s">
        <v>5123</v>
      </c>
      <c r="F114" s="154" t="s">
        <v>5088</v>
      </c>
      <c r="G114" s="158">
        <v>44835</v>
      </c>
      <c r="H114" s="158">
        <v>44865</v>
      </c>
      <c r="I114" s="153">
        <v>1</v>
      </c>
      <c r="J114" s="153">
        <v>1</v>
      </c>
      <c r="K114" s="153">
        <v>9</v>
      </c>
      <c r="L114" s="167">
        <v>895360.00011026103</v>
      </c>
      <c r="M114" s="7">
        <f t="shared" si="23"/>
        <v>895360.00011026103</v>
      </c>
      <c r="N114" s="7">
        <f t="shared" si="24"/>
        <v>134304.00001653915</v>
      </c>
      <c r="O114" s="174">
        <f t="shared" si="25"/>
        <v>761056.0000937219</v>
      </c>
      <c r="P114" s="157">
        <v>44835</v>
      </c>
    </row>
    <row r="115" spans="2:16" ht="14.4" hidden="1" x14ac:dyDescent="0.3">
      <c r="B115" s="248">
        <v>109</v>
      </c>
      <c r="C115" s="253" t="s">
        <v>5250</v>
      </c>
      <c r="D115" s="153" t="s">
        <v>5125</v>
      </c>
      <c r="E115" s="153" t="s">
        <v>5126</v>
      </c>
      <c r="F115" s="154" t="s">
        <v>5088</v>
      </c>
      <c r="G115" s="158">
        <v>44835</v>
      </c>
      <c r="H115" s="158">
        <v>44865</v>
      </c>
      <c r="I115" s="153">
        <v>1</v>
      </c>
      <c r="J115" s="153">
        <v>1</v>
      </c>
      <c r="K115" s="153">
        <v>57</v>
      </c>
      <c r="L115" s="167">
        <v>1744861.92810306</v>
      </c>
      <c r="M115" s="7">
        <f t="shared" si="23"/>
        <v>1744861.92810306</v>
      </c>
      <c r="N115" s="7">
        <f t="shared" si="24"/>
        <v>261729.28921545899</v>
      </c>
      <c r="O115" s="174">
        <f t="shared" si="25"/>
        <v>1483132.638887601</v>
      </c>
      <c r="P115" s="157">
        <v>44835</v>
      </c>
    </row>
    <row r="116" spans="2:16" ht="14.4" hidden="1" x14ac:dyDescent="0.3">
      <c r="B116" s="249">
        <v>110</v>
      </c>
      <c r="C116" s="253" t="s">
        <v>5361</v>
      </c>
      <c r="D116" s="153" t="s">
        <v>5356</v>
      </c>
      <c r="E116" s="153" t="s">
        <v>5357</v>
      </c>
      <c r="F116" s="154" t="s">
        <v>5088</v>
      </c>
      <c r="G116" s="158">
        <v>44826</v>
      </c>
      <c r="H116" s="158">
        <v>44865</v>
      </c>
      <c r="I116" s="160">
        <v>1.3</v>
      </c>
      <c r="J116" s="254">
        <v>1.3</v>
      </c>
      <c r="K116" s="153">
        <v>54</v>
      </c>
      <c r="L116" s="167">
        <v>1744861.92810306</v>
      </c>
      <c r="M116" s="7">
        <f t="shared" si="23"/>
        <v>2268320.506533978</v>
      </c>
      <c r="N116" s="7">
        <f t="shared" ref="N116" si="26">M116*$N$5</f>
        <v>340248.07598009671</v>
      </c>
      <c r="O116" s="174">
        <f t="shared" ref="O116" si="27">M116-N116</f>
        <v>1928072.4305538815</v>
      </c>
      <c r="P116" s="157">
        <v>44835</v>
      </c>
    </row>
    <row r="117" spans="2:16" ht="14.4" hidden="1" x14ac:dyDescent="0.3">
      <c r="B117" s="248">
        <v>111</v>
      </c>
      <c r="C117" s="253" t="s">
        <v>5217</v>
      </c>
      <c r="D117" s="153" t="s">
        <v>5067</v>
      </c>
      <c r="E117" s="153" t="s">
        <v>5068</v>
      </c>
      <c r="F117" s="154" t="s">
        <v>5088</v>
      </c>
      <c r="G117" s="158">
        <v>44866</v>
      </c>
      <c r="H117" s="158">
        <v>44895</v>
      </c>
      <c r="I117" s="153">
        <v>1</v>
      </c>
      <c r="J117" s="153">
        <v>1</v>
      </c>
      <c r="K117" s="153">
        <v>65</v>
      </c>
      <c r="L117" s="167">
        <v>1744861.92810306</v>
      </c>
      <c r="M117" s="7">
        <f t="shared" si="23"/>
        <v>1744861.92810306</v>
      </c>
      <c r="N117" s="7">
        <f t="shared" si="24"/>
        <v>261729.28921545899</v>
      </c>
      <c r="O117" s="174">
        <f t="shared" si="25"/>
        <v>1483132.638887601</v>
      </c>
      <c r="P117" s="157">
        <v>44866</v>
      </c>
    </row>
    <row r="118" spans="2:16" ht="14.4" hidden="1" x14ac:dyDescent="0.3">
      <c r="B118" s="249">
        <v>112</v>
      </c>
      <c r="C118" s="253" t="s">
        <v>5218</v>
      </c>
      <c r="D118" s="153" t="s">
        <v>5070</v>
      </c>
      <c r="E118" s="153" t="s">
        <v>5071</v>
      </c>
      <c r="F118" s="154" t="s">
        <v>5088</v>
      </c>
      <c r="G118" s="158">
        <v>44866</v>
      </c>
      <c r="H118" s="158">
        <v>44895</v>
      </c>
      <c r="I118" s="153">
        <v>1</v>
      </c>
      <c r="J118" s="153">
        <v>1</v>
      </c>
      <c r="K118" s="153">
        <v>60</v>
      </c>
      <c r="L118" s="167">
        <v>1744861.92810306</v>
      </c>
      <c r="M118" s="7">
        <f t="shared" si="23"/>
        <v>1744861.92810306</v>
      </c>
      <c r="N118" s="7">
        <f t="shared" si="24"/>
        <v>261729.28921545899</v>
      </c>
      <c r="O118" s="174">
        <f t="shared" si="25"/>
        <v>1483132.638887601</v>
      </c>
      <c r="P118" s="157">
        <v>44866</v>
      </c>
    </row>
    <row r="119" spans="2:16" ht="14.4" hidden="1" x14ac:dyDescent="0.3">
      <c r="B119" s="248">
        <v>113</v>
      </c>
      <c r="C119" s="253" t="s">
        <v>5219</v>
      </c>
      <c r="D119" s="153" t="s">
        <v>5073</v>
      </c>
      <c r="E119" s="153" t="s">
        <v>5074</v>
      </c>
      <c r="F119" s="154" t="s">
        <v>5088</v>
      </c>
      <c r="G119" s="158">
        <v>44866</v>
      </c>
      <c r="H119" s="158">
        <v>44895</v>
      </c>
      <c r="I119" s="153">
        <v>1</v>
      </c>
      <c r="J119" s="153">
        <v>1</v>
      </c>
      <c r="K119" s="153">
        <v>54</v>
      </c>
      <c r="L119" s="167">
        <v>1744861.92810306</v>
      </c>
      <c r="M119" s="7">
        <f t="shared" si="23"/>
        <v>1744861.92810306</v>
      </c>
      <c r="N119" s="7">
        <f t="shared" si="24"/>
        <v>261729.28921545899</v>
      </c>
      <c r="O119" s="174">
        <f t="shared" si="25"/>
        <v>1483132.638887601</v>
      </c>
      <c r="P119" s="157">
        <v>44866</v>
      </c>
    </row>
    <row r="120" spans="2:16" ht="14.4" hidden="1" x14ac:dyDescent="0.3">
      <c r="B120" s="249">
        <v>114</v>
      </c>
      <c r="C120" s="253" t="s">
        <v>5220</v>
      </c>
      <c r="D120" s="153" t="s">
        <v>5076</v>
      </c>
      <c r="E120" s="153" t="s">
        <v>5077</v>
      </c>
      <c r="F120" s="154" t="s">
        <v>5088</v>
      </c>
      <c r="G120" s="158">
        <v>44866</v>
      </c>
      <c r="H120" s="158">
        <v>44895</v>
      </c>
      <c r="I120" s="153">
        <v>1</v>
      </c>
      <c r="J120" s="153">
        <v>1</v>
      </c>
      <c r="K120" s="153">
        <v>65</v>
      </c>
      <c r="L120" s="167">
        <v>1744861.92810306</v>
      </c>
      <c r="M120" s="7">
        <f t="shared" si="23"/>
        <v>1744861.92810306</v>
      </c>
      <c r="N120" s="7">
        <f t="shared" si="24"/>
        <v>261729.28921545899</v>
      </c>
      <c r="O120" s="174">
        <f t="shared" si="25"/>
        <v>1483132.638887601</v>
      </c>
      <c r="P120" s="157">
        <v>44866</v>
      </c>
    </row>
    <row r="121" spans="2:16" ht="14.4" hidden="1" x14ac:dyDescent="0.3">
      <c r="B121" s="248">
        <v>115</v>
      </c>
      <c r="C121" s="253" t="s">
        <v>5221</v>
      </c>
      <c r="D121" s="153" t="s">
        <v>5079</v>
      </c>
      <c r="E121" s="153" t="s">
        <v>5080</v>
      </c>
      <c r="F121" s="154" t="s">
        <v>5088</v>
      </c>
      <c r="G121" s="158">
        <v>44866</v>
      </c>
      <c r="H121" s="158">
        <v>44895</v>
      </c>
      <c r="I121" s="153">
        <v>1</v>
      </c>
      <c r="J121" s="153">
        <v>1</v>
      </c>
      <c r="K121" s="153">
        <v>45</v>
      </c>
      <c r="L121" s="167">
        <v>1435883.78979314</v>
      </c>
      <c r="M121" s="7">
        <f t="shared" si="23"/>
        <v>1435883.78979314</v>
      </c>
      <c r="N121" s="7">
        <f t="shared" si="24"/>
        <v>215382.568468971</v>
      </c>
      <c r="O121" s="174">
        <f t="shared" si="25"/>
        <v>1220501.2213241691</v>
      </c>
      <c r="P121" s="157">
        <v>44866</v>
      </c>
    </row>
    <row r="122" spans="2:16" ht="14.4" hidden="1" x14ac:dyDescent="0.3">
      <c r="B122" s="249">
        <v>116</v>
      </c>
      <c r="C122" s="253" t="s">
        <v>5222</v>
      </c>
      <c r="D122" s="153" t="s">
        <v>5082</v>
      </c>
      <c r="E122" s="153" t="s">
        <v>5083</v>
      </c>
      <c r="F122" s="154" t="s">
        <v>5088</v>
      </c>
      <c r="G122" s="158">
        <v>44866</v>
      </c>
      <c r="H122" s="158">
        <v>44895</v>
      </c>
      <c r="I122" s="153">
        <v>1</v>
      </c>
      <c r="J122" s="153">
        <v>1</v>
      </c>
      <c r="K122" s="153">
        <v>50</v>
      </c>
      <c r="L122" s="167">
        <v>1744861.92810306</v>
      </c>
      <c r="M122" s="7">
        <f t="shared" si="23"/>
        <v>1744861.92810306</v>
      </c>
      <c r="N122" s="7">
        <f t="shared" si="24"/>
        <v>261729.28921545899</v>
      </c>
      <c r="O122" s="174">
        <f t="shared" si="25"/>
        <v>1483132.638887601</v>
      </c>
      <c r="P122" s="157">
        <v>44866</v>
      </c>
    </row>
    <row r="123" spans="2:16" ht="14.4" hidden="1" x14ac:dyDescent="0.3">
      <c r="B123" s="248">
        <v>117</v>
      </c>
      <c r="C123" s="253" t="s">
        <v>5223</v>
      </c>
      <c r="D123" s="153" t="s">
        <v>5085</v>
      </c>
      <c r="E123" s="153" t="s">
        <v>5086</v>
      </c>
      <c r="F123" s="154" t="s">
        <v>5088</v>
      </c>
      <c r="G123" s="158">
        <v>44866</v>
      </c>
      <c r="H123" s="158">
        <v>44895</v>
      </c>
      <c r="I123" s="153">
        <v>1</v>
      </c>
      <c r="J123" s="153">
        <v>1</v>
      </c>
      <c r="K123" s="153">
        <v>42</v>
      </c>
      <c r="L123" s="167">
        <v>1435883.78979314</v>
      </c>
      <c r="M123" s="7">
        <f t="shared" si="23"/>
        <v>1435883.78979314</v>
      </c>
      <c r="N123" s="7">
        <f t="shared" si="24"/>
        <v>215382.568468971</v>
      </c>
      <c r="O123" s="174">
        <f t="shared" si="25"/>
        <v>1220501.2213241691</v>
      </c>
      <c r="P123" s="157">
        <v>44866</v>
      </c>
    </row>
    <row r="124" spans="2:16" ht="14.4" hidden="1" x14ac:dyDescent="0.3">
      <c r="B124" s="249">
        <v>118</v>
      </c>
      <c r="C124" s="253" t="s">
        <v>5224</v>
      </c>
      <c r="D124" s="153" t="s">
        <v>5098</v>
      </c>
      <c r="E124" s="153" t="s">
        <v>5099</v>
      </c>
      <c r="F124" s="154" t="s">
        <v>5088</v>
      </c>
      <c r="G124" s="158">
        <v>44866</v>
      </c>
      <c r="H124" s="158">
        <v>44895</v>
      </c>
      <c r="I124" s="153">
        <v>1</v>
      </c>
      <c r="J124" s="153">
        <v>1</v>
      </c>
      <c r="K124" s="153">
        <v>52</v>
      </c>
      <c r="L124" s="167">
        <v>1744861.92810306</v>
      </c>
      <c r="M124" s="7">
        <f t="shared" si="23"/>
        <v>1744861.92810306</v>
      </c>
      <c r="N124" s="7">
        <f t="shared" si="24"/>
        <v>261729.28921545899</v>
      </c>
      <c r="O124" s="174">
        <f t="shared" si="25"/>
        <v>1483132.638887601</v>
      </c>
      <c r="P124" s="157">
        <v>44866</v>
      </c>
    </row>
    <row r="125" spans="2:16" ht="14.4" hidden="1" x14ac:dyDescent="0.3">
      <c r="B125" s="248">
        <v>119</v>
      </c>
      <c r="C125" s="253" t="s">
        <v>5225</v>
      </c>
      <c r="D125" s="153" t="s">
        <v>5101</v>
      </c>
      <c r="E125" s="153" t="s">
        <v>5102</v>
      </c>
      <c r="F125" s="154" t="s">
        <v>5088</v>
      </c>
      <c r="G125" s="158">
        <v>44866</v>
      </c>
      <c r="H125" s="158">
        <v>44895</v>
      </c>
      <c r="I125" s="153">
        <v>1</v>
      </c>
      <c r="J125" s="153">
        <v>1</v>
      </c>
      <c r="K125" s="153">
        <v>63</v>
      </c>
      <c r="L125" s="167">
        <v>1744861.92810306</v>
      </c>
      <c r="M125" s="7">
        <f t="shared" si="23"/>
        <v>1744861.92810306</v>
      </c>
      <c r="N125" s="7">
        <f t="shared" si="24"/>
        <v>261729.28921545899</v>
      </c>
      <c r="O125" s="174">
        <f t="shared" si="25"/>
        <v>1483132.638887601</v>
      </c>
      <c r="P125" s="157">
        <v>44866</v>
      </c>
    </row>
    <row r="126" spans="2:16" ht="14.4" hidden="1" x14ac:dyDescent="0.3">
      <c r="B126" s="249">
        <v>120</v>
      </c>
      <c r="C126" s="253" t="s">
        <v>5226</v>
      </c>
      <c r="D126" s="153" t="s">
        <v>5104</v>
      </c>
      <c r="E126" s="153" t="s">
        <v>5105</v>
      </c>
      <c r="F126" s="154" t="s">
        <v>5088</v>
      </c>
      <c r="G126" s="158">
        <v>44866</v>
      </c>
      <c r="H126" s="158">
        <v>44895</v>
      </c>
      <c r="I126" s="153">
        <v>1</v>
      </c>
      <c r="J126" s="153">
        <v>1</v>
      </c>
      <c r="K126" s="153">
        <v>50</v>
      </c>
      <c r="L126" s="167">
        <v>1744861.92810306</v>
      </c>
      <c r="M126" s="7">
        <f t="shared" si="23"/>
        <v>1744861.92810306</v>
      </c>
      <c r="N126" s="7">
        <f t="shared" si="24"/>
        <v>261729.28921545899</v>
      </c>
      <c r="O126" s="174">
        <f t="shared" si="25"/>
        <v>1483132.638887601</v>
      </c>
      <c r="P126" s="157">
        <v>44866</v>
      </c>
    </row>
    <row r="127" spans="2:16" ht="14.4" hidden="1" x14ac:dyDescent="0.3">
      <c r="B127" s="248">
        <v>121</v>
      </c>
      <c r="C127" s="253" t="s">
        <v>5227</v>
      </c>
      <c r="D127" s="153" t="s">
        <v>5107</v>
      </c>
      <c r="E127" s="153" t="s">
        <v>5108</v>
      </c>
      <c r="F127" s="154" t="s">
        <v>5088</v>
      </c>
      <c r="G127" s="158">
        <v>44866</v>
      </c>
      <c r="H127" s="158">
        <v>44895</v>
      </c>
      <c r="I127" s="153">
        <v>1</v>
      </c>
      <c r="J127" s="153">
        <v>1</v>
      </c>
      <c r="K127" s="153">
        <v>12</v>
      </c>
      <c r="L127" s="167">
        <v>895360.00011026103</v>
      </c>
      <c r="M127" s="7">
        <f t="shared" si="23"/>
        <v>895360.00011026103</v>
      </c>
      <c r="N127" s="7">
        <f t="shared" si="24"/>
        <v>134304.00001653915</v>
      </c>
      <c r="O127" s="174">
        <f t="shared" si="25"/>
        <v>761056.0000937219</v>
      </c>
      <c r="P127" s="157">
        <v>44866</v>
      </c>
    </row>
    <row r="128" spans="2:16" ht="14.4" hidden="1" x14ac:dyDescent="0.3">
      <c r="B128" s="249">
        <v>122</v>
      </c>
      <c r="C128" s="253" t="s">
        <v>5228</v>
      </c>
      <c r="D128" s="153" t="s">
        <v>5110</v>
      </c>
      <c r="E128" s="153" t="s">
        <v>5111</v>
      </c>
      <c r="F128" s="154" t="s">
        <v>5088</v>
      </c>
      <c r="G128" s="158">
        <v>44866</v>
      </c>
      <c r="H128" s="158">
        <v>44895</v>
      </c>
      <c r="I128" s="153">
        <v>1</v>
      </c>
      <c r="J128" s="153">
        <v>1</v>
      </c>
      <c r="K128" s="153">
        <v>52</v>
      </c>
      <c r="L128" s="167">
        <v>1744861.92810306</v>
      </c>
      <c r="M128" s="7">
        <f t="shared" si="23"/>
        <v>1744861.92810306</v>
      </c>
      <c r="N128" s="7">
        <f t="shared" si="24"/>
        <v>261729.28921545899</v>
      </c>
      <c r="O128" s="174">
        <f t="shared" si="25"/>
        <v>1483132.638887601</v>
      </c>
      <c r="P128" s="157">
        <v>44866</v>
      </c>
    </row>
    <row r="129" spans="2:16" ht="14.4" hidden="1" x14ac:dyDescent="0.3">
      <c r="B129" s="248">
        <v>123</v>
      </c>
      <c r="C129" s="253" t="s">
        <v>5229</v>
      </c>
      <c r="D129" s="153" t="s">
        <v>5113</v>
      </c>
      <c r="E129" s="153" t="s">
        <v>5114</v>
      </c>
      <c r="F129" s="154" t="s">
        <v>5088</v>
      </c>
      <c r="G129" s="158">
        <v>44866</v>
      </c>
      <c r="H129" s="158">
        <v>44895</v>
      </c>
      <c r="I129" s="153">
        <v>1</v>
      </c>
      <c r="J129" s="153">
        <v>1</v>
      </c>
      <c r="K129" s="153">
        <v>6</v>
      </c>
      <c r="L129" s="167">
        <v>895360.00011026103</v>
      </c>
      <c r="M129" s="7">
        <f t="shared" si="23"/>
        <v>895360.00011026103</v>
      </c>
      <c r="N129" s="7">
        <f t="shared" si="24"/>
        <v>134304.00001653915</v>
      </c>
      <c r="O129" s="174">
        <f t="shared" si="25"/>
        <v>761056.0000937219</v>
      </c>
      <c r="P129" s="157">
        <v>44866</v>
      </c>
    </row>
    <row r="130" spans="2:16" ht="14.4" hidden="1" x14ac:dyDescent="0.3">
      <c r="B130" s="249">
        <v>124</v>
      </c>
      <c r="C130" s="253" t="s">
        <v>5230</v>
      </c>
      <c r="D130" s="153" t="s">
        <v>5116</v>
      </c>
      <c r="E130" s="153" t="s">
        <v>5117</v>
      </c>
      <c r="F130" s="154" t="s">
        <v>5088</v>
      </c>
      <c r="G130" s="158">
        <v>44866</v>
      </c>
      <c r="H130" s="158">
        <v>44895</v>
      </c>
      <c r="I130" s="153">
        <v>1</v>
      </c>
      <c r="J130" s="153">
        <v>1</v>
      </c>
      <c r="K130" s="153">
        <v>22</v>
      </c>
      <c r="L130" s="167">
        <v>1215614.7069552301</v>
      </c>
      <c r="M130" s="7">
        <f t="shared" si="23"/>
        <v>1215614.7069552301</v>
      </c>
      <c r="N130" s="7">
        <f t="shared" si="24"/>
        <v>182342.2060432845</v>
      </c>
      <c r="O130" s="174">
        <f t="shared" si="25"/>
        <v>1033272.5009119456</v>
      </c>
      <c r="P130" s="157">
        <v>44866</v>
      </c>
    </row>
    <row r="131" spans="2:16" ht="14.4" hidden="1" x14ac:dyDescent="0.3">
      <c r="B131" s="248">
        <v>125</v>
      </c>
      <c r="C131" s="253" t="s">
        <v>5231</v>
      </c>
      <c r="D131" s="153" t="s">
        <v>5119</v>
      </c>
      <c r="E131" s="153" t="s">
        <v>5120</v>
      </c>
      <c r="F131" s="154" t="s">
        <v>5088</v>
      </c>
      <c r="G131" s="158">
        <v>44866</v>
      </c>
      <c r="H131" s="158">
        <v>44895</v>
      </c>
      <c r="I131" s="153">
        <v>1</v>
      </c>
      <c r="J131" s="153">
        <v>1</v>
      </c>
      <c r="K131" s="153">
        <v>55</v>
      </c>
      <c r="L131" s="167">
        <v>1744861.92810306</v>
      </c>
      <c r="M131" s="7">
        <f t="shared" si="23"/>
        <v>1744861.92810306</v>
      </c>
      <c r="N131" s="7">
        <f t="shared" si="24"/>
        <v>261729.28921545899</v>
      </c>
      <c r="O131" s="174">
        <f t="shared" si="25"/>
        <v>1483132.638887601</v>
      </c>
      <c r="P131" s="157">
        <v>44866</v>
      </c>
    </row>
    <row r="132" spans="2:16" ht="14.4" hidden="1" x14ac:dyDescent="0.3">
      <c r="B132" s="249">
        <v>126</v>
      </c>
      <c r="C132" s="253" t="s">
        <v>5232</v>
      </c>
      <c r="D132" s="153" t="s">
        <v>5122</v>
      </c>
      <c r="E132" s="153" t="s">
        <v>5123</v>
      </c>
      <c r="F132" s="154" t="s">
        <v>5088</v>
      </c>
      <c r="G132" s="158">
        <v>44866</v>
      </c>
      <c r="H132" s="158">
        <v>44895</v>
      </c>
      <c r="I132" s="153">
        <v>1</v>
      </c>
      <c r="J132" s="153">
        <v>1</v>
      </c>
      <c r="K132" s="153">
        <v>9</v>
      </c>
      <c r="L132" s="167">
        <v>895360.00011026103</v>
      </c>
      <c r="M132" s="7">
        <f t="shared" si="23"/>
        <v>895360.00011026103</v>
      </c>
      <c r="N132" s="7">
        <f t="shared" si="24"/>
        <v>134304.00001653915</v>
      </c>
      <c r="O132" s="174">
        <f t="shared" si="25"/>
        <v>761056.0000937219</v>
      </c>
      <c r="P132" s="157">
        <v>44866</v>
      </c>
    </row>
    <row r="133" spans="2:16" ht="14.4" hidden="1" x14ac:dyDescent="0.3">
      <c r="B133" s="248">
        <v>127</v>
      </c>
      <c r="C133" s="253" t="s">
        <v>5233</v>
      </c>
      <c r="D133" s="153" t="s">
        <v>5125</v>
      </c>
      <c r="E133" s="153" t="s">
        <v>5126</v>
      </c>
      <c r="F133" s="154" t="s">
        <v>5088</v>
      </c>
      <c r="G133" s="158">
        <v>44866</v>
      </c>
      <c r="H133" s="158">
        <v>44895</v>
      </c>
      <c r="I133" s="153">
        <v>1</v>
      </c>
      <c r="J133" s="153">
        <v>1</v>
      </c>
      <c r="K133" s="153">
        <v>57</v>
      </c>
      <c r="L133" s="167">
        <v>1744861.92810306</v>
      </c>
      <c r="M133" s="7">
        <f t="shared" si="23"/>
        <v>1744861.92810306</v>
      </c>
      <c r="N133" s="7">
        <f t="shared" si="24"/>
        <v>261729.28921545899</v>
      </c>
      <c r="O133" s="174">
        <f t="shared" si="25"/>
        <v>1483132.638887601</v>
      </c>
      <c r="P133" s="157">
        <v>44866</v>
      </c>
    </row>
    <row r="134" spans="2:16" ht="14.4" hidden="1" x14ac:dyDescent="0.3">
      <c r="B134" s="249">
        <v>128</v>
      </c>
      <c r="C134" s="253" t="s">
        <v>5358</v>
      </c>
      <c r="D134" s="153" t="s">
        <v>5356</v>
      </c>
      <c r="E134" s="153" t="s">
        <v>5357</v>
      </c>
      <c r="F134" s="154" t="s">
        <v>5088</v>
      </c>
      <c r="G134" s="158">
        <v>44866</v>
      </c>
      <c r="H134" s="158">
        <v>44895</v>
      </c>
      <c r="I134" s="153">
        <v>1</v>
      </c>
      <c r="J134" s="153">
        <v>1</v>
      </c>
      <c r="K134" s="153">
        <v>54</v>
      </c>
      <c r="L134" s="167">
        <v>1744861.92810306</v>
      </c>
      <c r="M134" s="7">
        <f t="shared" ref="M134" si="28">L134*J134</f>
        <v>1744861.92810306</v>
      </c>
      <c r="N134" s="7">
        <f t="shared" ref="N134" si="29">M134*$N$5</f>
        <v>261729.28921545899</v>
      </c>
      <c r="O134" s="174">
        <f t="shared" ref="O134" si="30">M134-N134</f>
        <v>1483132.638887601</v>
      </c>
      <c r="P134" s="157">
        <v>44866</v>
      </c>
    </row>
    <row r="135" spans="2:16" ht="14.4" hidden="1" x14ac:dyDescent="0.3">
      <c r="B135" s="248">
        <v>129</v>
      </c>
      <c r="C135" s="253" t="s">
        <v>5359</v>
      </c>
      <c r="D135" s="153" t="s">
        <v>5067</v>
      </c>
      <c r="E135" s="153" t="s">
        <v>5068</v>
      </c>
      <c r="F135" s="154" t="s">
        <v>5088</v>
      </c>
      <c r="G135" s="158">
        <v>44896</v>
      </c>
      <c r="H135" s="158">
        <v>44926</v>
      </c>
      <c r="I135" s="153">
        <v>1</v>
      </c>
      <c r="J135" s="153">
        <v>1</v>
      </c>
      <c r="K135" s="153">
        <v>65</v>
      </c>
      <c r="L135" s="167">
        <v>1744861.92810306</v>
      </c>
      <c r="M135" s="7">
        <f t="shared" si="23"/>
        <v>1744861.92810306</v>
      </c>
      <c r="N135" s="7">
        <f t="shared" si="24"/>
        <v>261729.28921545899</v>
      </c>
      <c r="O135" s="174">
        <f t="shared" si="25"/>
        <v>1483132.638887601</v>
      </c>
      <c r="P135" s="157">
        <v>44896</v>
      </c>
    </row>
    <row r="136" spans="2:16" ht="14.4" hidden="1" x14ac:dyDescent="0.3">
      <c r="B136" s="249">
        <v>130</v>
      </c>
      <c r="C136" s="253" t="s">
        <v>5201</v>
      </c>
      <c r="D136" s="153" t="s">
        <v>5070</v>
      </c>
      <c r="E136" s="153" t="s">
        <v>5071</v>
      </c>
      <c r="F136" s="154" t="s">
        <v>5088</v>
      </c>
      <c r="G136" s="158">
        <v>44896</v>
      </c>
      <c r="H136" s="158">
        <v>44926</v>
      </c>
      <c r="I136" s="153">
        <v>1</v>
      </c>
      <c r="J136" s="153">
        <v>1</v>
      </c>
      <c r="K136" s="153">
        <v>60</v>
      </c>
      <c r="L136" s="167">
        <v>1744861.92810306</v>
      </c>
      <c r="M136" s="7">
        <f t="shared" si="23"/>
        <v>1744861.92810306</v>
      </c>
      <c r="N136" s="7">
        <f t="shared" si="24"/>
        <v>261729.28921545899</v>
      </c>
      <c r="O136" s="174">
        <f t="shared" si="25"/>
        <v>1483132.638887601</v>
      </c>
      <c r="P136" s="157">
        <v>44896</v>
      </c>
    </row>
    <row r="137" spans="2:16" ht="14.4" hidden="1" x14ac:dyDescent="0.3">
      <c r="B137" s="248">
        <v>131</v>
      </c>
      <c r="C137" s="253" t="s">
        <v>5202</v>
      </c>
      <c r="D137" s="153" t="s">
        <v>5073</v>
      </c>
      <c r="E137" s="153" t="s">
        <v>5074</v>
      </c>
      <c r="F137" s="154" t="s">
        <v>5088</v>
      </c>
      <c r="G137" s="158">
        <v>44896</v>
      </c>
      <c r="H137" s="158">
        <v>44926</v>
      </c>
      <c r="I137" s="153">
        <v>1</v>
      </c>
      <c r="J137" s="153">
        <v>1</v>
      </c>
      <c r="K137" s="153">
        <v>54</v>
      </c>
      <c r="L137" s="167">
        <v>1744861.92810306</v>
      </c>
      <c r="M137" s="7">
        <f t="shared" si="23"/>
        <v>1744861.92810306</v>
      </c>
      <c r="N137" s="7">
        <f t="shared" si="24"/>
        <v>261729.28921545899</v>
      </c>
      <c r="O137" s="174">
        <f t="shared" si="25"/>
        <v>1483132.638887601</v>
      </c>
      <c r="P137" s="157">
        <v>44896</v>
      </c>
    </row>
    <row r="138" spans="2:16" ht="14.4" hidden="1" x14ac:dyDescent="0.3">
      <c r="B138" s="249">
        <v>132</v>
      </c>
      <c r="C138" s="253" t="s">
        <v>5203</v>
      </c>
      <c r="D138" s="153" t="s">
        <v>5076</v>
      </c>
      <c r="E138" s="153" t="s">
        <v>5077</v>
      </c>
      <c r="F138" s="154" t="s">
        <v>5088</v>
      </c>
      <c r="G138" s="158">
        <v>44896</v>
      </c>
      <c r="H138" s="158">
        <v>44926</v>
      </c>
      <c r="I138" s="153">
        <v>1</v>
      </c>
      <c r="J138" s="153">
        <v>1</v>
      </c>
      <c r="K138" s="153">
        <v>65</v>
      </c>
      <c r="L138" s="167">
        <v>1744861.92810306</v>
      </c>
      <c r="M138" s="7">
        <f t="shared" si="23"/>
        <v>1744861.92810306</v>
      </c>
      <c r="N138" s="7">
        <f t="shared" si="24"/>
        <v>261729.28921545899</v>
      </c>
      <c r="O138" s="174">
        <f t="shared" si="25"/>
        <v>1483132.638887601</v>
      </c>
      <c r="P138" s="157">
        <v>44896</v>
      </c>
    </row>
    <row r="139" spans="2:16" ht="14.4" hidden="1" x14ac:dyDescent="0.3">
      <c r="B139" s="248">
        <v>133</v>
      </c>
      <c r="C139" s="253" t="s">
        <v>5204</v>
      </c>
      <c r="D139" s="153" t="s">
        <v>5079</v>
      </c>
      <c r="E139" s="153" t="s">
        <v>5080</v>
      </c>
      <c r="F139" s="154" t="s">
        <v>5088</v>
      </c>
      <c r="G139" s="158">
        <v>44896</v>
      </c>
      <c r="H139" s="158">
        <v>44926</v>
      </c>
      <c r="I139" s="153">
        <v>1</v>
      </c>
      <c r="J139" s="153">
        <v>1</v>
      </c>
      <c r="K139" s="153">
        <v>45</v>
      </c>
      <c r="L139" s="167">
        <v>1435883.78979314</v>
      </c>
      <c r="M139" s="7">
        <f t="shared" si="23"/>
        <v>1435883.78979314</v>
      </c>
      <c r="N139" s="7">
        <f t="shared" si="24"/>
        <v>215382.568468971</v>
      </c>
      <c r="O139" s="174">
        <f t="shared" si="25"/>
        <v>1220501.2213241691</v>
      </c>
      <c r="P139" s="157">
        <v>44896</v>
      </c>
    </row>
    <row r="140" spans="2:16" ht="14.4" hidden="1" x14ac:dyDescent="0.3">
      <c r="B140" s="249">
        <v>134</v>
      </c>
      <c r="C140" s="253" t="s">
        <v>5205</v>
      </c>
      <c r="D140" s="153" t="s">
        <v>5082</v>
      </c>
      <c r="E140" s="153" t="s">
        <v>5083</v>
      </c>
      <c r="F140" s="154" t="s">
        <v>5088</v>
      </c>
      <c r="G140" s="158">
        <v>44896</v>
      </c>
      <c r="H140" s="158">
        <v>44926</v>
      </c>
      <c r="I140" s="153">
        <v>1</v>
      </c>
      <c r="J140" s="153">
        <v>1</v>
      </c>
      <c r="K140" s="153">
        <v>50</v>
      </c>
      <c r="L140" s="167">
        <v>1744861.92810306</v>
      </c>
      <c r="M140" s="7">
        <f t="shared" si="23"/>
        <v>1744861.92810306</v>
      </c>
      <c r="N140" s="7">
        <f t="shared" si="24"/>
        <v>261729.28921545899</v>
      </c>
      <c r="O140" s="174">
        <f t="shared" si="25"/>
        <v>1483132.638887601</v>
      </c>
      <c r="P140" s="157">
        <v>44896</v>
      </c>
    </row>
    <row r="141" spans="2:16" ht="14.4" hidden="1" x14ac:dyDescent="0.3">
      <c r="B141" s="248">
        <v>135</v>
      </c>
      <c r="C141" s="253" t="s">
        <v>5206</v>
      </c>
      <c r="D141" s="153" t="s">
        <v>5085</v>
      </c>
      <c r="E141" s="153" t="s">
        <v>5086</v>
      </c>
      <c r="F141" s="154" t="s">
        <v>5088</v>
      </c>
      <c r="G141" s="158">
        <v>44896</v>
      </c>
      <c r="H141" s="158">
        <v>44926</v>
      </c>
      <c r="I141" s="153">
        <v>1</v>
      </c>
      <c r="J141" s="153">
        <v>1</v>
      </c>
      <c r="K141" s="153">
        <v>42</v>
      </c>
      <c r="L141" s="167">
        <v>1435883.78979314</v>
      </c>
      <c r="M141" s="7">
        <f t="shared" si="23"/>
        <v>1435883.78979314</v>
      </c>
      <c r="N141" s="7">
        <f t="shared" si="24"/>
        <v>215382.568468971</v>
      </c>
      <c r="O141" s="174">
        <f t="shared" si="25"/>
        <v>1220501.2213241691</v>
      </c>
      <c r="P141" s="157">
        <v>44896</v>
      </c>
    </row>
    <row r="142" spans="2:16" ht="14.4" hidden="1" x14ac:dyDescent="0.3">
      <c r="B142" s="249">
        <v>136</v>
      </c>
      <c r="C142" s="253" t="s">
        <v>5207</v>
      </c>
      <c r="D142" s="153" t="s">
        <v>5098</v>
      </c>
      <c r="E142" s="153" t="s">
        <v>5099</v>
      </c>
      <c r="F142" s="154" t="s">
        <v>5088</v>
      </c>
      <c r="G142" s="158">
        <v>44896</v>
      </c>
      <c r="H142" s="158">
        <v>44926</v>
      </c>
      <c r="I142" s="153">
        <v>1</v>
      </c>
      <c r="J142" s="153">
        <v>1</v>
      </c>
      <c r="K142" s="153">
        <v>52</v>
      </c>
      <c r="L142" s="167">
        <v>1744861.92810306</v>
      </c>
      <c r="M142" s="7">
        <f t="shared" si="23"/>
        <v>1744861.92810306</v>
      </c>
      <c r="N142" s="7">
        <f t="shared" si="24"/>
        <v>261729.28921545899</v>
      </c>
      <c r="O142" s="174">
        <f t="shared" si="25"/>
        <v>1483132.638887601</v>
      </c>
      <c r="P142" s="157">
        <v>44896</v>
      </c>
    </row>
    <row r="143" spans="2:16" ht="14.4" hidden="1" x14ac:dyDescent="0.3">
      <c r="B143" s="248">
        <v>137</v>
      </c>
      <c r="C143" s="253" t="s">
        <v>5208</v>
      </c>
      <c r="D143" s="153" t="s">
        <v>5101</v>
      </c>
      <c r="E143" s="153" t="s">
        <v>5102</v>
      </c>
      <c r="F143" s="154" t="s">
        <v>5088</v>
      </c>
      <c r="G143" s="158">
        <v>44896</v>
      </c>
      <c r="H143" s="158">
        <v>44926</v>
      </c>
      <c r="I143" s="153">
        <v>1</v>
      </c>
      <c r="J143" s="153">
        <v>1</v>
      </c>
      <c r="K143" s="153">
        <v>63</v>
      </c>
      <c r="L143" s="167">
        <v>1744861.92810306</v>
      </c>
      <c r="M143" s="7">
        <f t="shared" si="23"/>
        <v>1744861.92810306</v>
      </c>
      <c r="N143" s="7">
        <f t="shared" si="24"/>
        <v>261729.28921545899</v>
      </c>
      <c r="O143" s="174">
        <f t="shared" si="25"/>
        <v>1483132.638887601</v>
      </c>
      <c r="P143" s="157">
        <v>44896</v>
      </c>
    </row>
    <row r="144" spans="2:16" ht="14.4" hidden="1" x14ac:dyDescent="0.3">
      <c r="B144" s="249">
        <v>138</v>
      </c>
      <c r="C144" s="253" t="s">
        <v>5209</v>
      </c>
      <c r="D144" s="153" t="s">
        <v>5104</v>
      </c>
      <c r="E144" s="153" t="s">
        <v>5105</v>
      </c>
      <c r="F144" s="154" t="s">
        <v>5088</v>
      </c>
      <c r="G144" s="158">
        <v>44896</v>
      </c>
      <c r="H144" s="158">
        <v>44926</v>
      </c>
      <c r="I144" s="153">
        <v>1</v>
      </c>
      <c r="J144" s="153">
        <v>1</v>
      </c>
      <c r="K144" s="153">
        <v>50</v>
      </c>
      <c r="L144" s="167">
        <v>1744861.92810306</v>
      </c>
      <c r="M144" s="7">
        <f t="shared" si="23"/>
        <v>1744861.92810306</v>
      </c>
      <c r="N144" s="7">
        <f t="shared" si="24"/>
        <v>261729.28921545899</v>
      </c>
      <c r="O144" s="174">
        <f t="shared" si="25"/>
        <v>1483132.638887601</v>
      </c>
      <c r="P144" s="157">
        <v>44896</v>
      </c>
    </row>
    <row r="145" spans="2:16" ht="14.4" hidden="1" x14ac:dyDescent="0.3">
      <c r="B145" s="248">
        <v>139</v>
      </c>
      <c r="C145" s="253" t="s">
        <v>5210</v>
      </c>
      <c r="D145" s="153" t="s">
        <v>5107</v>
      </c>
      <c r="E145" s="153" t="s">
        <v>5108</v>
      </c>
      <c r="F145" s="154" t="s">
        <v>5088</v>
      </c>
      <c r="G145" s="158">
        <v>44896</v>
      </c>
      <c r="H145" s="158">
        <v>44926</v>
      </c>
      <c r="I145" s="153">
        <v>1</v>
      </c>
      <c r="J145" s="153">
        <v>1</v>
      </c>
      <c r="K145" s="153">
        <v>12</v>
      </c>
      <c r="L145" s="167">
        <v>895360.00011026103</v>
      </c>
      <c r="M145" s="7">
        <f t="shared" si="23"/>
        <v>895360.00011026103</v>
      </c>
      <c r="N145" s="7">
        <f t="shared" si="24"/>
        <v>134304.00001653915</v>
      </c>
      <c r="O145" s="174">
        <f t="shared" si="25"/>
        <v>761056.0000937219</v>
      </c>
      <c r="P145" s="157">
        <v>44896</v>
      </c>
    </row>
    <row r="146" spans="2:16" ht="14.4" hidden="1" x14ac:dyDescent="0.3">
      <c r="B146" s="249">
        <v>140</v>
      </c>
      <c r="C146" s="253" t="s">
        <v>5211</v>
      </c>
      <c r="D146" s="153" t="s">
        <v>5110</v>
      </c>
      <c r="E146" s="153" t="s">
        <v>5111</v>
      </c>
      <c r="F146" s="154" t="s">
        <v>5088</v>
      </c>
      <c r="G146" s="158">
        <v>44896</v>
      </c>
      <c r="H146" s="158">
        <v>44926</v>
      </c>
      <c r="I146" s="153">
        <v>1</v>
      </c>
      <c r="J146" s="153">
        <v>1</v>
      </c>
      <c r="K146" s="153">
        <v>52</v>
      </c>
      <c r="L146" s="167">
        <v>1744861.92810306</v>
      </c>
      <c r="M146" s="7">
        <f t="shared" si="23"/>
        <v>1744861.92810306</v>
      </c>
      <c r="N146" s="7">
        <f t="shared" si="24"/>
        <v>261729.28921545899</v>
      </c>
      <c r="O146" s="174">
        <f t="shared" si="25"/>
        <v>1483132.638887601</v>
      </c>
      <c r="P146" s="157">
        <v>44896</v>
      </c>
    </row>
    <row r="147" spans="2:16" ht="14.4" hidden="1" x14ac:dyDescent="0.3">
      <c r="B147" s="248">
        <v>141</v>
      </c>
      <c r="C147" s="253" t="s">
        <v>5212</v>
      </c>
      <c r="D147" s="153" t="s">
        <v>5113</v>
      </c>
      <c r="E147" s="153" t="s">
        <v>5114</v>
      </c>
      <c r="F147" s="154" t="s">
        <v>5088</v>
      </c>
      <c r="G147" s="158">
        <v>44896</v>
      </c>
      <c r="H147" s="158">
        <v>44926</v>
      </c>
      <c r="I147" s="153">
        <v>1</v>
      </c>
      <c r="J147" s="153">
        <v>1</v>
      </c>
      <c r="K147" s="153">
        <v>6</v>
      </c>
      <c r="L147" s="167">
        <v>895360.00011026103</v>
      </c>
      <c r="M147" s="7">
        <f t="shared" si="23"/>
        <v>895360.00011026103</v>
      </c>
      <c r="N147" s="7">
        <f t="shared" si="24"/>
        <v>134304.00001653915</v>
      </c>
      <c r="O147" s="174">
        <f t="shared" si="25"/>
        <v>761056.0000937219</v>
      </c>
      <c r="P147" s="157">
        <v>44896</v>
      </c>
    </row>
    <row r="148" spans="2:16" ht="14.4" hidden="1" x14ac:dyDescent="0.3">
      <c r="B148" s="249">
        <v>142</v>
      </c>
      <c r="C148" s="253" t="s">
        <v>5213</v>
      </c>
      <c r="D148" s="153" t="s">
        <v>5116</v>
      </c>
      <c r="E148" s="153" t="s">
        <v>5117</v>
      </c>
      <c r="F148" s="154" t="s">
        <v>5088</v>
      </c>
      <c r="G148" s="158">
        <v>44896</v>
      </c>
      <c r="H148" s="158">
        <v>44926</v>
      </c>
      <c r="I148" s="153">
        <v>1</v>
      </c>
      <c r="J148" s="153">
        <v>1</v>
      </c>
      <c r="K148" s="153">
        <v>22</v>
      </c>
      <c r="L148" s="167">
        <v>1215614.7069552301</v>
      </c>
      <c r="M148" s="7">
        <f t="shared" si="23"/>
        <v>1215614.7069552301</v>
      </c>
      <c r="N148" s="7">
        <f t="shared" si="24"/>
        <v>182342.2060432845</v>
      </c>
      <c r="O148" s="174">
        <f t="shared" si="25"/>
        <v>1033272.5009119456</v>
      </c>
      <c r="P148" s="157">
        <v>44896</v>
      </c>
    </row>
    <row r="149" spans="2:16" ht="14.4" hidden="1" x14ac:dyDescent="0.3">
      <c r="B149" s="248">
        <v>143</v>
      </c>
      <c r="C149" s="253" t="s">
        <v>5214</v>
      </c>
      <c r="D149" s="153" t="s">
        <v>5119</v>
      </c>
      <c r="E149" s="153" t="s">
        <v>5120</v>
      </c>
      <c r="F149" s="154" t="s">
        <v>5088</v>
      </c>
      <c r="G149" s="158">
        <v>44896</v>
      </c>
      <c r="H149" s="158">
        <v>44926</v>
      </c>
      <c r="I149" s="153">
        <v>1</v>
      </c>
      <c r="J149" s="153">
        <v>1</v>
      </c>
      <c r="K149" s="153">
        <v>55</v>
      </c>
      <c r="L149" s="167">
        <v>1744861.92810306</v>
      </c>
      <c r="M149" s="7">
        <f t="shared" si="23"/>
        <v>1744861.92810306</v>
      </c>
      <c r="N149" s="7">
        <f t="shared" si="24"/>
        <v>261729.28921545899</v>
      </c>
      <c r="O149" s="174">
        <f t="shared" si="25"/>
        <v>1483132.638887601</v>
      </c>
      <c r="P149" s="157">
        <v>44896</v>
      </c>
    </row>
    <row r="150" spans="2:16" ht="14.4" hidden="1" x14ac:dyDescent="0.3">
      <c r="B150" s="249">
        <v>144</v>
      </c>
      <c r="C150" s="253" t="s">
        <v>5215</v>
      </c>
      <c r="D150" s="153" t="s">
        <v>5122</v>
      </c>
      <c r="E150" s="153" t="s">
        <v>5123</v>
      </c>
      <c r="F150" s="154" t="s">
        <v>5088</v>
      </c>
      <c r="G150" s="158">
        <v>44896</v>
      </c>
      <c r="H150" s="158">
        <v>44926</v>
      </c>
      <c r="I150" s="153">
        <v>1</v>
      </c>
      <c r="J150" s="153">
        <v>1</v>
      </c>
      <c r="K150" s="153">
        <v>9</v>
      </c>
      <c r="L150" s="167">
        <v>895360.00011026103</v>
      </c>
      <c r="M150" s="7">
        <f t="shared" si="23"/>
        <v>895360.00011026103</v>
      </c>
      <c r="N150" s="7">
        <f t="shared" si="24"/>
        <v>134304.00001653915</v>
      </c>
      <c r="O150" s="174">
        <f t="shared" si="25"/>
        <v>761056.0000937219</v>
      </c>
      <c r="P150" s="157">
        <v>44896</v>
      </c>
    </row>
    <row r="151" spans="2:16" ht="14.4" hidden="1" x14ac:dyDescent="0.3">
      <c r="B151" s="248">
        <v>145</v>
      </c>
      <c r="C151" s="253" t="s">
        <v>5216</v>
      </c>
      <c r="D151" s="153" t="s">
        <v>5125</v>
      </c>
      <c r="E151" s="153" t="s">
        <v>5126</v>
      </c>
      <c r="F151" s="154" t="s">
        <v>5088</v>
      </c>
      <c r="G151" s="158">
        <v>44896</v>
      </c>
      <c r="H151" s="158">
        <v>44926</v>
      </c>
      <c r="I151" s="153">
        <v>1</v>
      </c>
      <c r="J151" s="153">
        <v>1</v>
      </c>
      <c r="K151" s="153">
        <v>57</v>
      </c>
      <c r="L151" s="167">
        <v>1744861.92810306</v>
      </c>
      <c r="M151" s="7">
        <f t="shared" si="23"/>
        <v>1744861.92810306</v>
      </c>
      <c r="N151" s="7">
        <f t="shared" si="24"/>
        <v>261729.28921545899</v>
      </c>
      <c r="O151" s="174">
        <f t="shared" si="25"/>
        <v>1483132.638887601</v>
      </c>
      <c r="P151" s="157">
        <v>44896</v>
      </c>
    </row>
    <row r="152" spans="2:16" ht="14.4" hidden="1" customHeight="1" x14ac:dyDescent="0.3">
      <c r="B152" s="249">
        <v>146</v>
      </c>
      <c r="C152" s="153" t="s">
        <v>5360</v>
      </c>
      <c r="D152" s="153" t="s">
        <v>5356</v>
      </c>
      <c r="E152" s="153" t="s">
        <v>5357</v>
      </c>
      <c r="F152" s="154" t="s">
        <v>5088</v>
      </c>
      <c r="G152" s="158">
        <v>44896</v>
      </c>
      <c r="H152" s="158">
        <v>44926</v>
      </c>
      <c r="I152" s="153">
        <v>1</v>
      </c>
      <c r="J152" s="153">
        <v>1</v>
      </c>
      <c r="K152" s="153">
        <v>54</v>
      </c>
      <c r="L152" s="153">
        <v>1744861.92810306</v>
      </c>
      <c r="M152" s="7">
        <f t="shared" ref="M152:M169" si="31">L152*J152</f>
        <v>1744861.92810306</v>
      </c>
      <c r="N152" s="7">
        <f t="shared" ref="N152:N169" si="32">M152*$N$5</f>
        <v>261729.28921545899</v>
      </c>
      <c r="O152" s="174">
        <f t="shared" ref="O152:O169" si="33">M152-N152</f>
        <v>1483132.638887601</v>
      </c>
      <c r="P152" s="157">
        <v>44896</v>
      </c>
    </row>
    <row r="153" spans="2:16" ht="14.4" x14ac:dyDescent="0.3">
      <c r="B153" s="248">
        <v>147</v>
      </c>
      <c r="C153" s="253" t="s">
        <v>5374</v>
      </c>
      <c r="D153" s="153" t="s">
        <v>5067</v>
      </c>
      <c r="E153" s="153" t="s">
        <v>5068</v>
      </c>
      <c r="F153" s="154" t="s">
        <v>5088</v>
      </c>
      <c r="G153" s="158">
        <v>44927</v>
      </c>
      <c r="H153" s="158">
        <v>44957</v>
      </c>
      <c r="I153" s="153">
        <v>1</v>
      </c>
      <c r="J153" s="153">
        <v>1</v>
      </c>
      <c r="K153" s="153">
        <v>65</v>
      </c>
      <c r="L153" s="167">
        <v>1744861.92810306</v>
      </c>
      <c r="M153" s="7">
        <f t="shared" si="31"/>
        <v>1744861.92810306</v>
      </c>
      <c r="N153" s="7">
        <f t="shared" si="32"/>
        <v>261729.28921545899</v>
      </c>
      <c r="O153" s="174">
        <f t="shared" si="33"/>
        <v>1483132.638887601</v>
      </c>
      <c r="P153" s="157">
        <v>44927</v>
      </c>
    </row>
    <row r="154" spans="2:16" ht="14.4" x14ac:dyDescent="0.3">
      <c r="B154" s="249">
        <v>148</v>
      </c>
      <c r="C154" s="253" t="s">
        <v>5375</v>
      </c>
      <c r="D154" s="153" t="s">
        <v>5070</v>
      </c>
      <c r="E154" s="153" t="s">
        <v>5071</v>
      </c>
      <c r="F154" s="154" t="s">
        <v>5088</v>
      </c>
      <c r="G154" s="158">
        <v>44927</v>
      </c>
      <c r="H154" s="158">
        <v>44957</v>
      </c>
      <c r="I154" s="153">
        <v>1</v>
      </c>
      <c r="J154" s="153">
        <v>1</v>
      </c>
      <c r="K154" s="153">
        <v>60</v>
      </c>
      <c r="L154" s="167">
        <v>1744861.92810306</v>
      </c>
      <c r="M154" s="7">
        <f t="shared" si="31"/>
        <v>1744861.92810306</v>
      </c>
      <c r="N154" s="7">
        <f t="shared" si="32"/>
        <v>261729.28921545899</v>
      </c>
      <c r="O154" s="174">
        <f t="shared" si="33"/>
        <v>1483132.638887601</v>
      </c>
      <c r="P154" s="157">
        <v>44927</v>
      </c>
    </row>
    <row r="155" spans="2:16" ht="14.4" x14ac:dyDescent="0.3">
      <c r="B155" s="248">
        <v>149</v>
      </c>
      <c r="C155" s="253" t="s">
        <v>5376</v>
      </c>
      <c r="D155" s="153" t="s">
        <v>5073</v>
      </c>
      <c r="E155" s="153" t="s">
        <v>5074</v>
      </c>
      <c r="F155" s="154" t="s">
        <v>5088</v>
      </c>
      <c r="G155" s="158">
        <v>44927</v>
      </c>
      <c r="H155" s="158">
        <v>44957</v>
      </c>
      <c r="I155" s="153">
        <v>1</v>
      </c>
      <c r="J155" s="153">
        <v>1</v>
      </c>
      <c r="K155" s="153">
        <v>54</v>
      </c>
      <c r="L155" s="167">
        <v>1744861.92810306</v>
      </c>
      <c r="M155" s="7">
        <f t="shared" si="31"/>
        <v>1744861.92810306</v>
      </c>
      <c r="N155" s="7">
        <f t="shared" si="32"/>
        <v>261729.28921545899</v>
      </c>
      <c r="O155" s="174">
        <f t="shared" si="33"/>
        <v>1483132.638887601</v>
      </c>
      <c r="P155" s="157">
        <v>44927</v>
      </c>
    </row>
    <row r="156" spans="2:16" ht="14.4" x14ac:dyDescent="0.3">
      <c r="B156" s="249">
        <v>150</v>
      </c>
      <c r="C156" s="253" t="s">
        <v>5377</v>
      </c>
      <c r="D156" s="153" t="s">
        <v>5076</v>
      </c>
      <c r="E156" s="153" t="s">
        <v>5077</v>
      </c>
      <c r="F156" s="154" t="s">
        <v>5088</v>
      </c>
      <c r="G156" s="158">
        <v>44927</v>
      </c>
      <c r="H156" s="158">
        <v>44957</v>
      </c>
      <c r="I156" s="153">
        <v>1</v>
      </c>
      <c r="J156" s="153">
        <v>1</v>
      </c>
      <c r="K156" s="153">
        <v>65</v>
      </c>
      <c r="L156" s="167">
        <v>1744861.92810306</v>
      </c>
      <c r="M156" s="7">
        <f t="shared" si="31"/>
        <v>1744861.92810306</v>
      </c>
      <c r="N156" s="7">
        <f t="shared" si="32"/>
        <v>261729.28921545899</v>
      </c>
      <c r="O156" s="174">
        <f t="shared" si="33"/>
        <v>1483132.638887601</v>
      </c>
      <c r="P156" s="157">
        <v>44927</v>
      </c>
    </row>
    <row r="157" spans="2:16" ht="14.4" x14ac:dyDescent="0.3">
      <c r="B157" s="248">
        <v>151</v>
      </c>
      <c r="C157" s="253" t="s">
        <v>5378</v>
      </c>
      <c r="D157" s="153" t="s">
        <v>5079</v>
      </c>
      <c r="E157" s="153" t="s">
        <v>5080</v>
      </c>
      <c r="F157" s="154" t="s">
        <v>5088</v>
      </c>
      <c r="G157" s="158">
        <v>44927</v>
      </c>
      <c r="H157" s="158">
        <v>44957</v>
      </c>
      <c r="I157" s="153">
        <v>1</v>
      </c>
      <c r="J157" s="153">
        <v>1</v>
      </c>
      <c r="K157" s="153">
        <v>45</v>
      </c>
      <c r="L157" s="167">
        <v>1435883.78979314</v>
      </c>
      <c r="M157" s="7">
        <f t="shared" si="31"/>
        <v>1435883.78979314</v>
      </c>
      <c r="N157" s="7">
        <f t="shared" si="32"/>
        <v>215382.568468971</v>
      </c>
      <c r="O157" s="174">
        <f t="shared" si="33"/>
        <v>1220501.2213241691</v>
      </c>
      <c r="P157" s="157">
        <v>44927</v>
      </c>
    </row>
    <row r="158" spans="2:16" ht="14.4" x14ac:dyDescent="0.3">
      <c r="B158" s="249">
        <v>152</v>
      </c>
      <c r="C158" s="253" t="s">
        <v>5379</v>
      </c>
      <c r="D158" s="153" t="s">
        <v>5082</v>
      </c>
      <c r="E158" s="153" t="s">
        <v>5083</v>
      </c>
      <c r="F158" s="154" t="s">
        <v>5088</v>
      </c>
      <c r="G158" s="158">
        <v>44927</v>
      </c>
      <c r="H158" s="158">
        <v>44957</v>
      </c>
      <c r="I158" s="153">
        <v>1</v>
      </c>
      <c r="J158" s="153">
        <v>1</v>
      </c>
      <c r="K158" s="153">
        <v>50</v>
      </c>
      <c r="L158" s="167">
        <v>1744861.92810306</v>
      </c>
      <c r="M158" s="7">
        <f t="shared" si="31"/>
        <v>1744861.92810306</v>
      </c>
      <c r="N158" s="7">
        <f t="shared" si="32"/>
        <v>261729.28921545899</v>
      </c>
      <c r="O158" s="174">
        <f t="shared" si="33"/>
        <v>1483132.638887601</v>
      </c>
      <c r="P158" s="157">
        <v>44927</v>
      </c>
    </row>
    <row r="159" spans="2:16" ht="14.4" x14ac:dyDescent="0.3">
      <c r="B159" s="248">
        <v>153</v>
      </c>
      <c r="C159" s="253" t="s">
        <v>5380</v>
      </c>
      <c r="D159" s="153" t="s">
        <v>5085</v>
      </c>
      <c r="E159" s="153" t="s">
        <v>5086</v>
      </c>
      <c r="F159" s="154" t="s">
        <v>5088</v>
      </c>
      <c r="G159" s="158">
        <v>44927</v>
      </c>
      <c r="H159" s="158">
        <v>44957</v>
      </c>
      <c r="I159" s="153">
        <v>1</v>
      </c>
      <c r="J159" s="153">
        <v>1</v>
      </c>
      <c r="K159" s="153">
        <v>42</v>
      </c>
      <c r="L159" s="167">
        <v>1435883.78979314</v>
      </c>
      <c r="M159" s="7">
        <f t="shared" si="31"/>
        <v>1435883.78979314</v>
      </c>
      <c r="N159" s="7">
        <f t="shared" si="32"/>
        <v>215382.568468971</v>
      </c>
      <c r="O159" s="174">
        <f t="shared" si="33"/>
        <v>1220501.2213241691</v>
      </c>
      <c r="P159" s="157">
        <v>44927</v>
      </c>
    </row>
    <row r="160" spans="2:16" ht="14.4" x14ac:dyDescent="0.3">
      <c r="B160" s="249">
        <v>154</v>
      </c>
      <c r="C160" s="253" t="s">
        <v>5381</v>
      </c>
      <c r="D160" s="153" t="s">
        <v>5098</v>
      </c>
      <c r="E160" s="153" t="s">
        <v>5099</v>
      </c>
      <c r="F160" s="154" t="s">
        <v>5088</v>
      </c>
      <c r="G160" s="158">
        <v>44927</v>
      </c>
      <c r="H160" s="158">
        <v>44957</v>
      </c>
      <c r="I160" s="153">
        <v>1</v>
      </c>
      <c r="J160" s="153">
        <v>1</v>
      </c>
      <c r="K160" s="153">
        <v>52</v>
      </c>
      <c r="L160" s="167">
        <v>1744861.92810306</v>
      </c>
      <c r="M160" s="7">
        <f t="shared" si="31"/>
        <v>1744861.92810306</v>
      </c>
      <c r="N160" s="7">
        <f t="shared" si="32"/>
        <v>261729.28921545899</v>
      </c>
      <c r="O160" s="174">
        <f t="shared" si="33"/>
        <v>1483132.638887601</v>
      </c>
      <c r="P160" s="157">
        <v>44927</v>
      </c>
    </row>
    <row r="161" spans="2:16" ht="14.4" x14ac:dyDescent="0.3">
      <c r="B161" s="248">
        <v>155</v>
      </c>
      <c r="C161" s="253" t="s">
        <v>5382</v>
      </c>
      <c r="D161" s="153" t="s">
        <v>5101</v>
      </c>
      <c r="E161" s="153" t="s">
        <v>5102</v>
      </c>
      <c r="F161" s="154" t="s">
        <v>5088</v>
      </c>
      <c r="G161" s="158">
        <v>44927</v>
      </c>
      <c r="H161" s="158">
        <v>44957</v>
      </c>
      <c r="I161" s="153">
        <v>1</v>
      </c>
      <c r="J161" s="153">
        <v>1</v>
      </c>
      <c r="K161" s="153">
        <v>63</v>
      </c>
      <c r="L161" s="167">
        <v>1744861.92810306</v>
      </c>
      <c r="M161" s="7">
        <f t="shared" si="31"/>
        <v>1744861.92810306</v>
      </c>
      <c r="N161" s="7">
        <f t="shared" si="32"/>
        <v>261729.28921545899</v>
      </c>
      <c r="O161" s="174">
        <f t="shared" si="33"/>
        <v>1483132.638887601</v>
      </c>
      <c r="P161" s="157">
        <v>44927</v>
      </c>
    </row>
    <row r="162" spans="2:16" ht="14.4" x14ac:dyDescent="0.3">
      <c r="B162" s="249">
        <v>156</v>
      </c>
      <c r="C162" s="253" t="s">
        <v>5383</v>
      </c>
      <c r="D162" s="153" t="s">
        <v>5104</v>
      </c>
      <c r="E162" s="153" t="s">
        <v>5105</v>
      </c>
      <c r="F162" s="154" t="s">
        <v>5088</v>
      </c>
      <c r="G162" s="158">
        <v>44927</v>
      </c>
      <c r="H162" s="158">
        <v>44957</v>
      </c>
      <c r="I162" s="153">
        <v>1</v>
      </c>
      <c r="J162" s="153">
        <v>1</v>
      </c>
      <c r="K162" s="153">
        <v>50</v>
      </c>
      <c r="L162" s="167">
        <v>1744861.92810306</v>
      </c>
      <c r="M162" s="7">
        <f t="shared" si="31"/>
        <v>1744861.92810306</v>
      </c>
      <c r="N162" s="7">
        <f t="shared" si="32"/>
        <v>261729.28921545899</v>
      </c>
      <c r="O162" s="174">
        <f t="shared" si="33"/>
        <v>1483132.638887601</v>
      </c>
      <c r="P162" s="157">
        <v>44927</v>
      </c>
    </row>
    <row r="163" spans="2:16" ht="14.4" x14ac:dyDescent="0.3">
      <c r="B163" s="248">
        <v>157</v>
      </c>
      <c r="C163" s="253" t="s">
        <v>5384</v>
      </c>
      <c r="D163" s="153" t="s">
        <v>5107</v>
      </c>
      <c r="E163" s="153" t="s">
        <v>5108</v>
      </c>
      <c r="F163" s="154" t="s">
        <v>5088</v>
      </c>
      <c r="G163" s="158">
        <v>44927</v>
      </c>
      <c r="H163" s="158">
        <v>44957</v>
      </c>
      <c r="I163" s="153">
        <v>1</v>
      </c>
      <c r="J163" s="153">
        <v>1</v>
      </c>
      <c r="K163" s="153">
        <v>12</v>
      </c>
      <c r="L163" s="167">
        <v>895360.00011026103</v>
      </c>
      <c r="M163" s="7">
        <f t="shared" si="31"/>
        <v>895360.00011026103</v>
      </c>
      <c r="N163" s="7">
        <f t="shared" si="32"/>
        <v>134304.00001653915</v>
      </c>
      <c r="O163" s="174">
        <f t="shared" si="33"/>
        <v>761056.0000937219</v>
      </c>
      <c r="P163" s="157">
        <v>44927</v>
      </c>
    </row>
    <row r="164" spans="2:16" ht="14.4" x14ac:dyDescent="0.3">
      <c r="B164" s="249">
        <v>158</v>
      </c>
      <c r="C164" s="253" t="s">
        <v>5385</v>
      </c>
      <c r="D164" s="153" t="s">
        <v>5110</v>
      </c>
      <c r="E164" s="153" t="s">
        <v>5111</v>
      </c>
      <c r="F164" s="154" t="s">
        <v>5088</v>
      </c>
      <c r="G164" s="158">
        <v>44927</v>
      </c>
      <c r="H164" s="158">
        <v>44957</v>
      </c>
      <c r="I164" s="153">
        <v>1</v>
      </c>
      <c r="J164" s="153">
        <v>1</v>
      </c>
      <c r="K164" s="153">
        <v>52</v>
      </c>
      <c r="L164" s="167">
        <v>1744861.92810306</v>
      </c>
      <c r="M164" s="7">
        <f t="shared" si="31"/>
        <v>1744861.92810306</v>
      </c>
      <c r="N164" s="7">
        <f t="shared" si="32"/>
        <v>261729.28921545899</v>
      </c>
      <c r="O164" s="174">
        <f t="shared" si="33"/>
        <v>1483132.638887601</v>
      </c>
      <c r="P164" s="157">
        <v>44927</v>
      </c>
    </row>
    <row r="165" spans="2:16" ht="14.4" x14ac:dyDescent="0.3">
      <c r="B165" s="248">
        <v>159</v>
      </c>
      <c r="C165" s="253" t="s">
        <v>5386</v>
      </c>
      <c r="D165" s="153" t="s">
        <v>5113</v>
      </c>
      <c r="E165" s="153" t="s">
        <v>5114</v>
      </c>
      <c r="F165" s="154" t="s">
        <v>5088</v>
      </c>
      <c r="G165" s="158">
        <v>44927</v>
      </c>
      <c r="H165" s="158">
        <v>44957</v>
      </c>
      <c r="I165" s="153">
        <v>1</v>
      </c>
      <c r="J165" s="153">
        <v>1</v>
      </c>
      <c r="K165" s="153">
        <v>6</v>
      </c>
      <c r="L165" s="167">
        <v>895360.00011026103</v>
      </c>
      <c r="M165" s="7">
        <f t="shared" si="31"/>
        <v>895360.00011026103</v>
      </c>
      <c r="N165" s="7">
        <f t="shared" si="32"/>
        <v>134304.00001653915</v>
      </c>
      <c r="O165" s="174">
        <f t="shared" si="33"/>
        <v>761056.0000937219</v>
      </c>
      <c r="P165" s="157">
        <v>44927</v>
      </c>
    </row>
    <row r="166" spans="2:16" ht="14.4" x14ac:dyDescent="0.3">
      <c r="B166" s="249">
        <v>160</v>
      </c>
      <c r="C166" s="253" t="s">
        <v>5387</v>
      </c>
      <c r="D166" s="153" t="s">
        <v>5116</v>
      </c>
      <c r="E166" s="153" t="s">
        <v>5117</v>
      </c>
      <c r="F166" s="154" t="s">
        <v>5088</v>
      </c>
      <c r="G166" s="158">
        <v>44927</v>
      </c>
      <c r="H166" s="158">
        <v>44957</v>
      </c>
      <c r="I166" s="153">
        <v>1</v>
      </c>
      <c r="J166" s="153">
        <v>1</v>
      </c>
      <c r="K166" s="153">
        <v>22</v>
      </c>
      <c r="L166" s="167">
        <v>1215614.7069552301</v>
      </c>
      <c r="M166" s="7">
        <f t="shared" si="31"/>
        <v>1215614.7069552301</v>
      </c>
      <c r="N166" s="7">
        <f t="shared" si="32"/>
        <v>182342.2060432845</v>
      </c>
      <c r="O166" s="174">
        <f t="shared" si="33"/>
        <v>1033272.5009119456</v>
      </c>
      <c r="P166" s="157">
        <v>44927</v>
      </c>
    </row>
    <row r="167" spans="2:16" ht="14.4" x14ac:dyDescent="0.3">
      <c r="B167" s="248">
        <v>161</v>
      </c>
      <c r="C167" s="253" t="s">
        <v>5388</v>
      </c>
      <c r="D167" s="153" t="s">
        <v>5119</v>
      </c>
      <c r="E167" s="153" t="s">
        <v>5120</v>
      </c>
      <c r="F167" s="154" t="s">
        <v>5088</v>
      </c>
      <c r="G167" s="158">
        <v>44927</v>
      </c>
      <c r="H167" s="158">
        <v>44957</v>
      </c>
      <c r="I167" s="153">
        <v>1</v>
      </c>
      <c r="J167" s="153">
        <v>1</v>
      </c>
      <c r="K167" s="153">
        <v>55</v>
      </c>
      <c r="L167" s="167">
        <v>1744861.92810306</v>
      </c>
      <c r="M167" s="7">
        <f t="shared" si="31"/>
        <v>1744861.92810306</v>
      </c>
      <c r="N167" s="7">
        <f t="shared" si="32"/>
        <v>261729.28921545899</v>
      </c>
      <c r="O167" s="174">
        <f t="shared" si="33"/>
        <v>1483132.638887601</v>
      </c>
      <c r="P167" s="157">
        <v>44927</v>
      </c>
    </row>
    <row r="168" spans="2:16" ht="14.4" x14ac:dyDescent="0.3">
      <c r="B168" s="249">
        <v>162</v>
      </c>
      <c r="C168" s="253" t="s">
        <v>5389</v>
      </c>
      <c r="D168" s="153" t="s">
        <v>5122</v>
      </c>
      <c r="E168" s="153" t="s">
        <v>5123</v>
      </c>
      <c r="F168" s="154" t="s">
        <v>5088</v>
      </c>
      <c r="G168" s="158">
        <v>44927</v>
      </c>
      <c r="H168" s="158">
        <v>44957</v>
      </c>
      <c r="I168" s="153">
        <v>1</v>
      </c>
      <c r="J168" s="153">
        <v>1</v>
      </c>
      <c r="K168" s="153">
        <v>9</v>
      </c>
      <c r="L168" s="167">
        <v>895360.00011026103</v>
      </c>
      <c r="M168" s="7">
        <f t="shared" si="31"/>
        <v>895360.00011026103</v>
      </c>
      <c r="N168" s="7">
        <f t="shared" si="32"/>
        <v>134304.00001653915</v>
      </c>
      <c r="O168" s="174">
        <f t="shared" si="33"/>
        <v>761056.0000937219</v>
      </c>
      <c r="P168" s="157">
        <v>44927</v>
      </c>
    </row>
    <row r="169" spans="2:16" ht="14.4" x14ac:dyDescent="0.3">
      <c r="B169" s="248">
        <v>163</v>
      </c>
      <c r="C169" s="253" t="s">
        <v>5390</v>
      </c>
      <c r="D169" s="153" t="s">
        <v>5125</v>
      </c>
      <c r="E169" s="153" t="s">
        <v>5126</v>
      </c>
      <c r="F169" s="154" t="s">
        <v>5088</v>
      </c>
      <c r="G169" s="158">
        <v>44927</v>
      </c>
      <c r="H169" s="158">
        <v>44957</v>
      </c>
      <c r="I169" s="153">
        <v>1</v>
      </c>
      <c r="J169" s="153">
        <v>1</v>
      </c>
      <c r="K169" s="153">
        <v>57</v>
      </c>
      <c r="L169" s="167">
        <v>1744861.92810306</v>
      </c>
      <c r="M169" s="7">
        <f t="shared" si="31"/>
        <v>1744861.92810306</v>
      </c>
      <c r="N169" s="7">
        <f t="shared" si="32"/>
        <v>261729.28921545899</v>
      </c>
      <c r="O169" s="174">
        <f t="shared" si="33"/>
        <v>1483132.638887601</v>
      </c>
      <c r="P169" s="157">
        <v>44927</v>
      </c>
    </row>
    <row r="170" spans="2:16" ht="14.4" x14ac:dyDescent="0.3">
      <c r="B170" s="249">
        <v>164</v>
      </c>
      <c r="C170" s="153" t="s">
        <v>5391</v>
      </c>
      <c r="D170" s="153" t="s">
        <v>5356</v>
      </c>
      <c r="E170" s="153" t="s">
        <v>5357</v>
      </c>
      <c r="F170" s="154" t="s">
        <v>5088</v>
      </c>
      <c r="G170" s="158">
        <v>44927</v>
      </c>
      <c r="H170" s="158">
        <v>44957</v>
      </c>
      <c r="I170" s="153">
        <v>1</v>
      </c>
      <c r="J170" s="153">
        <v>1</v>
      </c>
      <c r="K170" s="153">
        <v>54</v>
      </c>
      <c r="L170" s="153">
        <v>1744861.92810306</v>
      </c>
      <c r="M170" s="7">
        <f t="shared" ref="M170:M206" si="34">L170*J170</f>
        <v>1744861.92810306</v>
      </c>
      <c r="N170" s="7">
        <f t="shared" ref="N170:N206" si="35">M170*$N$5</f>
        <v>261729.28921545899</v>
      </c>
      <c r="O170" s="174">
        <f t="shared" ref="O170:O206" si="36">M170-N170</f>
        <v>1483132.638887601</v>
      </c>
      <c r="P170" s="157">
        <v>44927</v>
      </c>
    </row>
    <row r="171" spans="2:16" ht="14.4" x14ac:dyDescent="0.3">
      <c r="B171" s="248">
        <v>165</v>
      </c>
      <c r="C171" s="253" t="s">
        <v>5392</v>
      </c>
      <c r="D171" s="153" t="s">
        <v>5067</v>
      </c>
      <c r="E171" s="153" t="s">
        <v>5068</v>
      </c>
      <c r="F171" s="154" t="s">
        <v>5088</v>
      </c>
      <c r="G171" s="158">
        <v>44958</v>
      </c>
      <c r="H171" s="158">
        <v>44985</v>
      </c>
      <c r="I171" s="153">
        <v>1</v>
      </c>
      <c r="J171" s="153">
        <v>1</v>
      </c>
      <c r="K171" s="153">
        <v>65</v>
      </c>
      <c r="L171" s="167">
        <v>1744861.92810306</v>
      </c>
      <c r="M171" s="7">
        <f t="shared" si="34"/>
        <v>1744861.92810306</v>
      </c>
      <c r="N171" s="7">
        <f t="shared" si="35"/>
        <v>261729.28921545899</v>
      </c>
      <c r="O171" s="174">
        <f t="shared" si="36"/>
        <v>1483132.638887601</v>
      </c>
      <c r="P171" s="157">
        <v>44985</v>
      </c>
    </row>
    <row r="172" spans="2:16" ht="14.4" x14ac:dyDescent="0.3">
      <c r="B172" s="249">
        <v>166</v>
      </c>
      <c r="C172" s="253" t="s">
        <v>5393</v>
      </c>
      <c r="D172" s="153" t="s">
        <v>5070</v>
      </c>
      <c r="E172" s="153" t="s">
        <v>5071</v>
      </c>
      <c r="F172" s="154" t="s">
        <v>5088</v>
      </c>
      <c r="G172" s="158">
        <v>44958</v>
      </c>
      <c r="H172" s="158">
        <v>44985</v>
      </c>
      <c r="I172" s="153">
        <v>1</v>
      </c>
      <c r="J172" s="153">
        <v>1</v>
      </c>
      <c r="K172" s="153">
        <v>60</v>
      </c>
      <c r="L172" s="167">
        <v>1744861.92810306</v>
      </c>
      <c r="M172" s="7">
        <f t="shared" si="34"/>
        <v>1744861.92810306</v>
      </c>
      <c r="N172" s="7">
        <f t="shared" si="35"/>
        <v>261729.28921545899</v>
      </c>
      <c r="O172" s="174">
        <f t="shared" si="36"/>
        <v>1483132.638887601</v>
      </c>
      <c r="P172" s="157">
        <v>44985</v>
      </c>
    </row>
    <row r="173" spans="2:16" ht="14.4" x14ac:dyDescent="0.3">
      <c r="B173" s="248">
        <v>167</v>
      </c>
      <c r="C173" s="253" t="s">
        <v>5394</v>
      </c>
      <c r="D173" s="153" t="s">
        <v>5073</v>
      </c>
      <c r="E173" s="153" t="s">
        <v>5074</v>
      </c>
      <c r="F173" s="154" t="s">
        <v>5088</v>
      </c>
      <c r="G173" s="158">
        <v>44958</v>
      </c>
      <c r="H173" s="158">
        <v>44985</v>
      </c>
      <c r="I173" s="153">
        <v>1</v>
      </c>
      <c r="J173" s="153">
        <v>1</v>
      </c>
      <c r="K173" s="153">
        <v>54</v>
      </c>
      <c r="L173" s="167">
        <v>1744861.92810306</v>
      </c>
      <c r="M173" s="7">
        <f t="shared" si="34"/>
        <v>1744861.92810306</v>
      </c>
      <c r="N173" s="7">
        <f t="shared" si="35"/>
        <v>261729.28921545899</v>
      </c>
      <c r="O173" s="174">
        <f t="shared" si="36"/>
        <v>1483132.638887601</v>
      </c>
      <c r="P173" s="157">
        <v>44985</v>
      </c>
    </row>
    <row r="174" spans="2:16" ht="14.4" x14ac:dyDescent="0.3">
      <c r="B174" s="249">
        <v>168</v>
      </c>
      <c r="C174" s="253" t="s">
        <v>5395</v>
      </c>
      <c r="D174" s="153" t="s">
        <v>5076</v>
      </c>
      <c r="E174" s="153" t="s">
        <v>5077</v>
      </c>
      <c r="F174" s="154" t="s">
        <v>5088</v>
      </c>
      <c r="G174" s="158">
        <v>44958</v>
      </c>
      <c r="H174" s="158">
        <v>44985</v>
      </c>
      <c r="I174" s="153">
        <v>1</v>
      </c>
      <c r="J174" s="153">
        <v>1</v>
      </c>
      <c r="K174" s="153">
        <v>65</v>
      </c>
      <c r="L174" s="167">
        <v>1744861.92810306</v>
      </c>
      <c r="M174" s="7">
        <f t="shared" si="34"/>
        <v>1744861.92810306</v>
      </c>
      <c r="N174" s="7">
        <f t="shared" si="35"/>
        <v>261729.28921545899</v>
      </c>
      <c r="O174" s="174">
        <f t="shared" si="36"/>
        <v>1483132.638887601</v>
      </c>
      <c r="P174" s="157">
        <v>44985</v>
      </c>
    </row>
    <row r="175" spans="2:16" ht="14.4" x14ac:dyDescent="0.3">
      <c r="B175" s="248">
        <v>169</v>
      </c>
      <c r="C175" s="253" t="s">
        <v>5396</v>
      </c>
      <c r="D175" s="153" t="s">
        <v>5079</v>
      </c>
      <c r="E175" s="153" t="s">
        <v>5080</v>
      </c>
      <c r="F175" s="154" t="s">
        <v>5088</v>
      </c>
      <c r="G175" s="158">
        <v>44958</v>
      </c>
      <c r="H175" s="158">
        <v>44985</v>
      </c>
      <c r="I175" s="153">
        <v>1</v>
      </c>
      <c r="J175" s="153">
        <v>1</v>
      </c>
      <c r="K175" s="153">
        <v>45</v>
      </c>
      <c r="L175" s="167">
        <v>1435883.78979314</v>
      </c>
      <c r="M175" s="7">
        <f t="shared" si="34"/>
        <v>1435883.78979314</v>
      </c>
      <c r="N175" s="7">
        <f t="shared" si="35"/>
        <v>215382.568468971</v>
      </c>
      <c r="O175" s="174">
        <f t="shared" si="36"/>
        <v>1220501.2213241691</v>
      </c>
      <c r="P175" s="157">
        <v>44985</v>
      </c>
    </row>
    <row r="176" spans="2:16" ht="14.4" x14ac:dyDescent="0.3">
      <c r="B176" s="249">
        <v>170</v>
      </c>
      <c r="C176" s="253" t="s">
        <v>5397</v>
      </c>
      <c r="D176" s="153" t="s">
        <v>5082</v>
      </c>
      <c r="E176" s="153" t="s">
        <v>5083</v>
      </c>
      <c r="F176" s="154" t="s">
        <v>5088</v>
      </c>
      <c r="G176" s="158">
        <v>44958</v>
      </c>
      <c r="H176" s="158">
        <v>44985</v>
      </c>
      <c r="I176" s="153">
        <v>1</v>
      </c>
      <c r="J176" s="153">
        <v>1</v>
      </c>
      <c r="K176" s="153">
        <v>50</v>
      </c>
      <c r="L176" s="167">
        <v>1744861.92810306</v>
      </c>
      <c r="M176" s="7">
        <f t="shared" si="34"/>
        <v>1744861.92810306</v>
      </c>
      <c r="N176" s="7">
        <f t="shared" si="35"/>
        <v>261729.28921545899</v>
      </c>
      <c r="O176" s="174">
        <f t="shared" si="36"/>
        <v>1483132.638887601</v>
      </c>
      <c r="P176" s="157">
        <v>44985</v>
      </c>
    </row>
    <row r="177" spans="2:16" ht="14.4" x14ac:dyDescent="0.3">
      <c r="B177" s="248">
        <v>171</v>
      </c>
      <c r="C177" s="253" t="s">
        <v>5398</v>
      </c>
      <c r="D177" s="153" t="s">
        <v>5085</v>
      </c>
      <c r="E177" s="153" t="s">
        <v>5086</v>
      </c>
      <c r="F177" s="154" t="s">
        <v>5088</v>
      </c>
      <c r="G177" s="158">
        <v>44958</v>
      </c>
      <c r="H177" s="158">
        <v>44985</v>
      </c>
      <c r="I177" s="153">
        <v>1</v>
      </c>
      <c r="J177" s="153">
        <v>1</v>
      </c>
      <c r="K177" s="153">
        <v>42</v>
      </c>
      <c r="L177" s="167">
        <v>1435883.78979314</v>
      </c>
      <c r="M177" s="7">
        <f t="shared" si="34"/>
        <v>1435883.78979314</v>
      </c>
      <c r="N177" s="7">
        <f t="shared" si="35"/>
        <v>215382.568468971</v>
      </c>
      <c r="O177" s="174">
        <f t="shared" si="36"/>
        <v>1220501.2213241691</v>
      </c>
      <c r="P177" s="157">
        <v>44985</v>
      </c>
    </row>
    <row r="178" spans="2:16" ht="14.4" x14ac:dyDescent="0.3">
      <c r="B178" s="249">
        <v>172</v>
      </c>
      <c r="C178" s="253" t="s">
        <v>5399</v>
      </c>
      <c r="D178" s="153" t="s">
        <v>5098</v>
      </c>
      <c r="E178" s="153" t="s">
        <v>5099</v>
      </c>
      <c r="F178" s="154" t="s">
        <v>5088</v>
      </c>
      <c r="G178" s="158">
        <v>44958</v>
      </c>
      <c r="H178" s="158">
        <v>44985</v>
      </c>
      <c r="I178" s="153">
        <v>1</v>
      </c>
      <c r="J178" s="153">
        <v>1</v>
      </c>
      <c r="K178" s="153">
        <v>52</v>
      </c>
      <c r="L178" s="167">
        <v>1744861.92810306</v>
      </c>
      <c r="M178" s="7">
        <f t="shared" si="34"/>
        <v>1744861.92810306</v>
      </c>
      <c r="N178" s="7">
        <f t="shared" si="35"/>
        <v>261729.28921545899</v>
      </c>
      <c r="O178" s="174">
        <f t="shared" si="36"/>
        <v>1483132.638887601</v>
      </c>
      <c r="P178" s="157">
        <v>44985</v>
      </c>
    </row>
    <row r="179" spans="2:16" ht="14.4" x14ac:dyDescent="0.3">
      <c r="B179" s="248">
        <v>173</v>
      </c>
      <c r="C179" s="253" t="s">
        <v>5400</v>
      </c>
      <c r="D179" s="153" t="s">
        <v>5101</v>
      </c>
      <c r="E179" s="153" t="s">
        <v>5102</v>
      </c>
      <c r="F179" s="154" t="s">
        <v>5088</v>
      </c>
      <c r="G179" s="158">
        <v>44958</v>
      </c>
      <c r="H179" s="158">
        <v>44985</v>
      </c>
      <c r="I179" s="153">
        <v>1</v>
      </c>
      <c r="J179" s="153">
        <v>1</v>
      </c>
      <c r="K179" s="153">
        <v>63</v>
      </c>
      <c r="L179" s="167">
        <v>1744861.92810306</v>
      </c>
      <c r="M179" s="7">
        <f t="shared" si="34"/>
        <v>1744861.92810306</v>
      </c>
      <c r="N179" s="7">
        <f t="shared" si="35"/>
        <v>261729.28921545899</v>
      </c>
      <c r="O179" s="174">
        <f t="shared" si="36"/>
        <v>1483132.638887601</v>
      </c>
      <c r="P179" s="157">
        <v>44985</v>
      </c>
    </row>
    <row r="180" spans="2:16" ht="14.4" x14ac:dyDescent="0.3">
      <c r="B180" s="249">
        <v>174</v>
      </c>
      <c r="C180" s="253" t="s">
        <v>5401</v>
      </c>
      <c r="D180" s="153" t="s">
        <v>5104</v>
      </c>
      <c r="E180" s="153" t="s">
        <v>5105</v>
      </c>
      <c r="F180" s="154" t="s">
        <v>5088</v>
      </c>
      <c r="G180" s="158">
        <v>44958</v>
      </c>
      <c r="H180" s="158">
        <v>44985</v>
      </c>
      <c r="I180" s="153">
        <v>1</v>
      </c>
      <c r="J180" s="153">
        <v>1</v>
      </c>
      <c r="K180" s="153">
        <v>50</v>
      </c>
      <c r="L180" s="167">
        <v>1744861.92810306</v>
      </c>
      <c r="M180" s="7">
        <f t="shared" si="34"/>
        <v>1744861.92810306</v>
      </c>
      <c r="N180" s="7">
        <f t="shared" si="35"/>
        <v>261729.28921545899</v>
      </c>
      <c r="O180" s="174">
        <f t="shared" si="36"/>
        <v>1483132.638887601</v>
      </c>
      <c r="P180" s="157">
        <v>44985</v>
      </c>
    </row>
    <row r="181" spans="2:16" ht="14.4" x14ac:dyDescent="0.3">
      <c r="B181" s="248">
        <v>175</v>
      </c>
      <c r="C181" s="253" t="s">
        <v>5402</v>
      </c>
      <c r="D181" s="153" t="s">
        <v>5107</v>
      </c>
      <c r="E181" s="153" t="s">
        <v>5108</v>
      </c>
      <c r="F181" s="154" t="s">
        <v>5088</v>
      </c>
      <c r="G181" s="158">
        <v>44958</v>
      </c>
      <c r="H181" s="158">
        <v>44985</v>
      </c>
      <c r="I181" s="153">
        <v>1</v>
      </c>
      <c r="J181" s="153">
        <v>1</v>
      </c>
      <c r="K181" s="153">
        <v>12</v>
      </c>
      <c r="L181" s="167">
        <v>895360.00011026103</v>
      </c>
      <c r="M181" s="7">
        <f t="shared" si="34"/>
        <v>895360.00011026103</v>
      </c>
      <c r="N181" s="7">
        <f t="shared" si="35"/>
        <v>134304.00001653915</v>
      </c>
      <c r="O181" s="174">
        <f t="shared" si="36"/>
        <v>761056.0000937219</v>
      </c>
      <c r="P181" s="157">
        <v>44985</v>
      </c>
    </row>
    <row r="182" spans="2:16" ht="14.4" x14ac:dyDescent="0.3">
      <c r="B182" s="249">
        <v>176</v>
      </c>
      <c r="C182" s="253" t="s">
        <v>5403</v>
      </c>
      <c r="D182" s="153" t="s">
        <v>5110</v>
      </c>
      <c r="E182" s="153" t="s">
        <v>5111</v>
      </c>
      <c r="F182" s="154" t="s">
        <v>5088</v>
      </c>
      <c r="G182" s="158">
        <v>44958</v>
      </c>
      <c r="H182" s="158">
        <v>44985</v>
      </c>
      <c r="I182" s="153">
        <v>1</v>
      </c>
      <c r="J182" s="153">
        <v>1</v>
      </c>
      <c r="K182" s="153">
        <v>52</v>
      </c>
      <c r="L182" s="167">
        <v>1744861.92810306</v>
      </c>
      <c r="M182" s="7">
        <f t="shared" si="34"/>
        <v>1744861.92810306</v>
      </c>
      <c r="N182" s="7">
        <f t="shared" si="35"/>
        <v>261729.28921545899</v>
      </c>
      <c r="O182" s="174">
        <f t="shared" si="36"/>
        <v>1483132.638887601</v>
      </c>
      <c r="P182" s="157">
        <v>44985</v>
      </c>
    </row>
    <row r="183" spans="2:16" ht="14.4" x14ac:dyDescent="0.3">
      <c r="B183" s="248">
        <v>177</v>
      </c>
      <c r="C183" s="253" t="s">
        <v>5404</v>
      </c>
      <c r="D183" s="153" t="s">
        <v>5113</v>
      </c>
      <c r="E183" s="153" t="s">
        <v>5114</v>
      </c>
      <c r="F183" s="154" t="s">
        <v>5088</v>
      </c>
      <c r="G183" s="158">
        <v>44958</v>
      </c>
      <c r="H183" s="158">
        <v>44985</v>
      </c>
      <c r="I183" s="153">
        <v>1</v>
      </c>
      <c r="J183" s="153">
        <v>1</v>
      </c>
      <c r="K183" s="153">
        <v>6</v>
      </c>
      <c r="L183" s="167">
        <v>895360.00011026103</v>
      </c>
      <c r="M183" s="7">
        <f t="shared" si="34"/>
        <v>895360.00011026103</v>
      </c>
      <c r="N183" s="7">
        <f t="shared" si="35"/>
        <v>134304.00001653915</v>
      </c>
      <c r="O183" s="174">
        <f t="shared" si="36"/>
        <v>761056.0000937219</v>
      </c>
      <c r="P183" s="157">
        <v>44985</v>
      </c>
    </row>
    <row r="184" spans="2:16" ht="14.4" x14ac:dyDescent="0.3">
      <c r="B184" s="249">
        <v>178</v>
      </c>
      <c r="C184" s="253" t="s">
        <v>5405</v>
      </c>
      <c r="D184" s="153" t="s">
        <v>5116</v>
      </c>
      <c r="E184" s="153" t="s">
        <v>5117</v>
      </c>
      <c r="F184" s="154" t="s">
        <v>5088</v>
      </c>
      <c r="G184" s="158">
        <v>44958</v>
      </c>
      <c r="H184" s="158">
        <v>44985</v>
      </c>
      <c r="I184" s="153">
        <v>1</v>
      </c>
      <c r="J184" s="153">
        <v>1</v>
      </c>
      <c r="K184" s="153">
        <v>22</v>
      </c>
      <c r="L184" s="167">
        <v>1215614.7069552301</v>
      </c>
      <c r="M184" s="7">
        <f t="shared" si="34"/>
        <v>1215614.7069552301</v>
      </c>
      <c r="N184" s="7">
        <f t="shared" si="35"/>
        <v>182342.2060432845</v>
      </c>
      <c r="O184" s="174">
        <f t="shared" si="36"/>
        <v>1033272.5009119456</v>
      </c>
      <c r="P184" s="157">
        <v>44985</v>
      </c>
    </row>
    <row r="185" spans="2:16" ht="14.4" x14ac:dyDescent="0.3">
      <c r="B185" s="248">
        <v>179</v>
      </c>
      <c r="C185" s="253" t="s">
        <v>5406</v>
      </c>
      <c r="D185" s="153" t="s">
        <v>5119</v>
      </c>
      <c r="E185" s="153" t="s">
        <v>5120</v>
      </c>
      <c r="F185" s="154" t="s">
        <v>5088</v>
      </c>
      <c r="G185" s="158">
        <v>44958</v>
      </c>
      <c r="H185" s="158">
        <v>44985</v>
      </c>
      <c r="I185" s="153">
        <v>1</v>
      </c>
      <c r="J185" s="153">
        <v>1</v>
      </c>
      <c r="K185" s="153">
        <v>55</v>
      </c>
      <c r="L185" s="167">
        <v>1744861.92810306</v>
      </c>
      <c r="M185" s="7">
        <f t="shared" si="34"/>
        <v>1744861.92810306</v>
      </c>
      <c r="N185" s="7">
        <f t="shared" si="35"/>
        <v>261729.28921545899</v>
      </c>
      <c r="O185" s="174">
        <f t="shared" si="36"/>
        <v>1483132.638887601</v>
      </c>
      <c r="P185" s="157">
        <v>44985</v>
      </c>
    </row>
    <row r="186" spans="2:16" ht="14.4" x14ac:dyDescent="0.3">
      <c r="B186" s="249">
        <v>180</v>
      </c>
      <c r="C186" s="253" t="s">
        <v>5407</v>
      </c>
      <c r="D186" s="153" t="s">
        <v>5122</v>
      </c>
      <c r="E186" s="153" t="s">
        <v>5123</v>
      </c>
      <c r="F186" s="154" t="s">
        <v>5088</v>
      </c>
      <c r="G186" s="158">
        <v>44958</v>
      </c>
      <c r="H186" s="158">
        <v>44985</v>
      </c>
      <c r="I186" s="153">
        <v>1</v>
      </c>
      <c r="J186" s="153">
        <v>1</v>
      </c>
      <c r="K186" s="153">
        <v>9</v>
      </c>
      <c r="L186" s="167">
        <v>895360.00011026103</v>
      </c>
      <c r="M186" s="7">
        <f t="shared" si="34"/>
        <v>895360.00011026103</v>
      </c>
      <c r="N186" s="7">
        <f t="shared" si="35"/>
        <v>134304.00001653915</v>
      </c>
      <c r="O186" s="174">
        <f t="shared" si="36"/>
        <v>761056.0000937219</v>
      </c>
      <c r="P186" s="157">
        <v>44985</v>
      </c>
    </row>
    <row r="187" spans="2:16" ht="14.4" x14ac:dyDescent="0.3">
      <c r="B187" s="248">
        <v>181</v>
      </c>
      <c r="C187" s="253" t="s">
        <v>5408</v>
      </c>
      <c r="D187" s="153" t="s">
        <v>5125</v>
      </c>
      <c r="E187" s="153" t="s">
        <v>5126</v>
      </c>
      <c r="F187" s="154" t="s">
        <v>5088</v>
      </c>
      <c r="G187" s="158">
        <v>44958</v>
      </c>
      <c r="H187" s="158">
        <v>44985</v>
      </c>
      <c r="I187" s="153">
        <v>1</v>
      </c>
      <c r="J187" s="153">
        <v>1</v>
      </c>
      <c r="K187" s="153">
        <v>57</v>
      </c>
      <c r="L187" s="167">
        <v>1744861.92810306</v>
      </c>
      <c r="M187" s="7">
        <f t="shared" si="34"/>
        <v>1744861.92810306</v>
      </c>
      <c r="N187" s="7">
        <f t="shared" si="35"/>
        <v>261729.28921545899</v>
      </c>
      <c r="O187" s="174">
        <f t="shared" si="36"/>
        <v>1483132.638887601</v>
      </c>
      <c r="P187" s="157">
        <v>44985</v>
      </c>
    </row>
    <row r="188" spans="2:16" ht="14.4" x14ac:dyDescent="0.3">
      <c r="B188" s="249">
        <v>182</v>
      </c>
      <c r="C188" s="153" t="s">
        <v>5409</v>
      </c>
      <c r="D188" s="153" t="s">
        <v>5356</v>
      </c>
      <c r="E188" s="153" t="s">
        <v>5357</v>
      </c>
      <c r="F188" s="154" t="s">
        <v>5088</v>
      </c>
      <c r="G188" s="158">
        <v>44958</v>
      </c>
      <c r="H188" s="158">
        <v>44985</v>
      </c>
      <c r="I188" s="153">
        <v>1</v>
      </c>
      <c r="J188" s="153">
        <v>1</v>
      </c>
      <c r="K188" s="153">
        <v>54</v>
      </c>
      <c r="L188" s="153">
        <v>1744861.92810306</v>
      </c>
      <c r="M188" s="7">
        <f t="shared" si="34"/>
        <v>1744861.92810306</v>
      </c>
      <c r="N188" s="7">
        <f t="shared" si="35"/>
        <v>261729.28921545899</v>
      </c>
      <c r="O188" s="174">
        <f t="shared" si="36"/>
        <v>1483132.638887601</v>
      </c>
      <c r="P188" s="157">
        <v>44985</v>
      </c>
    </row>
    <row r="189" spans="2:16" ht="14.4" x14ac:dyDescent="0.3">
      <c r="B189" s="248">
        <v>183</v>
      </c>
      <c r="C189" s="253" t="s">
        <v>5410</v>
      </c>
      <c r="D189" s="153" t="s">
        <v>5067</v>
      </c>
      <c r="E189" s="153" t="s">
        <v>5068</v>
      </c>
      <c r="F189" s="154" t="s">
        <v>5088</v>
      </c>
      <c r="G189" s="158">
        <v>44986</v>
      </c>
      <c r="H189" s="158">
        <v>45016</v>
      </c>
      <c r="I189" s="153">
        <v>1</v>
      </c>
      <c r="J189" s="153">
        <v>1</v>
      </c>
      <c r="K189" s="153">
        <v>65</v>
      </c>
      <c r="L189" s="167">
        <v>1744861.92810306</v>
      </c>
      <c r="M189" s="7">
        <f t="shared" si="34"/>
        <v>1744861.92810306</v>
      </c>
      <c r="N189" s="7">
        <f t="shared" si="35"/>
        <v>261729.28921545899</v>
      </c>
      <c r="O189" s="174">
        <f t="shared" si="36"/>
        <v>1483132.638887601</v>
      </c>
      <c r="P189" s="157">
        <v>45016</v>
      </c>
    </row>
    <row r="190" spans="2:16" ht="14.4" x14ac:dyDescent="0.3">
      <c r="B190" s="249">
        <v>184</v>
      </c>
      <c r="C190" s="253" t="s">
        <v>5411</v>
      </c>
      <c r="D190" s="153" t="s">
        <v>5070</v>
      </c>
      <c r="E190" s="153" t="s">
        <v>5071</v>
      </c>
      <c r="F190" s="154" t="s">
        <v>5088</v>
      </c>
      <c r="G190" s="158">
        <v>44896</v>
      </c>
      <c r="H190" s="158">
        <v>45016</v>
      </c>
      <c r="I190" s="153">
        <v>1</v>
      </c>
      <c r="J190" s="153">
        <v>1</v>
      </c>
      <c r="K190" s="153">
        <v>60</v>
      </c>
      <c r="L190" s="167">
        <v>1744861.92810306</v>
      </c>
      <c r="M190" s="7">
        <f t="shared" si="34"/>
        <v>1744861.92810306</v>
      </c>
      <c r="N190" s="7">
        <f t="shared" si="35"/>
        <v>261729.28921545899</v>
      </c>
      <c r="O190" s="174">
        <f t="shared" si="36"/>
        <v>1483132.638887601</v>
      </c>
      <c r="P190" s="157">
        <v>45016</v>
      </c>
    </row>
    <row r="191" spans="2:16" ht="14.4" x14ac:dyDescent="0.3">
      <c r="B191" s="248">
        <v>185</v>
      </c>
      <c r="C191" s="253" t="s">
        <v>5412</v>
      </c>
      <c r="D191" s="153" t="s">
        <v>5073</v>
      </c>
      <c r="E191" s="153" t="s">
        <v>5074</v>
      </c>
      <c r="F191" s="154" t="s">
        <v>5088</v>
      </c>
      <c r="G191" s="158">
        <v>44896</v>
      </c>
      <c r="H191" s="158">
        <v>45016</v>
      </c>
      <c r="I191" s="153">
        <v>1</v>
      </c>
      <c r="J191" s="153">
        <v>1</v>
      </c>
      <c r="K191" s="153">
        <v>54</v>
      </c>
      <c r="L191" s="167">
        <v>1744861.92810306</v>
      </c>
      <c r="M191" s="7">
        <f t="shared" si="34"/>
        <v>1744861.92810306</v>
      </c>
      <c r="N191" s="7">
        <f t="shared" si="35"/>
        <v>261729.28921545899</v>
      </c>
      <c r="O191" s="174">
        <f t="shared" si="36"/>
        <v>1483132.638887601</v>
      </c>
      <c r="P191" s="157">
        <v>45016</v>
      </c>
    </row>
    <row r="192" spans="2:16" ht="14.4" x14ac:dyDescent="0.3">
      <c r="B192" s="249">
        <v>186</v>
      </c>
      <c r="C192" s="253" t="s">
        <v>5413</v>
      </c>
      <c r="D192" s="153" t="s">
        <v>5076</v>
      </c>
      <c r="E192" s="153" t="s">
        <v>5077</v>
      </c>
      <c r="F192" s="154" t="s">
        <v>5088</v>
      </c>
      <c r="G192" s="158">
        <v>44896</v>
      </c>
      <c r="H192" s="158">
        <v>45016</v>
      </c>
      <c r="I192" s="153">
        <v>1</v>
      </c>
      <c r="J192" s="153">
        <v>1</v>
      </c>
      <c r="K192" s="153">
        <v>65</v>
      </c>
      <c r="L192" s="167">
        <v>1744861.92810306</v>
      </c>
      <c r="M192" s="7">
        <f t="shared" si="34"/>
        <v>1744861.92810306</v>
      </c>
      <c r="N192" s="7">
        <f t="shared" si="35"/>
        <v>261729.28921545899</v>
      </c>
      <c r="O192" s="174">
        <f t="shared" si="36"/>
        <v>1483132.638887601</v>
      </c>
      <c r="P192" s="157">
        <v>45016</v>
      </c>
    </row>
    <row r="193" spans="2:16" ht="14.4" x14ac:dyDescent="0.3">
      <c r="B193" s="248">
        <v>187</v>
      </c>
      <c r="C193" s="253" t="s">
        <v>5414</v>
      </c>
      <c r="D193" s="153" t="s">
        <v>5079</v>
      </c>
      <c r="E193" s="153" t="s">
        <v>5080</v>
      </c>
      <c r="F193" s="154" t="s">
        <v>5088</v>
      </c>
      <c r="G193" s="158">
        <v>44896</v>
      </c>
      <c r="H193" s="158">
        <v>45016</v>
      </c>
      <c r="I193" s="153">
        <v>1</v>
      </c>
      <c r="J193" s="153">
        <v>1</v>
      </c>
      <c r="K193" s="153">
        <v>45</v>
      </c>
      <c r="L193" s="167">
        <v>1435883.78979314</v>
      </c>
      <c r="M193" s="7">
        <f t="shared" si="34"/>
        <v>1435883.78979314</v>
      </c>
      <c r="N193" s="7">
        <f t="shared" si="35"/>
        <v>215382.568468971</v>
      </c>
      <c r="O193" s="174">
        <f t="shared" si="36"/>
        <v>1220501.2213241691</v>
      </c>
      <c r="P193" s="157">
        <v>45016</v>
      </c>
    </row>
    <row r="194" spans="2:16" ht="14.4" x14ac:dyDescent="0.3">
      <c r="B194" s="249">
        <v>188</v>
      </c>
      <c r="C194" s="253" t="s">
        <v>5415</v>
      </c>
      <c r="D194" s="153" t="s">
        <v>5082</v>
      </c>
      <c r="E194" s="153" t="s">
        <v>5083</v>
      </c>
      <c r="F194" s="154" t="s">
        <v>5088</v>
      </c>
      <c r="G194" s="158">
        <v>44896</v>
      </c>
      <c r="H194" s="158">
        <v>45016</v>
      </c>
      <c r="I194" s="153">
        <v>1</v>
      </c>
      <c r="J194" s="153">
        <v>1</v>
      </c>
      <c r="K194" s="153">
        <v>50</v>
      </c>
      <c r="L194" s="167">
        <v>1744861.92810306</v>
      </c>
      <c r="M194" s="7">
        <f t="shared" si="34"/>
        <v>1744861.92810306</v>
      </c>
      <c r="N194" s="7">
        <f t="shared" si="35"/>
        <v>261729.28921545899</v>
      </c>
      <c r="O194" s="174">
        <f t="shared" si="36"/>
        <v>1483132.638887601</v>
      </c>
      <c r="P194" s="157">
        <v>45016</v>
      </c>
    </row>
    <row r="195" spans="2:16" ht="14.4" x14ac:dyDescent="0.3">
      <c r="B195" s="248">
        <v>189</v>
      </c>
      <c r="C195" s="253" t="s">
        <v>5416</v>
      </c>
      <c r="D195" s="153" t="s">
        <v>5085</v>
      </c>
      <c r="E195" s="153" t="s">
        <v>5086</v>
      </c>
      <c r="F195" s="154" t="s">
        <v>5088</v>
      </c>
      <c r="G195" s="158">
        <v>44896</v>
      </c>
      <c r="H195" s="158">
        <v>45016</v>
      </c>
      <c r="I195" s="153">
        <v>1</v>
      </c>
      <c r="J195" s="153">
        <v>1</v>
      </c>
      <c r="K195" s="153">
        <v>42</v>
      </c>
      <c r="L195" s="167">
        <v>1435883.78979314</v>
      </c>
      <c r="M195" s="7">
        <f t="shared" si="34"/>
        <v>1435883.78979314</v>
      </c>
      <c r="N195" s="7">
        <f t="shared" si="35"/>
        <v>215382.568468971</v>
      </c>
      <c r="O195" s="174">
        <f t="shared" si="36"/>
        <v>1220501.2213241691</v>
      </c>
      <c r="P195" s="157">
        <v>45016</v>
      </c>
    </row>
    <row r="196" spans="2:16" ht="14.4" x14ac:dyDescent="0.3">
      <c r="B196" s="249">
        <v>190</v>
      </c>
      <c r="C196" s="253" t="s">
        <v>5417</v>
      </c>
      <c r="D196" s="153" t="s">
        <v>5098</v>
      </c>
      <c r="E196" s="153" t="s">
        <v>5099</v>
      </c>
      <c r="F196" s="154" t="s">
        <v>5088</v>
      </c>
      <c r="G196" s="158">
        <v>44896</v>
      </c>
      <c r="H196" s="158">
        <v>45016</v>
      </c>
      <c r="I196" s="153">
        <v>1</v>
      </c>
      <c r="J196" s="153">
        <v>1</v>
      </c>
      <c r="K196" s="153">
        <v>52</v>
      </c>
      <c r="L196" s="167">
        <v>1744861.92810306</v>
      </c>
      <c r="M196" s="7">
        <f t="shared" si="34"/>
        <v>1744861.92810306</v>
      </c>
      <c r="N196" s="7">
        <f t="shared" si="35"/>
        <v>261729.28921545899</v>
      </c>
      <c r="O196" s="174">
        <f t="shared" si="36"/>
        <v>1483132.638887601</v>
      </c>
      <c r="P196" s="157">
        <v>45016</v>
      </c>
    </row>
    <row r="197" spans="2:16" ht="14.4" x14ac:dyDescent="0.3">
      <c r="B197" s="248">
        <v>191</v>
      </c>
      <c r="C197" s="253" t="s">
        <v>5418</v>
      </c>
      <c r="D197" s="153" t="s">
        <v>5101</v>
      </c>
      <c r="E197" s="153" t="s">
        <v>5102</v>
      </c>
      <c r="F197" s="154" t="s">
        <v>5088</v>
      </c>
      <c r="G197" s="158">
        <v>44896</v>
      </c>
      <c r="H197" s="158">
        <v>45016</v>
      </c>
      <c r="I197" s="153">
        <v>1</v>
      </c>
      <c r="J197" s="153">
        <v>1</v>
      </c>
      <c r="K197" s="153">
        <v>63</v>
      </c>
      <c r="L197" s="167">
        <v>1744861.92810306</v>
      </c>
      <c r="M197" s="7">
        <f t="shared" si="34"/>
        <v>1744861.92810306</v>
      </c>
      <c r="N197" s="7">
        <f t="shared" si="35"/>
        <v>261729.28921545899</v>
      </c>
      <c r="O197" s="174">
        <f t="shared" si="36"/>
        <v>1483132.638887601</v>
      </c>
      <c r="P197" s="157">
        <v>45016</v>
      </c>
    </row>
    <row r="198" spans="2:16" ht="14.4" x14ac:dyDescent="0.3">
      <c r="B198" s="249">
        <v>192</v>
      </c>
      <c r="C198" s="253" t="s">
        <v>5419</v>
      </c>
      <c r="D198" s="153" t="s">
        <v>5104</v>
      </c>
      <c r="E198" s="153" t="s">
        <v>5105</v>
      </c>
      <c r="F198" s="154" t="s">
        <v>5088</v>
      </c>
      <c r="G198" s="158">
        <v>44896</v>
      </c>
      <c r="H198" s="158">
        <v>45016</v>
      </c>
      <c r="I198" s="153">
        <v>1</v>
      </c>
      <c r="J198" s="153">
        <v>1</v>
      </c>
      <c r="K198" s="153">
        <v>50</v>
      </c>
      <c r="L198" s="167">
        <v>1744861.92810306</v>
      </c>
      <c r="M198" s="7">
        <f t="shared" si="34"/>
        <v>1744861.92810306</v>
      </c>
      <c r="N198" s="7">
        <f t="shared" si="35"/>
        <v>261729.28921545899</v>
      </c>
      <c r="O198" s="174">
        <f t="shared" si="36"/>
        <v>1483132.638887601</v>
      </c>
      <c r="P198" s="157">
        <v>45016</v>
      </c>
    </row>
    <row r="199" spans="2:16" ht="14.4" x14ac:dyDescent="0.3">
      <c r="B199" s="248">
        <v>193</v>
      </c>
      <c r="C199" s="253" t="s">
        <v>5420</v>
      </c>
      <c r="D199" s="153" t="s">
        <v>5107</v>
      </c>
      <c r="E199" s="153" t="s">
        <v>5108</v>
      </c>
      <c r="F199" s="154" t="s">
        <v>5088</v>
      </c>
      <c r="G199" s="158">
        <v>44896</v>
      </c>
      <c r="H199" s="158">
        <v>45016</v>
      </c>
      <c r="I199" s="153">
        <v>1</v>
      </c>
      <c r="J199" s="153">
        <v>1</v>
      </c>
      <c r="K199" s="153">
        <v>12</v>
      </c>
      <c r="L199" s="167">
        <v>895360.00011026103</v>
      </c>
      <c r="M199" s="7">
        <f t="shared" si="34"/>
        <v>895360.00011026103</v>
      </c>
      <c r="N199" s="7">
        <f t="shared" si="35"/>
        <v>134304.00001653915</v>
      </c>
      <c r="O199" s="174">
        <f t="shared" si="36"/>
        <v>761056.0000937219</v>
      </c>
      <c r="P199" s="157">
        <v>45016</v>
      </c>
    </row>
    <row r="200" spans="2:16" ht="14.4" x14ac:dyDescent="0.3">
      <c r="B200" s="249">
        <v>194</v>
      </c>
      <c r="C200" s="253" t="s">
        <v>5421</v>
      </c>
      <c r="D200" s="153" t="s">
        <v>5110</v>
      </c>
      <c r="E200" s="153" t="s">
        <v>5111</v>
      </c>
      <c r="F200" s="154" t="s">
        <v>5088</v>
      </c>
      <c r="G200" s="158">
        <v>44896</v>
      </c>
      <c r="H200" s="158">
        <v>45016</v>
      </c>
      <c r="I200" s="153">
        <v>1</v>
      </c>
      <c r="J200" s="153">
        <v>1</v>
      </c>
      <c r="K200" s="153">
        <v>52</v>
      </c>
      <c r="L200" s="167">
        <v>1744861.92810306</v>
      </c>
      <c r="M200" s="7">
        <f t="shared" si="34"/>
        <v>1744861.92810306</v>
      </c>
      <c r="N200" s="7">
        <f t="shared" si="35"/>
        <v>261729.28921545899</v>
      </c>
      <c r="O200" s="174">
        <f t="shared" si="36"/>
        <v>1483132.638887601</v>
      </c>
      <c r="P200" s="157">
        <v>45016</v>
      </c>
    </row>
    <row r="201" spans="2:16" ht="14.4" x14ac:dyDescent="0.3">
      <c r="B201" s="248">
        <v>195</v>
      </c>
      <c r="C201" s="253" t="s">
        <v>5422</v>
      </c>
      <c r="D201" s="153" t="s">
        <v>5113</v>
      </c>
      <c r="E201" s="153" t="s">
        <v>5114</v>
      </c>
      <c r="F201" s="154" t="s">
        <v>5088</v>
      </c>
      <c r="G201" s="158">
        <v>44896</v>
      </c>
      <c r="H201" s="158">
        <v>45016</v>
      </c>
      <c r="I201" s="153">
        <v>1</v>
      </c>
      <c r="J201" s="153">
        <v>1</v>
      </c>
      <c r="K201" s="153">
        <v>6</v>
      </c>
      <c r="L201" s="167">
        <v>895360.00011026103</v>
      </c>
      <c r="M201" s="7">
        <f t="shared" si="34"/>
        <v>895360.00011026103</v>
      </c>
      <c r="N201" s="7">
        <f t="shared" si="35"/>
        <v>134304.00001653915</v>
      </c>
      <c r="O201" s="174">
        <f t="shared" si="36"/>
        <v>761056.0000937219</v>
      </c>
      <c r="P201" s="157">
        <v>45016</v>
      </c>
    </row>
    <row r="202" spans="2:16" ht="14.4" x14ac:dyDescent="0.3">
      <c r="B202" s="249">
        <v>196</v>
      </c>
      <c r="C202" s="253" t="s">
        <v>5423</v>
      </c>
      <c r="D202" s="153" t="s">
        <v>5116</v>
      </c>
      <c r="E202" s="153" t="s">
        <v>5117</v>
      </c>
      <c r="F202" s="154" t="s">
        <v>5088</v>
      </c>
      <c r="G202" s="158">
        <v>44896</v>
      </c>
      <c r="H202" s="158">
        <v>45016</v>
      </c>
      <c r="I202" s="153">
        <v>1</v>
      </c>
      <c r="J202" s="153">
        <v>1</v>
      </c>
      <c r="K202" s="153">
        <v>22</v>
      </c>
      <c r="L202" s="167">
        <v>1215614.7069552301</v>
      </c>
      <c r="M202" s="7">
        <f t="shared" si="34"/>
        <v>1215614.7069552301</v>
      </c>
      <c r="N202" s="7">
        <f t="shared" si="35"/>
        <v>182342.2060432845</v>
      </c>
      <c r="O202" s="174">
        <f t="shared" si="36"/>
        <v>1033272.5009119456</v>
      </c>
      <c r="P202" s="157">
        <v>45016</v>
      </c>
    </row>
    <row r="203" spans="2:16" ht="14.4" x14ac:dyDescent="0.3">
      <c r="B203" s="248">
        <v>197</v>
      </c>
      <c r="C203" s="253" t="s">
        <v>5424</v>
      </c>
      <c r="D203" s="153" t="s">
        <v>5119</v>
      </c>
      <c r="E203" s="153" t="s">
        <v>5120</v>
      </c>
      <c r="F203" s="154" t="s">
        <v>5088</v>
      </c>
      <c r="G203" s="158">
        <v>44896</v>
      </c>
      <c r="H203" s="158">
        <v>45016</v>
      </c>
      <c r="I203" s="153">
        <v>1</v>
      </c>
      <c r="J203" s="153">
        <v>1</v>
      </c>
      <c r="K203" s="153">
        <v>55</v>
      </c>
      <c r="L203" s="167">
        <v>1744861.92810306</v>
      </c>
      <c r="M203" s="7">
        <f t="shared" si="34"/>
        <v>1744861.92810306</v>
      </c>
      <c r="N203" s="7">
        <f t="shared" si="35"/>
        <v>261729.28921545899</v>
      </c>
      <c r="O203" s="174">
        <f t="shared" si="36"/>
        <v>1483132.638887601</v>
      </c>
      <c r="P203" s="157">
        <v>45016</v>
      </c>
    </row>
    <row r="204" spans="2:16" ht="14.4" x14ac:dyDescent="0.3">
      <c r="B204" s="249">
        <v>198</v>
      </c>
      <c r="C204" s="253" t="s">
        <v>5425</v>
      </c>
      <c r="D204" s="153" t="s">
        <v>5122</v>
      </c>
      <c r="E204" s="153" t="s">
        <v>5123</v>
      </c>
      <c r="F204" s="154" t="s">
        <v>5088</v>
      </c>
      <c r="G204" s="158">
        <v>44896</v>
      </c>
      <c r="H204" s="158">
        <v>45016</v>
      </c>
      <c r="I204" s="153">
        <v>1</v>
      </c>
      <c r="J204" s="153">
        <v>1</v>
      </c>
      <c r="K204" s="153">
        <v>9</v>
      </c>
      <c r="L204" s="167">
        <v>895360.00011026103</v>
      </c>
      <c r="M204" s="7">
        <f t="shared" si="34"/>
        <v>895360.00011026103</v>
      </c>
      <c r="N204" s="7">
        <f t="shared" si="35"/>
        <v>134304.00001653915</v>
      </c>
      <c r="O204" s="174">
        <f t="shared" si="36"/>
        <v>761056.0000937219</v>
      </c>
      <c r="P204" s="157">
        <v>45016</v>
      </c>
    </row>
    <row r="205" spans="2:16" ht="14.4" x14ac:dyDescent="0.3">
      <c r="B205" s="248">
        <v>199</v>
      </c>
      <c r="C205" s="253" t="s">
        <v>5426</v>
      </c>
      <c r="D205" s="153" t="s">
        <v>5125</v>
      </c>
      <c r="E205" s="153" t="s">
        <v>5126</v>
      </c>
      <c r="F205" s="154" t="s">
        <v>5088</v>
      </c>
      <c r="G205" s="158">
        <v>44896</v>
      </c>
      <c r="H205" s="158">
        <v>45016</v>
      </c>
      <c r="I205" s="153">
        <v>1</v>
      </c>
      <c r="J205" s="153">
        <v>1</v>
      </c>
      <c r="K205" s="153">
        <v>57</v>
      </c>
      <c r="L205" s="167">
        <v>1744861.92810306</v>
      </c>
      <c r="M205" s="7">
        <f t="shared" si="34"/>
        <v>1744861.92810306</v>
      </c>
      <c r="N205" s="7">
        <f t="shared" si="35"/>
        <v>261729.28921545899</v>
      </c>
      <c r="O205" s="174">
        <f t="shared" si="36"/>
        <v>1483132.638887601</v>
      </c>
      <c r="P205" s="157">
        <v>45016</v>
      </c>
    </row>
    <row r="206" spans="2:16" ht="14.4" x14ac:dyDescent="0.3">
      <c r="B206" s="249">
        <v>200</v>
      </c>
      <c r="C206" s="153" t="s">
        <v>5427</v>
      </c>
      <c r="D206" s="153" t="s">
        <v>5356</v>
      </c>
      <c r="E206" s="153" t="s">
        <v>5357</v>
      </c>
      <c r="F206" s="154" t="s">
        <v>5088</v>
      </c>
      <c r="G206" s="158">
        <v>44896</v>
      </c>
      <c r="H206" s="158">
        <v>45016</v>
      </c>
      <c r="I206" s="153">
        <v>1</v>
      </c>
      <c r="J206" s="153">
        <v>1</v>
      </c>
      <c r="K206" s="153">
        <v>54</v>
      </c>
      <c r="L206" s="153">
        <v>1744861.92810306</v>
      </c>
      <c r="M206" s="7">
        <f t="shared" si="34"/>
        <v>1744861.92810306</v>
      </c>
      <c r="N206" s="7">
        <f t="shared" si="35"/>
        <v>261729.28921545899</v>
      </c>
      <c r="O206" s="174">
        <f t="shared" si="36"/>
        <v>1483132.638887601</v>
      </c>
      <c r="P206" s="157">
        <v>45016</v>
      </c>
    </row>
  </sheetData>
  <protectedRanges>
    <protectedRange sqref="P6 B5:O8 F21:F30 C9:O20 B9:B206" name="EditRange"/>
    <protectedRange sqref="C21:E30 G21:O30 G31:H115 M31:O206 G117:H206" name="EditRange_1"/>
    <protectedRange sqref="G116:I116" name="EditRange_2"/>
  </protectedRanges>
  <autoFilter ref="B6:P206" xr:uid="{0676CA7D-D2E4-4A3C-9F14-BEAE5890F9DF}">
    <filterColumn colId="14">
      <filters>
        <dateGroupItem year="2023" dateTimeGrouping="year"/>
      </filters>
    </filterColumn>
  </autoFilter>
  <mergeCells count="1">
    <mergeCell ref="B5:C5"/>
  </mergeCells>
  <conditionalFormatting sqref="B6:C6">
    <cfRule type="duplicateValues" dxfId="7" priority="2"/>
  </conditionalFormatting>
  <conditionalFormatting sqref="D6:F6">
    <cfRule type="duplicateValues" dxfId="6" priority="3"/>
  </conditionalFormatting>
  <conditionalFormatting sqref="B6:F6">
    <cfRule type="duplicateValues" dxfId="5" priority="4"/>
  </conditionalFormatting>
  <conditionalFormatting sqref="B7 B9 B11 B13 B15 B17 B19 B21 B23 B25 B27 B29 B31 B33 B35 B37 B39 B41 B43 B45 B47 B49 B51 B53 B55 B57 B59 B61 B63 B65 B67 B69 B71 B73 B75 B77 B79 B81 B83 B85 B87 B89 B91 B93 B95 B97 B99 B101 B103 B105 B107 B109 B111 B113 B115 B117 B119 B121 B123 B125 B127 B129 B131 B133 B135 B137 B139 B141 B143 B145 B147 B149 B151 B153 B155 B157 B159 B161 B163 B165 B167 B169 B171 B173 B175 B177 B179 B181 B183 B185 B187 B189 B191 B193 B195 B197 B199 B201 B203 B205">
    <cfRule type="duplicateValues" dxfId="4" priority="5"/>
  </conditionalFormatting>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A49A4-2839-460E-86B6-9C4D1F6DCBF1}">
  <sheetPr filterMode="1"/>
  <dimension ref="B2:P96"/>
  <sheetViews>
    <sheetView topLeftCell="E1" workbookViewId="0">
      <selection activeCell="J70" sqref="J70"/>
    </sheetView>
  </sheetViews>
  <sheetFormatPr baseColWidth="10" defaultRowHeight="11.4" x14ac:dyDescent="0.2"/>
  <cols>
    <col min="1" max="2" width="11.5546875" style="98"/>
    <col min="3" max="3" width="64.33203125" style="98" customWidth="1"/>
    <col min="4" max="4" width="24.33203125" style="98" customWidth="1"/>
    <col min="5" max="5" width="23.88671875" style="98" customWidth="1"/>
    <col min="6" max="6" width="31.5546875" style="98" customWidth="1"/>
    <col min="7" max="7" width="11.88671875" style="98" customWidth="1"/>
    <col min="8" max="8" width="12.88671875" style="98" customWidth="1"/>
    <col min="9" max="9" width="11.5546875" style="98"/>
    <col min="10" max="10" width="15.33203125" style="98" customWidth="1"/>
    <col min="11" max="11" width="11.5546875" style="98"/>
    <col min="12" max="12" width="13.88671875" style="98" bestFit="1" customWidth="1"/>
    <col min="13" max="13" width="15.6640625" style="98" customWidth="1"/>
    <col min="14" max="14" width="12.6640625" style="98" customWidth="1"/>
    <col min="15" max="15" width="14.44140625" style="98" customWidth="1"/>
    <col min="16" max="16" width="15" style="98" customWidth="1"/>
    <col min="17" max="16384" width="11.5546875" style="98"/>
  </cols>
  <sheetData>
    <row r="2" spans="2:16" ht="17.399999999999999" x14ac:dyDescent="0.3">
      <c r="O2" s="224"/>
    </row>
    <row r="5" spans="2:16" ht="15" thickBot="1" x14ac:dyDescent="0.35">
      <c r="B5" s="295" t="s">
        <v>5277</v>
      </c>
      <c r="C5" s="295"/>
      <c r="N5" s="144">
        <v>0.1</v>
      </c>
      <c r="O5" s="181" t="s">
        <v>5198</v>
      </c>
    </row>
    <row r="6" spans="2:16" ht="12.6" thickBot="1" x14ac:dyDescent="0.25">
      <c r="B6" s="145" t="s">
        <v>5057</v>
      </c>
      <c r="C6" s="146" t="s">
        <v>4504</v>
      </c>
      <c r="D6" s="147" t="s">
        <v>5058</v>
      </c>
      <c r="E6" s="175" t="s">
        <v>5059</v>
      </c>
      <c r="F6" s="147" t="s">
        <v>5087</v>
      </c>
      <c r="G6" s="148" t="s">
        <v>5060</v>
      </c>
      <c r="H6" s="149" t="s">
        <v>5061</v>
      </c>
      <c r="I6" s="149" t="s">
        <v>4504</v>
      </c>
      <c r="J6" s="150" t="s">
        <v>5062</v>
      </c>
      <c r="K6" s="148" t="s">
        <v>5063</v>
      </c>
      <c r="L6" s="148" t="s">
        <v>4507</v>
      </c>
      <c r="M6" s="183" t="s">
        <v>5064</v>
      </c>
      <c r="N6" s="182" t="s">
        <v>5317</v>
      </c>
      <c r="O6" s="151" t="s">
        <v>5024</v>
      </c>
      <c r="P6" s="151" t="s">
        <v>5089</v>
      </c>
    </row>
    <row r="7" spans="2:16" ht="13.8" hidden="1" x14ac:dyDescent="0.2">
      <c r="B7" s="248">
        <v>1</v>
      </c>
      <c r="C7" s="161" t="s">
        <v>5305</v>
      </c>
      <c r="D7" s="162" t="s">
        <v>5278</v>
      </c>
      <c r="E7" s="176" t="s">
        <v>5279</v>
      </c>
      <c r="F7" s="163" t="s">
        <v>5275</v>
      </c>
      <c r="G7" s="246">
        <v>44817</v>
      </c>
      <c r="H7" s="246">
        <v>44834</v>
      </c>
      <c r="I7" s="247">
        <f>((H7-G7)+1)/30</f>
        <v>0.6</v>
      </c>
      <c r="J7" s="165">
        <f>ROUND(I7,2)</f>
        <v>0.6</v>
      </c>
      <c r="K7" s="165">
        <v>32</v>
      </c>
      <c r="L7" s="168">
        <v>1215614.71</v>
      </c>
      <c r="M7" s="169">
        <f>L7*J7</f>
        <v>729368.826</v>
      </c>
      <c r="N7" s="170">
        <f>M7*$N$5</f>
        <v>72936.882599999997</v>
      </c>
      <c r="O7" s="171">
        <f>M7-N7</f>
        <v>656431.94339999999</v>
      </c>
      <c r="P7" s="166">
        <v>44805</v>
      </c>
    </row>
    <row r="8" spans="2:16" ht="13.8" hidden="1" x14ac:dyDescent="0.2">
      <c r="B8" s="249">
        <v>2</v>
      </c>
      <c r="C8" s="152" t="s">
        <v>5306</v>
      </c>
      <c r="D8" s="153" t="s">
        <v>5280</v>
      </c>
      <c r="E8" s="153" t="s">
        <v>5281</v>
      </c>
      <c r="F8" s="154" t="s">
        <v>5275</v>
      </c>
      <c r="G8" s="158">
        <v>44817</v>
      </c>
      <c r="H8" s="158">
        <v>44834</v>
      </c>
      <c r="I8" s="160">
        <f t="shared" ref="I8:I18" si="0">((H8-G8)+1)/30</f>
        <v>0.6</v>
      </c>
      <c r="J8" s="156">
        <f t="shared" ref="J8:J13" si="1">ROUND(I8,2)</f>
        <v>0.6</v>
      </c>
      <c r="K8" s="156">
        <v>32</v>
      </c>
      <c r="L8" s="172">
        <v>1215614.71</v>
      </c>
      <c r="M8" s="167">
        <f t="shared" ref="M8:M57" si="2">L8*J8</f>
        <v>729368.826</v>
      </c>
      <c r="N8" s="167">
        <f t="shared" ref="N8:N13" si="3">M8*$N$5</f>
        <v>72936.882599999997</v>
      </c>
      <c r="O8" s="173">
        <f t="shared" ref="O8:O13" si="4">M8-N8</f>
        <v>656431.94339999999</v>
      </c>
      <c r="P8" s="166">
        <v>44805</v>
      </c>
    </row>
    <row r="9" spans="2:16" ht="13.8" hidden="1" x14ac:dyDescent="0.2">
      <c r="B9" s="248">
        <v>3</v>
      </c>
      <c r="C9" s="152" t="s">
        <v>5307</v>
      </c>
      <c r="D9" s="153" t="s">
        <v>5282</v>
      </c>
      <c r="E9" s="153" t="s">
        <v>5283</v>
      </c>
      <c r="F9" s="154" t="s">
        <v>5275</v>
      </c>
      <c r="G9" s="158">
        <v>44817</v>
      </c>
      <c r="H9" s="158">
        <v>44834</v>
      </c>
      <c r="I9" s="160">
        <f t="shared" si="0"/>
        <v>0.6</v>
      </c>
      <c r="J9" s="156">
        <f t="shared" si="1"/>
        <v>0.6</v>
      </c>
      <c r="K9" s="156">
        <v>32</v>
      </c>
      <c r="L9" s="172">
        <v>1215614.71</v>
      </c>
      <c r="M9" s="167">
        <f t="shared" si="2"/>
        <v>729368.826</v>
      </c>
      <c r="N9" s="167">
        <f t="shared" si="3"/>
        <v>72936.882599999997</v>
      </c>
      <c r="O9" s="173">
        <f t="shared" si="4"/>
        <v>656431.94339999999</v>
      </c>
      <c r="P9" s="166">
        <v>44805</v>
      </c>
    </row>
    <row r="10" spans="2:16" ht="13.8" hidden="1" x14ac:dyDescent="0.2">
      <c r="B10" s="249">
        <v>4</v>
      </c>
      <c r="C10" s="152" t="s">
        <v>5308</v>
      </c>
      <c r="D10" s="153" t="s">
        <v>5284</v>
      </c>
      <c r="E10" s="153" t="s">
        <v>5285</v>
      </c>
      <c r="F10" s="154" t="s">
        <v>5275</v>
      </c>
      <c r="G10" s="158">
        <v>44817</v>
      </c>
      <c r="H10" s="158">
        <v>44834</v>
      </c>
      <c r="I10" s="160">
        <f t="shared" si="0"/>
        <v>0.6</v>
      </c>
      <c r="J10" s="156">
        <f t="shared" si="1"/>
        <v>0.6</v>
      </c>
      <c r="K10" s="156">
        <v>32</v>
      </c>
      <c r="L10" s="172">
        <v>1215614.71</v>
      </c>
      <c r="M10" s="167">
        <f t="shared" si="2"/>
        <v>729368.826</v>
      </c>
      <c r="N10" s="167">
        <f t="shared" si="3"/>
        <v>72936.882599999997</v>
      </c>
      <c r="O10" s="173">
        <f t="shared" si="4"/>
        <v>656431.94339999999</v>
      </c>
      <c r="P10" s="166">
        <v>44805</v>
      </c>
    </row>
    <row r="11" spans="2:16" ht="13.8" hidden="1" x14ac:dyDescent="0.2">
      <c r="B11" s="248">
        <v>5</v>
      </c>
      <c r="C11" s="152" t="s">
        <v>5309</v>
      </c>
      <c r="D11" s="153" t="s">
        <v>5286</v>
      </c>
      <c r="E11" s="153" t="s">
        <v>5287</v>
      </c>
      <c r="F11" s="154" t="s">
        <v>5275</v>
      </c>
      <c r="G11" s="158">
        <v>44817</v>
      </c>
      <c r="H11" s="158">
        <v>44834</v>
      </c>
      <c r="I11" s="160">
        <f t="shared" si="0"/>
        <v>0.6</v>
      </c>
      <c r="J11" s="156">
        <f t="shared" si="1"/>
        <v>0.6</v>
      </c>
      <c r="K11" s="156">
        <v>32</v>
      </c>
      <c r="L11" s="172">
        <v>1215614.71</v>
      </c>
      <c r="M11" s="167">
        <f t="shared" si="2"/>
        <v>729368.826</v>
      </c>
      <c r="N11" s="167">
        <f t="shared" si="3"/>
        <v>72936.882599999997</v>
      </c>
      <c r="O11" s="173">
        <f t="shared" si="4"/>
        <v>656431.94339999999</v>
      </c>
      <c r="P11" s="166">
        <v>44805</v>
      </c>
    </row>
    <row r="12" spans="2:16" ht="13.8" hidden="1" x14ac:dyDescent="0.2">
      <c r="B12" s="249">
        <v>6</v>
      </c>
      <c r="C12" s="152" t="s">
        <v>5310</v>
      </c>
      <c r="D12" s="153" t="s">
        <v>5288</v>
      </c>
      <c r="E12" s="153" t="s">
        <v>5289</v>
      </c>
      <c r="F12" s="154" t="s">
        <v>5275</v>
      </c>
      <c r="G12" s="158">
        <v>44810</v>
      </c>
      <c r="H12" s="158">
        <v>44834</v>
      </c>
      <c r="I12" s="160">
        <f t="shared" si="0"/>
        <v>0.83333333333333337</v>
      </c>
      <c r="J12" s="156">
        <f t="shared" si="1"/>
        <v>0.83</v>
      </c>
      <c r="K12" s="156">
        <v>32</v>
      </c>
      <c r="L12" s="172">
        <v>1215614.71</v>
      </c>
      <c r="M12" s="167">
        <f t="shared" si="2"/>
        <v>1008960.2092999999</v>
      </c>
      <c r="N12" s="167">
        <f t="shared" si="3"/>
        <v>100896.02093</v>
      </c>
      <c r="O12" s="173">
        <f t="shared" si="4"/>
        <v>908064.18836999987</v>
      </c>
      <c r="P12" s="166">
        <v>44805</v>
      </c>
    </row>
    <row r="13" spans="2:16" ht="13.8" hidden="1" x14ac:dyDescent="0.2">
      <c r="B13" s="248">
        <v>7</v>
      </c>
      <c r="C13" s="152" t="s">
        <v>5311</v>
      </c>
      <c r="D13" s="153" t="s">
        <v>5290</v>
      </c>
      <c r="E13" s="153" t="s">
        <v>5291</v>
      </c>
      <c r="F13" s="154" t="s">
        <v>5275</v>
      </c>
      <c r="G13" s="158">
        <v>44810</v>
      </c>
      <c r="H13" s="158">
        <v>44834</v>
      </c>
      <c r="I13" s="160">
        <f t="shared" si="0"/>
        <v>0.83333333333333337</v>
      </c>
      <c r="J13" s="156">
        <f t="shared" si="1"/>
        <v>0.83</v>
      </c>
      <c r="K13" s="156">
        <v>32</v>
      </c>
      <c r="L13" s="172">
        <v>1215614.71</v>
      </c>
      <c r="M13" s="167">
        <f t="shared" si="2"/>
        <v>1008960.2092999999</v>
      </c>
      <c r="N13" s="167">
        <f t="shared" si="3"/>
        <v>100896.02093</v>
      </c>
      <c r="O13" s="173">
        <f t="shared" si="4"/>
        <v>908064.18836999987</v>
      </c>
      <c r="P13" s="166">
        <v>44805</v>
      </c>
    </row>
    <row r="14" spans="2:16" ht="13.8" hidden="1" x14ac:dyDescent="0.2">
      <c r="B14" s="249">
        <v>8</v>
      </c>
      <c r="C14" s="152" t="s">
        <v>5312</v>
      </c>
      <c r="D14" s="153" t="s">
        <v>5292</v>
      </c>
      <c r="E14" s="177" t="s">
        <v>5293</v>
      </c>
      <c r="F14" s="154" t="s">
        <v>5275</v>
      </c>
      <c r="G14" s="158">
        <v>44810</v>
      </c>
      <c r="H14" s="158">
        <v>44834</v>
      </c>
      <c r="I14" s="160">
        <f t="shared" si="0"/>
        <v>0.83333333333333337</v>
      </c>
      <c r="J14" s="156">
        <f>ROUND(I14,2)</f>
        <v>0.83</v>
      </c>
      <c r="K14" s="156">
        <v>32</v>
      </c>
      <c r="L14" s="172">
        <v>1215614.71</v>
      </c>
      <c r="M14" s="167">
        <f t="shared" si="2"/>
        <v>1008960.2092999999</v>
      </c>
      <c r="N14" s="167">
        <f>M14*$N$5</f>
        <v>100896.02093</v>
      </c>
      <c r="O14" s="173">
        <f>M14-N14</f>
        <v>908064.18836999987</v>
      </c>
      <c r="P14" s="166">
        <v>44805</v>
      </c>
    </row>
    <row r="15" spans="2:16" ht="13.8" hidden="1" x14ac:dyDescent="0.2">
      <c r="B15" s="248">
        <v>9</v>
      </c>
      <c r="C15" s="152" t="s">
        <v>5313</v>
      </c>
      <c r="D15" s="153" t="s">
        <v>5294</v>
      </c>
      <c r="E15" s="153" t="s">
        <v>5295</v>
      </c>
      <c r="F15" s="154" t="s">
        <v>5275</v>
      </c>
      <c r="G15" s="158">
        <v>44810</v>
      </c>
      <c r="H15" s="158">
        <v>44834</v>
      </c>
      <c r="I15" s="160">
        <f t="shared" si="0"/>
        <v>0.83333333333333337</v>
      </c>
      <c r="J15" s="156">
        <f t="shared" ref="J15:J20" si="5">ROUND(I15,2)</f>
        <v>0.83</v>
      </c>
      <c r="K15" s="156">
        <v>32</v>
      </c>
      <c r="L15" s="172">
        <v>1215614.71</v>
      </c>
      <c r="M15" s="167">
        <f t="shared" si="2"/>
        <v>1008960.2092999999</v>
      </c>
      <c r="N15" s="167">
        <f t="shared" ref="N15:N20" si="6">M15*$N$5</f>
        <v>100896.02093</v>
      </c>
      <c r="O15" s="173">
        <f t="shared" ref="O15:O20" si="7">M15-N15</f>
        <v>908064.18836999987</v>
      </c>
      <c r="P15" s="166">
        <v>44805</v>
      </c>
    </row>
    <row r="16" spans="2:16" ht="13.8" hidden="1" x14ac:dyDescent="0.2">
      <c r="B16" s="249">
        <v>10</v>
      </c>
      <c r="C16" s="152" t="s">
        <v>5314</v>
      </c>
      <c r="D16" s="153" t="s">
        <v>5296</v>
      </c>
      <c r="E16" s="153" t="s">
        <v>5297</v>
      </c>
      <c r="F16" s="154" t="s">
        <v>5275</v>
      </c>
      <c r="G16" s="158">
        <v>44810</v>
      </c>
      <c r="H16" s="158">
        <v>44834</v>
      </c>
      <c r="I16" s="160">
        <f t="shared" si="0"/>
        <v>0.83333333333333337</v>
      </c>
      <c r="J16" s="156">
        <f t="shared" si="5"/>
        <v>0.83</v>
      </c>
      <c r="K16" s="156">
        <v>32</v>
      </c>
      <c r="L16" s="172">
        <v>1215614.71</v>
      </c>
      <c r="M16" s="167">
        <f t="shared" si="2"/>
        <v>1008960.2092999999</v>
      </c>
      <c r="N16" s="167">
        <f t="shared" si="6"/>
        <v>100896.02093</v>
      </c>
      <c r="O16" s="173">
        <f t="shared" si="7"/>
        <v>908064.18836999987</v>
      </c>
      <c r="P16" s="166">
        <v>44805</v>
      </c>
    </row>
    <row r="17" spans="2:16" ht="13.8" hidden="1" x14ac:dyDescent="0.2">
      <c r="B17" s="248">
        <v>11</v>
      </c>
      <c r="C17" s="152" t="s">
        <v>5315</v>
      </c>
      <c r="D17" s="153" t="s">
        <v>5298</v>
      </c>
      <c r="E17" s="153" t="s">
        <v>5299</v>
      </c>
      <c r="F17" s="154" t="s">
        <v>5275</v>
      </c>
      <c r="G17" s="158">
        <v>44810</v>
      </c>
      <c r="H17" s="158">
        <v>44834</v>
      </c>
      <c r="I17" s="160">
        <f t="shared" si="0"/>
        <v>0.83333333333333337</v>
      </c>
      <c r="J17" s="156">
        <f t="shared" si="5"/>
        <v>0.83</v>
      </c>
      <c r="K17" s="156">
        <v>32</v>
      </c>
      <c r="L17" s="172">
        <v>1215614.71</v>
      </c>
      <c r="M17" s="167">
        <f t="shared" si="2"/>
        <v>1008960.2092999999</v>
      </c>
      <c r="N17" s="167">
        <f t="shared" si="6"/>
        <v>100896.02093</v>
      </c>
      <c r="O17" s="173">
        <f t="shared" si="7"/>
        <v>908064.18836999987</v>
      </c>
      <c r="P17" s="166">
        <v>44805</v>
      </c>
    </row>
    <row r="18" spans="2:16" ht="13.8" hidden="1" x14ac:dyDescent="0.2">
      <c r="B18" s="249">
        <v>12</v>
      </c>
      <c r="C18" s="152" t="s">
        <v>5316</v>
      </c>
      <c r="D18" s="153" t="s">
        <v>5300</v>
      </c>
      <c r="E18" s="153" t="s">
        <v>5301</v>
      </c>
      <c r="F18" s="154" t="s">
        <v>5275</v>
      </c>
      <c r="G18" s="158">
        <v>44810</v>
      </c>
      <c r="H18" s="158">
        <v>44834</v>
      </c>
      <c r="I18" s="160">
        <f t="shared" si="0"/>
        <v>0.83333333333333337</v>
      </c>
      <c r="J18" s="156">
        <f t="shared" si="5"/>
        <v>0.83</v>
      </c>
      <c r="K18" s="156">
        <v>42</v>
      </c>
      <c r="L18" s="172">
        <v>1435883.79</v>
      </c>
      <c r="M18" s="167">
        <f t="shared" si="2"/>
        <v>1191783.5456999999</v>
      </c>
      <c r="N18" s="167">
        <f t="shared" si="6"/>
        <v>119178.35457</v>
      </c>
      <c r="O18" s="173">
        <f t="shared" si="7"/>
        <v>1072605.1911299999</v>
      </c>
      <c r="P18" s="166">
        <v>44805</v>
      </c>
    </row>
    <row r="19" spans="2:16" ht="13.8" hidden="1" x14ac:dyDescent="0.2">
      <c r="B19" s="248">
        <v>13</v>
      </c>
      <c r="C19" s="152" t="s">
        <v>5318</v>
      </c>
      <c r="D19" s="153" t="s">
        <v>5278</v>
      </c>
      <c r="E19" s="153" t="s">
        <v>5279</v>
      </c>
      <c r="F19" s="154" t="s">
        <v>5275</v>
      </c>
      <c r="G19" s="158">
        <v>44835</v>
      </c>
      <c r="H19" s="158">
        <v>44865</v>
      </c>
      <c r="I19" s="156">
        <v>1</v>
      </c>
      <c r="J19" s="156">
        <f t="shared" si="5"/>
        <v>1</v>
      </c>
      <c r="K19" s="156">
        <v>32</v>
      </c>
      <c r="L19" s="172">
        <v>1215614.71</v>
      </c>
      <c r="M19" s="167">
        <f t="shared" si="2"/>
        <v>1215614.71</v>
      </c>
      <c r="N19" s="167">
        <f t="shared" si="6"/>
        <v>121561.47100000001</v>
      </c>
      <c r="O19" s="173">
        <f t="shared" si="7"/>
        <v>1094053.2390000001</v>
      </c>
      <c r="P19" s="166">
        <v>44835</v>
      </c>
    </row>
    <row r="20" spans="2:16" ht="13.8" hidden="1" x14ac:dyDescent="0.2">
      <c r="B20" s="249">
        <v>14</v>
      </c>
      <c r="C20" s="152" t="s">
        <v>5319</v>
      </c>
      <c r="D20" s="153" t="s">
        <v>5280</v>
      </c>
      <c r="E20" s="153" t="s">
        <v>5281</v>
      </c>
      <c r="F20" s="154" t="s">
        <v>5275</v>
      </c>
      <c r="G20" s="158">
        <v>44835</v>
      </c>
      <c r="H20" s="158">
        <v>44865</v>
      </c>
      <c r="I20" s="156">
        <v>1</v>
      </c>
      <c r="J20" s="156">
        <f t="shared" si="5"/>
        <v>1</v>
      </c>
      <c r="K20" s="156">
        <v>32</v>
      </c>
      <c r="L20" s="172">
        <v>1215614.71</v>
      </c>
      <c r="M20" s="167">
        <f t="shared" si="2"/>
        <v>1215614.71</v>
      </c>
      <c r="N20" s="167">
        <f t="shared" si="6"/>
        <v>121561.47100000001</v>
      </c>
      <c r="O20" s="173">
        <f t="shared" si="7"/>
        <v>1094053.2390000001</v>
      </c>
      <c r="P20" s="166">
        <v>44835</v>
      </c>
    </row>
    <row r="21" spans="2:16" ht="14.4" hidden="1" x14ac:dyDescent="0.3">
      <c r="B21" s="248">
        <v>15</v>
      </c>
      <c r="C21" s="159" t="s">
        <v>5320</v>
      </c>
      <c r="D21" s="2" t="s">
        <v>5282</v>
      </c>
      <c r="E21" s="178" t="s">
        <v>5283</v>
      </c>
      <c r="F21" s="154" t="s">
        <v>5275</v>
      </c>
      <c r="G21" s="158">
        <v>44835</v>
      </c>
      <c r="H21" s="158">
        <v>44865</v>
      </c>
      <c r="I21" s="156">
        <v>1</v>
      </c>
      <c r="J21" s="160">
        <f>ROUND(I21,2)</f>
        <v>1</v>
      </c>
      <c r="K21" s="160">
        <v>32</v>
      </c>
      <c r="L21" s="172">
        <v>1215614.71</v>
      </c>
      <c r="M21" s="167">
        <f t="shared" si="2"/>
        <v>1215614.71</v>
      </c>
      <c r="N21" s="7">
        <f>M21*$N$5</f>
        <v>121561.47100000001</v>
      </c>
      <c r="O21" s="174">
        <f>M21-N21</f>
        <v>1094053.2390000001</v>
      </c>
      <c r="P21" s="166">
        <v>44835</v>
      </c>
    </row>
    <row r="22" spans="2:16" ht="14.4" hidden="1" x14ac:dyDescent="0.3">
      <c r="B22" s="249">
        <v>16</v>
      </c>
      <c r="C22" s="159" t="s">
        <v>5321</v>
      </c>
      <c r="D22" s="2" t="s">
        <v>5284</v>
      </c>
      <c r="E22" s="2" t="s">
        <v>5285</v>
      </c>
      <c r="F22" s="154" t="s">
        <v>5275</v>
      </c>
      <c r="G22" s="158">
        <v>44835</v>
      </c>
      <c r="H22" s="158">
        <v>44865</v>
      </c>
      <c r="I22" s="156">
        <v>1</v>
      </c>
      <c r="J22" s="160">
        <f t="shared" ref="J22:J31" si="8">ROUND(I22,2)</f>
        <v>1</v>
      </c>
      <c r="K22" s="160">
        <v>32</v>
      </c>
      <c r="L22" s="172">
        <v>1215614.71</v>
      </c>
      <c r="M22" s="167">
        <f t="shared" si="2"/>
        <v>1215614.71</v>
      </c>
      <c r="N22" s="7">
        <f t="shared" ref="N22:N57" si="9">M22*$N$5</f>
        <v>121561.47100000001</v>
      </c>
      <c r="O22" s="174">
        <f t="shared" ref="O22:O57" si="10">M22-N22</f>
        <v>1094053.2390000001</v>
      </c>
      <c r="P22" s="166">
        <v>44835</v>
      </c>
    </row>
    <row r="23" spans="2:16" ht="14.4" hidden="1" x14ac:dyDescent="0.3">
      <c r="B23" s="248">
        <v>17</v>
      </c>
      <c r="C23" s="159" t="s">
        <v>5322</v>
      </c>
      <c r="D23" s="2" t="s">
        <v>5286</v>
      </c>
      <c r="E23" s="2" t="s">
        <v>5287</v>
      </c>
      <c r="F23" s="154" t="s">
        <v>5275</v>
      </c>
      <c r="G23" s="158">
        <v>44835</v>
      </c>
      <c r="H23" s="158">
        <v>44865</v>
      </c>
      <c r="I23" s="156">
        <v>1</v>
      </c>
      <c r="J23" s="160">
        <f t="shared" si="8"/>
        <v>1</v>
      </c>
      <c r="K23" s="160">
        <v>32</v>
      </c>
      <c r="L23" s="172">
        <v>1215614.71</v>
      </c>
      <c r="M23" s="167">
        <f t="shared" si="2"/>
        <v>1215614.71</v>
      </c>
      <c r="N23" s="7">
        <f t="shared" si="9"/>
        <v>121561.47100000001</v>
      </c>
      <c r="O23" s="174">
        <f t="shared" si="10"/>
        <v>1094053.2390000001</v>
      </c>
      <c r="P23" s="166">
        <v>44835</v>
      </c>
    </row>
    <row r="24" spans="2:16" ht="14.4" hidden="1" x14ac:dyDescent="0.3">
      <c r="B24" s="249">
        <v>18</v>
      </c>
      <c r="C24" s="159" t="s">
        <v>5323</v>
      </c>
      <c r="D24" s="2" t="s">
        <v>5288</v>
      </c>
      <c r="E24" s="2" t="s">
        <v>5289</v>
      </c>
      <c r="F24" s="154" t="s">
        <v>5275</v>
      </c>
      <c r="G24" s="158">
        <v>44835</v>
      </c>
      <c r="H24" s="158">
        <v>44865</v>
      </c>
      <c r="I24" s="156">
        <v>1</v>
      </c>
      <c r="J24" s="160">
        <f t="shared" si="8"/>
        <v>1</v>
      </c>
      <c r="K24" s="160">
        <v>32</v>
      </c>
      <c r="L24" s="172">
        <v>1215614.71</v>
      </c>
      <c r="M24" s="167">
        <f t="shared" si="2"/>
        <v>1215614.71</v>
      </c>
      <c r="N24" s="7">
        <f t="shared" si="9"/>
        <v>121561.47100000001</v>
      </c>
      <c r="O24" s="174">
        <f t="shared" si="10"/>
        <v>1094053.2390000001</v>
      </c>
      <c r="P24" s="166">
        <v>44835</v>
      </c>
    </row>
    <row r="25" spans="2:16" ht="14.4" hidden="1" x14ac:dyDescent="0.3">
      <c r="B25" s="248">
        <v>19</v>
      </c>
      <c r="C25" s="159" t="s">
        <v>5324</v>
      </c>
      <c r="D25" s="2" t="s">
        <v>5290</v>
      </c>
      <c r="E25" s="2" t="s">
        <v>5291</v>
      </c>
      <c r="F25" s="154" t="s">
        <v>5275</v>
      </c>
      <c r="G25" s="158">
        <v>44835</v>
      </c>
      <c r="H25" s="158">
        <v>44865</v>
      </c>
      <c r="I25" s="156">
        <v>1</v>
      </c>
      <c r="J25" s="160">
        <f t="shared" si="8"/>
        <v>1</v>
      </c>
      <c r="K25" s="160">
        <v>32</v>
      </c>
      <c r="L25" s="172">
        <v>1215614.71</v>
      </c>
      <c r="M25" s="167">
        <f t="shared" si="2"/>
        <v>1215614.71</v>
      </c>
      <c r="N25" s="7">
        <f t="shared" si="9"/>
        <v>121561.47100000001</v>
      </c>
      <c r="O25" s="174">
        <f t="shared" si="10"/>
        <v>1094053.2390000001</v>
      </c>
      <c r="P25" s="166">
        <v>44835</v>
      </c>
    </row>
    <row r="26" spans="2:16" ht="14.4" hidden="1" x14ac:dyDescent="0.3">
      <c r="B26" s="249">
        <v>20</v>
      </c>
      <c r="C26" s="159" t="s">
        <v>5325</v>
      </c>
      <c r="D26" s="2" t="s">
        <v>5292</v>
      </c>
      <c r="E26" s="2" t="s">
        <v>5293</v>
      </c>
      <c r="F26" s="154" t="s">
        <v>5275</v>
      </c>
      <c r="G26" s="158">
        <v>44835</v>
      </c>
      <c r="H26" s="158">
        <v>44865</v>
      </c>
      <c r="I26" s="156">
        <v>1</v>
      </c>
      <c r="J26" s="160">
        <f t="shared" si="8"/>
        <v>1</v>
      </c>
      <c r="K26" s="160">
        <v>32</v>
      </c>
      <c r="L26" s="172">
        <v>1215614.71</v>
      </c>
      <c r="M26" s="167">
        <f t="shared" si="2"/>
        <v>1215614.71</v>
      </c>
      <c r="N26" s="7">
        <f t="shared" si="9"/>
        <v>121561.47100000001</v>
      </c>
      <c r="O26" s="174">
        <f t="shared" si="10"/>
        <v>1094053.2390000001</v>
      </c>
      <c r="P26" s="166">
        <v>44835</v>
      </c>
    </row>
    <row r="27" spans="2:16" ht="14.4" hidden="1" x14ac:dyDescent="0.3">
      <c r="B27" s="248">
        <v>21</v>
      </c>
      <c r="C27" s="159" t="s">
        <v>5326</v>
      </c>
      <c r="D27" s="2" t="s">
        <v>5294</v>
      </c>
      <c r="E27" s="2" t="s">
        <v>5295</v>
      </c>
      <c r="F27" s="154" t="s">
        <v>5275</v>
      </c>
      <c r="G27" s="158">
        <v>44835</v>
      </c>
      <c r="H27" s="158">
        <v>44865</v>
      </c>
      <c r="I27" s="156">
        <v>1</v>
      </c>
      <c r="J27" s="160">
        <f t="shared" si="8"/>
        <v>1</v>
      </c>
      <c r="K27" s="160">
        <v>32</v>
      </c>
      <c r="L27" s="172">
        <v>1215614.71</v>
      </c>
      <c r="M27" s="167">
        <f t="shared" si="2"/>
        <v>1215614.71</v>
      </c>
      <c r="N27" s="7">
        <f t="shared" si="9"/>
        <v>121561.47100000001</v>
      </c>
      <c r="O27" s="174">
        <f t="shared" si="10"/>
        <v>1094053.2390000001</v>
      </c>
      <c r="P27" s="166">
        <v>44835</v>
      </c>
    </row>
    <row r="28" spans="2:16" ht="14.4" hidden="1" x14ac:dyDescent="0.3">
      <c r="B28" s="249">
        <v>22</v>
      </c>
      <c r="C28" s="159" t="s">
        <v>5327</v>
      </c>
      <c r="D28" s="2" t="s">
        <v>5296</v>
      </c>
      <c r="E28" s="2" t="s">
        <v>5297</v>
      </c>
      <c r="F28" s="154" t="s">
        <v>5275</v>
      </c>
      <c r="G28" s="158">
        <v>44835</v>
      </c>
      <c r="H28" s="158">
        <v>44865</v>
      </c>
      <c r="I28" s="156">
        <v>1</v>
      </c>
      <c r="J28" s="160">
        <f t="shared" si="8"/>
        <v>1</v>
      </c>
      <c r="K28" s="160">
        <v>32</v>
      </c>
      <c r="L28" s="172">
        <v>1215614.71</v>
      </c>
      <c r="M28" s="167">
        <f t="shared" si="2"/>
        <v>1215614.71</v>
      </c>
      <c r="N28" s="7">
        <f t="shared" si="9"/>
        <v>121561.47100000001</v>
      </c>
      <c r="O28" s="174">
        <f t="shared" si="10"/>
        <v>1094053.2390000001</v>
      </c>
      <c r="P28" s="166">
        <v>44835</v>
      </c>
    </row>
    <row r="29" spans="2:16" ht="14.4" hidden="1" x14ac:dyDescent="0.3">
      <c r="B29" s="248">
        <v>23</v>
      </c>
      <c r="C29" s="159" t="s">
        <v>5328</v>
      </c>
      <c r="D29" s="2" t="s">
        <v>5298</v>
      </c>
      <c r="E29" s="2" t="s">
        <v>5299</v>
      </c>
      <c r="F29" s="154" t="s">
        <v>5275</v>
      </c>
      <c r="G29" s="158">
        <v>44835</v>
      </c>
      <c r="H29" s="158">
        <v>44865</v>
      </c>
      <c r="I29" s="156">
        <v>1</v>
      </c>
      <c r="J29" s="160">
        <f t="shared" si="8"/>
        <v>1</v>
      </c>
      <c r="K29" s="160">
        <v>32</v>
      </c>
      <c r="L29" s="172">
        <v>1215614.71</v>
      </c>
      <c r="M29" s="167">
        <f t="shared" si="2"/>
        <v>1215614.71</v>
      </c>
      <c r="N29" s="7">
        <f t="shared" si="9"/>
        <v>121561.47100000001</v>
      </c>
      <c r="O29" s="174">
        <f t="shared" si="10"/>
        <v>1094053.2390000001</v>
      </c>
      <c r="P29" s="166">
        <v>44835</v>
      </c>
    </row>
    <row r="30" spans="2:16" ht="14.4" hidden="1" x14ac:dyDescent="0.3">
      <c r="B30" s="249">
        <v>24</v>
      </c>
      <c r="C30" s="159" t="s">
        <v>5329</v>
      </c>
      <c r="D30" s="2" t="s">
        <v>5300</v>
      </c>
      <c r="E30" s="2" t="s">
        <v>5301</v>
      </c>
      <c r="F30" s="154" t="s">
        <v>5275</v>
      </c>
      <c r="G30" s="158">
        <v>44835</v>
      </c>
      <c r="H30" s="158">
        <v>44865</v>
      </c>
      <c r="I30" s="156">
        <v>1</v>
      </c>
      <c r="J30" s="160">
        <f t="shared" si="8"/>
        <v>1</v>
      </c>
      <c r="K30" s="160">
        <v>42</v>
      </c>
      <c r="L30" s="172">
        <v>1435883.79</v>
      </c>
      <c r="M30" s="167">
        <f t="shared" si="2"/>
        <v>1435883.79</v>
      </c>
      <c r="N30" s="7">
        <f t="shared" si="9"/>
        <v>143588.37900000002</v>
      </c>
      <c r="O30" s="174">
        <f t="shared" si="10"/>
        <v>1292295.4110000001</v>
      </c>
      <c r="P30" s="166">
        <v>44835</v>
      </c>
    </row>
    <row r="31" spans="2:16" ht="14.4" hidden="1" x14ac:dyDescent="0.3">
      <c r="B31" s="248">
        <v>25</v>
      </c>
      <c r="C31" s="153" t="s">
        <v>5302</v>
      </c>
      <c r="D31" s="153" t="s">
        <v>5303</v>
      </c>
      <c r="E31" s="153" t="s">
        <v>5304</v>
      </c>
      <c r="F31" s="154" t="s">
        <v>5275</v>
      </c>
      <c r="G31" s="158">
        <v>44833</v>
      </c>
      <c r="H31" s="158">
        <v>44865</v>
      </c>
      <c r="I31" s="156">
        <v>1.07</v>
      </c>
      <c r="J31" s="160">
        <f t="shared" si="8"/>
        <v>1.07</v>
      </c>
      <c r="K31" s="160">
        <v>60</v>
      </c>
      <c r="L31" s="167">
        <v>1744861.93</v>
      </c>
      <c r="M31" s="167">
        <f t="shared" si="2"/>
        <v>1867002.2651</v>
      </c>
      <c r="N31" s="7">
        <f t="shared" si="9"/>
        <v>186700.22651000001</v>
      </c>
      <c r="O31" s="174">
        <f t="shared" si="10"/>
        <v>1680302.03859</v>
      </c>
      <c r="P31" s="166">
        <v>44835</v>
      </c>
    </row>
    <row r="32" spans="2:16" ht="14.4" hidden="1" x14ac:dyDescent="0.3">
      <c r="B32" s="249">
        <v>26</v>
      </c>
      <c r="C32" s="153" t="s">
        <v>5330</v>
      </c>
      <c r="D32" s="153" t="s">
        <v>5278</v>
      </c>
      <c r="E32" s="153" t="s">
        <v>5279</v>
      </c>
      <c r="F32" s="154" t="s">
        <v>5275</v>
      </c>
      <c r="G32" s="158">
        <v>44866</v>
      </c>
      <c r="H32" s="158">
        <v>44895</v>
      </c>
      <c r="I32" s="156">
        <v>1</v>
      </c>
      <c r="J32" s="156">
        <v>1</v>
      </c>
      <c r="K32" s="160">
        <v>32</v>
      </c>
      <c r="L32" s="167">
        <v>1215614.71</v>
      </c>
      <c r="M32" s="167">
        <f t="shared" si="2"/>
        <v>1215614.71</v>
      </c>
      <c r="N32" s="7">
        <f t="shared" si="9"/>
        <v>121561.47100000001</v>
      </c>
      <c r="O32" s="174">
        <f t="shared" si="10"/>
        <v>1094053.2390000001</v>
      </c>
      <c r="P32" s="166">
        <v>44866</v>
      </c>
    </row>
    <row r="33" spans="2:16" ht="14.4" hidden="1" x14ac:dyDescent="0.3">
      <c r="B33" s="248">
        <v>27</v>
      </c>
      <c r="C33" s="153" t="s">
        <v>5331</v>
      </c>
      <c r="D33" s="153" t="s">
        <v>5280</v>
      </c>
      <c r="E33" s="153" t="s">
        <v>5281</v>
      </c>
      <c r="F33" s="154" t="s">
        <v>5275</v>
      </c>
      <c r="G33" s="158">
        <v>44866</v>
      </c>
      <c r="H33" s="158">
        <v>44895</v>
      </c>
      <c r="I33" s="156">
        <v>1</v>
      </c>
      <c r="J33" s="156">
        <v>1</v>
      </c>
      <c r="K33" s="160">
        <v>32</v>
      </c>
      <c r="L33" s="167">
        <v>1215614.71</v>
      </c>
      <c r="M33" s="167">
        <f t="shared" si="2"/>
        <v>1215614.71</v>
      </c>
      <c r="N33" s="7">
        <f t="shared" si="9"/>
        <v>121561.47100000001</v>
      </c>
      <c r="O33" s="174">
        <f t="shared" si="10"/>
        <v>1094053.2390000001</v>
      </c>
      <c r="P33" s="166">
        <v>44866</v>
      </c>
    </row>
    <row r="34" spans="2:16" ht="14.4" hidden="1" x14ac:dyDescent="0.3">
      <c r="B34" s="249">
        <v>28</v>
      </c>
      <c r="C34" s="153" t="s">
        <v>5332</v>
      </c>
      <c r="D34" s="153" t="s">
        <v>5282</v>
      </c>
      <c r="E34" s="153" t="s">
        <v>5283</v>
      </c>
      <c r="F34" s="154" t="s">
        <v>5275</v>
      </c>
      <c r="G34" s="158">
        <v>44866</v>
      </c>
      <c r="H34" s="158">
        <v>44895</v>
      </c>
      <c r="I34" s="156">
        <v>1</v>
      </c>
      <c r="J34" s="156">
        <v>1</v>
      </c>
      <c r="K34" s="160">
        <v>32</v>
      </c>
      <c r="L34" s="167">
        <v>1215614.71</v>
      </c>
      <c r="M34" s="167">
        <f t="shared" si="2"/>
        <v>1215614.71</v>
      </c>
      <c r="N34" s="7">
        <f t="shared" si="9"/>
        <v>121561.47100000001</v>
      </c>
      <c r="O34" s="174">
        <f t="shared" si="10"/>
        <v>1094053.2390000001</v>
      </c>
      <c r="P34" s="166">
        <v>44866</v>
      </c>
    </row>
    <row r="35" spans="2:16" ht="14.4" hidden="1" x14ac:dyDescent="0.3">
      <c r="B35" s="248">
        <v>29</v>
      </c>
      <c r="C35" s="153" t="s">
        <v>5333</v>
      </c>
      <c r="D35" s="153" t="s">
        <v>5284</v>
      </c>
      <c r="E35" s="153" t="s">
        <v>5285</v>
      </c>
      <c r="F35" s="154" t="s">
        <v>5275</v>
      </c>
      <c r="G35" s="158">
        <v>44866</v>
      </c>
      <c r="H35" s="158">
        <v>44895</v>
      </c>
      <c r="I35" s="156">
        <v>1</v>
      </c>
      <c r="J35" s="156">
        <v>1</v>
      </c>
      <c r="K35" s="160">
        <v>32</v>
      </c>
      <c r="L35" s="167">
        <v>1215614.71</v>
      </c>
      <c r="M35" s="167">
        <f t="shared" si="2"/>
        <v>1215614.71</v>
      </c>
      <c r="N35" s="7">
        <f t="shared" si="9"/>
        <v>121561.47100000001</v>
      </c>
      <c r="O35" s="174">
        <f t="shared" si="10"/>
        <v>1094053.2390000001</v>
      </c>
      <c r="P35" s="166">
        <v>44866</v>
      </c>
    </row>
    <row r="36" spans="2:16" ht="14.4" hidden="1" x14ac:dyDescent="0.3">
      <c r="B36" s="249">
        <v>30</v>
      </c>
      <c r="C36" s="153" t="s">
        <v>5334</v>
      </c>
      <c r="D36" s="153" t="s">
        <v>5286</v>
      </c>
      <c r="E36" s="153" t="s">
        <v>5287</v>
      </c>
      <c r="F36" s="154" t="s">
        <v>5275</v>
      </c>
      <c r="G36" s="158">
        <v>44866</v>
      </c>
      <c r="H36" s="158">
        <v>44895</v>
      </c>
      <c r="I36" s="156">
        <v>1</v>
      </c>
      <c r="J36" s="156">
        <v>1</v>
      </c>
      <c r="K36" s="160">
        <v>32</v>
      </c>
      <c r="L36" s="167">
        <v>1215614.71</v>
      </c>
      <c r="M36" s="167">
        <f t="shared" si="2"/>
        <v>1215614.71</v>
      </c>
      <c r="N36" s="7">
        <f t="shared" si="9"/>
        <v>121561.47100000001</v>
      </c>
      <c r="O36" s="174">
        <f t="shared" si="10"/>
        <v>1094053.2390000001</v>
      </c>
      <c r="P36" s="166">
        <v>44866</v>
      </c>
    </row>
    <row r="37" spans="2:16" ht="14.4" hidden="1" x14ac:dyDescent="0.3">
      <c r="B37" s="248">
        <v>31</v>
      </c>
      <c r="C37" s="153" t="s">
        <v>5335</v>
      </c>
      <c r="D37" s="153" t="s">
        <v>5288</v>
      </c>
      <c r="E37" s="153" t="s">
        <v>5289</v>
      </c>
      <c r="F37" s="154" t="s">
        <v>5275</v>
      </c>
      <c r="G37" s="158">
        <v>44866</v>
      </c>
      <c r="H37" s="158">
        <v>44895</v>
      </c>
      <c r="I37" s="156">
        <v>1</v>
      </c>
      <c r="J37" s="156">
        <v>1</v>
      </c>
      <c r="K37" s="160">
        <v>32</v>
      </c>
      <c r="L37" s="167">
        <v>1215614.71</v>
      </c>
      <c r="M37" s="167">
        <f t="shared" si="2"/>
        <v>1215614.71</v>
      </c>
      <c r="N37" s="7">
        <f t="shared" si="9"/>
        <v>121561.47100000001</v>
      </c>
      <c r="O37" s="174">
        <f t="shared" si="10"/>
        <v>1094053.2390000001</v>
      </c>
      <c r="P37" s="166">
        <v>44866</v>
      </c>
    </row>
    <row r="38" spans="2:16" ht="14.4" hidden="1" x14ac:dyDescent="0.3">
      <c r="B38" s="249">
        <v>32</v>
      </c>
      <c r="C38" s="153" t="s">
        <v>5336</v>
      </c>
      <c r="D38" s="153" t="s">
        <v>5290</v>
      </c>
      <c r="E38" s="153" t="s">
        <v>5291</v>
      </c>
      <c r="F38" s="154" t="s">
        <v>5275</v>
      </c>
      <c r="G38" s="158">
        <v>44866</v>
      </c>
      <c r="H38" s="158">
        <v>44895</v>
      </c>
      <c r="I38" s="156">
        <v>1</v>
      </c>
      <c r="J38" s="156">
        <v>1</v>
      </c>
      <c r="K38" s="160">
        <v>32</v>
      </c>
      <c r="L38" s="167">
        <v>1215614.71</v>
      </c>
      <c r="M38" s="167">
        <f t="shared" si="2"/>
        <v>1215614.71</v>
      </c>
      <c r="N38" s="7">
        <f t="shared" si="9"/>
        <v>121561.47100000001</v>
      </c>
      <c r="O38" s="174">
        <f t="shared" si="10"/>
        <v>1094053.2390000001</v>
      </c>
      <c r="P38" s="166">
        <v>44866</v>
      </c>
    </row>
    <row r="39" spans="2:16" ht="14.4" hidden="1" x14ac:dyDescent="0.3">
      <c r="B39" s="248">
        <v>33</v>
      </c>
      <c r="C39" s="153" t="s">
        <v>5337</v>
      </c>
      <c r="D39" s="153" t="s">
        <v>5292</v>
      </c>
      <c r="E39" s="153" t="s">
        <v>5293</v>
      </c>
      <c r="F39" s="154" t="s">
        <v>5275</v>
      </c>
      <c r="G39" s="158">
        <v>44866</v>
      </c>
      <c r="H39" s="158">
        <v>44895</v>
      </c>
      <c r="I39" s="156">
        <v>1</v>
      </c>
      <c r="J39" s="156">
        <v>1</v>
      </c>
      <c r="K39" s="160">
        <v>32</v>
      </c>
      <c r="L39" s="167">
        <v>1215614.71</v>
      </c>
      <c r="M39" s="167">
        <f t="shared" si="2"/>
        <v>1215614.71</v>
      </c>
      <c r="N39" s="7">
        <f t="shared" si="9"/>
        <v>121561.47100000001</v>
      </c>
      <c r="O39" s="174">
        <f t="shared" si="10"/>
        <v>1094053.2390000001</v>
      </c>
      <c r="P39" s="166">
        <v>44866</v>
      </c>
    </row>
    <row r="40" spans="2:16" ht="14.4" hidden="1" x14ac:dyDescent="0.3">
      <c r="B40" s="249">
        <v>34</v>
      </c>
      <c r="C40" s="153" t="s">
        <v>5338</v>
      </c>
      <c r="D40" s="153" t="s">
        <v>5294</v>
      </c>
      <c r="E40" s="153" t="s">
        <v>5295</v>
      </c>
      <c r="F40" s="154" t="s">
        <v>5275</v>
      </c>
      <c r="G40" s="158">
        <v>44866</v>
      </c>
      <c r="H40" s="158">
        <v>44895</v>
      </c>
      <c r="I40" s="156">
        <v>1</v>
      </c>
      <c r="J40" s="156">
        <v>1</v>
      </c>
      <c r="K40" s="160">
        <v>32</v>
      </c>
      <c r="L40" s="167">
        <v>1215614.71</v>
      </c>
      <c r="M40" s="167">
        <f t="shared" si="2"/>
        <v>1215614.71</v>
      </c>
      <c r="N40" s="7">
        <f t="shared" si="9"/>
        <v>121561.47100000001</v>
      </c>
      <c r="O40" s="174">
        <f t="shared" si="10"/>
        <v>1094053.2390000001</v>
      </c>
      <c r="P40" s="166">
        <v>44866</v>
      </c>
    </row>
    <row r="41" spans="2:16" ht="14.4" hidden="1" x14ac:dyDescent="0.3">
      <c r="B41" s="248">
        <v>35</v>
      </c>
      <c r="C41" s="153" t="s">
        <v>5339</v>
      </c>
      <c r="D41" s="153" t="s">
        <v>5296</v>
      </c>
      <c r="E41" s="153" t="s">
        <v>5297</v>
      </c>
      <c r="F41" s="154" t="s">
        <v>5275</v>
      </c>
      <c r="G41" s="158">
        <v>44866</v>
      </c>
      <c r="H41" s="158">
        <v>44895</v>
      </c>
      <c r="I41" s="156">
        <v>1</v>
      </c>
      <c r="J41" s="156">
        <v>1</v>
      </c>
      <c r="K41" s="160">
        <v>32</v>
      </c>
      <c r="L41" s="167">
        <v>1215614.71</v>
      </c>
      <c r="M41" s="167">
        <f t="shared" si="2"/>
        <v>1215614.71</v>
      </c>
      <c r="N41" s="7">
        <f t="shared" si="9"/>
        <v>121561.47100000001</v>
      </c>
      <c r="O41" s="174">
        <f t="shared" si="10"/>
        <v>1094053.2390000001</v>
      </c>
      <c r="P41" s="166">
        <v>44866</v>
      </c>
    </row>
    <row r="42" spans="2:16" ht="14.4" hidden="1" x14ac:dyDescent="0.3">
      <c r="B42" s="249">
        <v>36</v>
      </c>
      <c r="C42" s="153" t="s">
        <v>5340</v>
      </c>
      <c r="D42" s="153" t="s">
        <v>5298</v>
      </c>
      <c r="E42" s="153" t="s">
        <v>5299</v>
      </c>
      <c r="F42" s="154" t="s">
        <v>5275</v>
      </c>
      <c r="G42" s="158">
        <v>44866</v>
      </c>
      <c r="H42" s="158">
        <v>44895</v>
      </c>
      <c r="I42" s="156">
        <v>1</v>
      </c>
      <c r="J42" s="156">
        <v>1</v>
      </c>
      <c r="K42" s="160">
        <v>32</v>
      </c>
      <c r="L42" s="167">
        <v>1215614.71</v>
      </c>
      <c r="M42" s="167">
        <f t="shared" si="2"/>
        <v>1215614.71</v>
      </c>
      <c r="N42" s="7">
        <f t="shared" si="9"/>
        <v>121561.47100000001</v>
      </c>
      <c r="O42" s="174">
        <f t="shared" si="10"/>
        <v>1094053.2390000001</v>
      </c>
      <c r="P42" s="166">
        <v>44866</v>
      </c>
    </row>
    <row r="43" spans="2:16" ht="14.4" hidden="1" x14ac:dyDescent="0.3">
      <c r="B43" s="248">
        <v>37</v>
      </c>
      <c r="C43" s="153" t="s">
        <v>5341</v>
      </c>
      <c r="D43" s="153" t="s">
        <v>5300</v>
      </c>
      <c r="E43" s="153" t="s">
        <v>5301</v>
      </c>
      <c r="F43" s="154" t="s">
        <v>5275</v>
      </c>
      <c r="G43" s="158">
        <v>44866</v>
      </c>
      <c r="H43" s="158">
        <v>44895</v>
      </c>
      <c r="I43" s="156">
        <v>1</v>
      </c>
      <c r="J43" s="156">
        <v>1</v>
      </c>
      <c r="K43" s="160">
        <v>42</v>
      </c>
      <c r="L43" s="167">
        <v>1435883.79</v>
      </c>
      <c r="M43" s="167">
        <f t="shared" si="2"/>
        <v>1435883.79</v>
      </c>
      <c r="N43" s="7">
        <f t="shared" si="9"/>
        <v>143588.37900000002</v>
      </c>
      <c r="O43" s="174">
        <f t="shared" si="10"/>
        <v>1292295.4110000001</v>
      </c>
      <c r="P43" s="166">
        <v>44866</v>
      </c>
    </row>
    <row r="44" spans="2:16" ht="14.4" hidden="1" x14ac:dyDescent="0.3">
      <c r="B44" s="249">
        <v>38</v>
      </c>
      <c r="C44" s="153" t="s">
        <v>5342</v>
      </c>
      <c r="D44" s="153" t="s">
        <v>5303</v>
      </c>
      <c r="E44" s="153" t="s">
        <v>5304</v>
      </c>
      <c r="F44" s="154" t="s">
        <v>5275</v>
      </c>
      <c r="G44" s="158">
        <v>44866</v>
      </c>
      <c r="H44" s="158">
        <v>44895</v>
      </c>
      <c r="I44" s="156">
        <v>1</v>
      </c>
      <c r="J44" s="156">
        <v>1</v>
      </c>
      <c r="K44" s="160">
        <v>60</v>
      </c>
      <c r="L44" s="167">
        <v>1744861.93</v>
      </c>
      <c r="M44" s="167">
        <f t="shared" si="2"/>
        <v>1744861.93</v>
      </c>
      <c r="N44" s="7">
        <f t="shared" si="9"/>
        <v>174486.193</v>
      </c>
      <c r="O44" s="174">
        <f t="shared" si="10"/>
        <v>1570375.737</v>
      </c>
      <c r="P44" s="166">
        <v>44866</v>
      </c>
    </row>
    <row r="45" spans="2:16" ht="14.4" hidden="1" x14ac:dyDescent="0.3">
      <c r="B45" s="248">
        <v>39</v>
      </c>
      <c r="C45" s="153" t="s">
        <v>5343</v>
      </c>
      <c r="D45" s="153" t="s">
        <v>5278</v>
      </c>
      <c r="E45" s="153" t="s">
        <v>5279</v>
      </c>
      <c r="F45" s="154" t="s">
        <v>5275</v>
      </c>
      <c r="G45" s="158">
        <v>44896</v>
      </c>
      <c r="H45" s="158">
        <v>44926</v>
      </c>
      <c r="I45" s="156">
        <v>1</v>
      </c>
      <c r="J45" s="156">
        <v>1</v>
      </c>
      <c r="K45" s="156">
        <v>32</v>
      </c>
      <c r="L45" s="167">
        <v>1215614.71</v>
      </c>
      <c r="M45" s="167">
        <f t="shared" si="2"/>
        <v>1215614.71</v>
      </c>
      <c r="N45" s="7">
        <f t="shared" si="9"/>
        <v>121561.47100000001</v>
      </c>
      <c r="O45" s="174">
        <f t="shared" si="10"/>
        <v>1094053.2390000001</v>
      </c>
      <c r="P45" s="166">
        <v>44896</v>
      </c>
    </row>
    <row r="46" spans="2:16" ht="14.4" hidden="1" x14ac:dyDescent="0.3">
      <c r="B46" s="249">
        <v>40</v>
      </c>
      <c r="C46" s="153" t="s">
        <v>5344</v>
      </c>
      <c r="D46" s="153" t="s">
        <v>5280</v>
      </c>
      <c r="E46" s="153" t="s">
        <v>5281</v>
      </c>
      <c r="F46" s="154" t="s">
        <v>5275</v>
      </c>
      <c r="G46" s="158">
        <v>44896</v>
      </c>
      <c r="H46" s="158">
        <v>44926</v>
      </c>
      <c r="I46" s="156">
        <v>1</v>
      </c>
      <c r="J46" s="156">
        <v>1</v>
      </c>
      <c r="K46" s="156">
        <v>32</v>
      </c>
      <c r="L46" s="167">
        <v>1215614.71</v>
      </c>
      <c r="M46" s="167">
        <f t="shared" si="2"/>
        <v>1215614.71</v>
      </c>
      <c r="N46" s="7">
        <f t="shared" si="9"/>
        <v>121561.47100000001</v>
      </c>
      <c r="O46" s="174">
        <f t="shared" si="10"/>
        <v>1094053.2390000001</v>
      </c>
      <c r="P46" s="166">
        <v>44896</v>
      </c>
    </row>
    <row r="47" spans="2:16" ht="14.4" hidden="1" x14ac:dyDescent="0.3">
      <c r="B47" s="248">
        <v>41</v>
      </c>
      <c r="C47" s="153" t="s">
        <v>5345</v>
      </c>
      <c r="D47" s="153" t="s">
        <v>5282</v>
      </c>
      <c r="E47" s="153" t="s">
        <v>5283</v>
      </c>
      <c r="F47" s="154" t="s">
        <v>5275</v>
      </c>
      <c r="G47" s="158">
        <v>44896</v>
      </c>
      <c r="H47" s="158">
        <v>44926</v>
      </c>
      <c r="I47" s="156">
        <v>1</v>
      </c>
      <c r="J47" s="156">
        <v>1</v>
      </c>
      <c r="K47" s="156">
        <v>32</v>
      </c>
      <c r="L47" s="167">
        <v>1215614.71</v>
      </c>
      <c r="M47" s="167">
        <f t="shared" si="2"/>
        <v>1215614.71</v>
      </c>
      <c r="N47" s="7">
        <f t="shared" si="9"/>
        <v>121561.47100000001</v>
      </c>
      <c r="O47" s="174">
        <f t="shared" si="10"/>
        <v>1094053.2390000001</v>
      </c>
      <c r="P47" s="166">
        <v>44896</v>
      </c>
    </row>
    <row r="48" spans="2:16" ht="14.4" hidden="1" x14ac:dyDescent="0.3">
      <c r="B48" s="249">
        <v>42</v>
      </c>
      <c r="C48" s="153" t="s">
        <v>5346</v>
      </c>
      <c r="D48" s="153" t="s">
        <v>5284</v>
      </c>
      <c r="E48" s="153" t="s">
        <v>5285</v>
      </c>
      <c r="F48" s="154" t="s">
        <v>5275</v>
      </c>
      <c r="G48" s="158">
        <v>44896</v>
      </c>
      <c r="H48" s="158">
        <v>44926</v>
      </c>
      <c r="I48" s="156">
        <v>1</v>
      </c>
      <c r="J48" s="156">
        <v>1</v>
      </c>
      <c r="K48" s="156">
        <v>32</v>
      </c>
      <c r="L48" s="167">
        <v>1215614.71</v>
      </c>
      <c r="M48" s="167">
        <f t="shared" si="2"/>
        <v>1215614.71</v>
      </c>
      <c r="N48" s="7">
        <f t="shared" si="9"/>
        <v>121561.47100000001</v>
      </c>
      <c r="O48" s="174">
        <f t="shared" si="10"/>
        <v>1094053.2390000001</v>
      </c>
      <c r="P48" s="166">
        <v>44896</v>
      </c>
    </row>
    <row r="49" spans="2:16" ht="14.4" hidden="1" x14ac:dyDescent="0.3">
      <c r="B49" s="248">
        <v>43</v>
      </c>
      <c r="C49" s="153" t="s">
        <v>5347</v>
      </c>
      <c r="D49" s="153" t="s">
        <v>5286</v>
      </c>
      <c r="E49" s="153" t="s">
        <v>5287</v>
      </c>
      <c r="F49" s="154" t="s">
        <v>5275</v>
      </c>
      <c r="G49" s="158">
        <v>44896</v>
      </c>
      <c r="H49" s="158">
        <v>44926</v>
      </c>
      <c r="I49" s="156">
        <v>1</v>
      </c>
      <c r="J49" s="156">
        <v>1</v>
      </c>
      <c r="K49" s="156">
        <v>32</v>
      </c>
      <c r="L49" s="167">
        <v>1215614.71</v>
      </c>
      <c r="M49" s="167">
        <f t="shared" si="2"/>
        <v>1215614.71</v>
      </c>
      <c r="N49" s="7">
        <f t="shared" si="9"/>
        <v>121561.47100000001</v>
      </c>
      <c r="O49" s="174">
        <f t="shared" si="10"/>
        <v>1094053.2390000001</v>
      </c>
      <c r="P49" s="166">
        <v>44896</v>
      </c>
    </row>
    <row r="50" spans="2:16" ht="14.4" hidden="1" x14ac:dyDescent="0.3">
      <c r="B50" s="249">
        <v>44</v>
      </c>
      <c r="C50" s="153" t="s">
        <v>5348</v>
      </c>
      <c r="D50" s="153" t="s">
        <v>5288</v>
      </c>
      <c r="E50" s="153" t="s">
        <v>5289</v>
      </c>
      <c r="F50" s="154" t="s">
        <v>5275</v>
      </c>
      <c r="G50" s="158">
        <v>44896</v>
      </c>
      <c r="H50" s="158">
        <v>44926</v>
      </c>
      <c r="I50" s="156">
        <v>1</v>
      </c>
      <c r="J50" s="156">
        <v>1</v>
      </c>
      <c r="K50" s="156">
        <v>32</v>
      </c>
      <c r="L50" s="167">
        <v>1215614.71</v>
      </c>
      <c r="M50" s="167">
        <f t="shared" si="2"/>
        <v>1215614.71</v>
      </c>
      <c r="N50" s="7">
        <f t="shared" si="9"/>
        <v>121561.47100000001</v>
      </c>
      <c r="O50" s="174">
        <f t="shared" si="10"/>
        <v>1094053.2390000001</v>
      </c>
      <c r="P50" s="166">
        <v>44896</v>
      </c>
    </row>
    <row r="51" spans="2:16" ht="14.4" hidden="1" x14ac:dyDescent="0.3">
      <c r="B51" s="248">
        <v>45</v>
      </c>
      <c r="C51" s="153" t="s">
        <v>5349</v>
      </c>
      <c r="D51" s="153" t="s">
        <v>5290</v>
      </c>
      <c r="E51" s="153" t="s">
        <v>5291</v>
      </c>
      <c r="F51" s="154" t="s">
        <v>5275</v>
      </c>
      <c r="G51" s="158">
        <v>44896</v>
      </c>
      <c r="H51" s="158">
        <v>44926</v>
      </c>
      <c r="I51" s="156">
        <v>1</v>
      </c>
      <c r="J51" s="156">
        <v>1</v>
      </c>
      <c r="K51" s="156">
        <v>32</v>
      </c>
      <c r="L51" s="167">
        <v>1215614.71</v>
      </c>
      <c r="M51" s="167">
        <f t="shared" si="2"/>
        <v>1215614.71</v>
      </c>
      <c r="N51" s="7">
        <f t="shared" si="9"/>
        <v>121561.47100000001</v>
      </c>
      <c r="O51" s="174">
        <f t="shared" si="10"/>
        <v>1094053.2390000001</v>
      </c>
      <c r="P51" s="166">
        <v>44896</v>
      </c>
    </row>
    <row r="52" spans="2:16" ht="14.4" hidden="1" x14ac:dyDescent="0.3">
      <c r="B52" s="249">
        <v>46</v>
      </c>
      <c r="C52" s="153" t="s">
        <v>5350</v>
      </c>
      <c r="D52" s="153" t="s">
        <v>5292</v>
      </c>
      <c r="E52" s="153" t="s">
        <v>5293</v>
      </c>
      <c r="F52" s="154" t="s">
        <v>5275</v>
      </c>
      <c r="G52" s="158">
        <v>44896</v>
      </c>
      <c r="H52" s="158">
        <v>44926</v>
      </c>
      <c r="I52" s="156">
        <v>1</v>
      </c>
      <c r="J52" s="156">
        <v>1</v>
      </c>
      <c r="K52" s="156">
        <v>32</v>
      </c>
      <c r="L52" s="167">
        <v>1215614.71</v>
      </c>
      <c r="M52" s="167">
        <f t="shared" si="2"/>
        <v>1215614.71</v>
      </c>
      <c r="N52" s="7">
        <f t="shared" si="9"/>
        <v>121561.47100000001</v>
      </c>
      <c r="O52" s="174">
        <f t="shared" si="10"/>
        <v>1094053.2390000001</v>
      </c>
      <c r="P52" s="166">
        <v>44896</v>
      </c>
    </row>
    <row r="53" spans="2:16" ht="14.4" hidden="1" x14ac:dyDescent="0.3">
      <c r="B53" s="248">
        <v>47</v>
      </c>
      <c r="C53" s="153" t="s">
        <v>5351</v>
      </c>
      <c r="D53" s="153" t="s">
        <v>5294</v>
      </c>
      <c r="E53" s="153" t="s">
        <v>5295</v>
      </c>
      <c r="F53" s="154" t="s">
        <v>5275</v>
      </c>
      <c r="G53" s="158">
        <v>44896</v>
      </c>
      <c r="H53" s="158">
        <v>44926</v>
      </c>
      <c r="I53" s="156">
        <v>1</v>
      </c>
      <c r="J53" s="156">
        <v>1</v>
      </c>
      <c r="K53" s="156">
        <v>32</v>
      </c>
      <c r="L53" s="167">
        <v>1215614.71</v>
      </c>
      <c r="M53" s="167">
        <f t="shared" si="2"/>
        <v>1215614.71</v>
      </c>
      <c r="N53" s="7">
        <f t="shared" si="9"/>
        <v>121561.47100000001</v>
      </c>
      <c r="O53" s="174">
        <f t="shared" si="10"/>
        <v>1094053.2390000001</v>
      </c>
      <c r="P53" s="166">
        <v>44896</v>
      </c>
    </row>
    <row r="54" spans="2:16" ht="14.4" hidden="1" x14ac:dyDescent="0.3">
      <c r="B54" s="249">
        <v>48</v>
      </c>
      <c r="C54" s="153" t="s">
        <v>5352</v>
      </c>
      <c r="D54" s="153" t="s">
        <v>5296</v>
      </c>
      <c r="E54" s="153" t="s">
        <v>5297</v>
      </c>
      <c r="F54" s="154" t="s">
        <v>5275</v>
      </c>
      <c r="G54" s="158">
        <v>44896</v>
      </c>
      <c r="H54" s="158">
        <v>44926</v>
      </c>
      <c r="I54" s="156">
        <v>1</v>
      </c>
      <c r="J54" s="156">
        <v>1</v>
      </c>
      <c r="K54" s="156">
        <v>32</v>
      </c>
      <c r="L54" s="167">
        <v>1215614.71</v>
      </c>
      <c r="M54" s="167">
        <f t="shared" si="2"/>
        <v>1215614.71</v>
      </c>
      <c r="N54" s="7">
        <f t="shared" si="9"/>
        <v>121561.47100000001</v>
      </c>
      <c r="O54" s="174">
        <f t="shared" si="10"/>
        <v>1094053.2390000001</v>
      </c>
      <c r="P54" s="166">
        <v>44896</v>
      </c>
    </row>
    <row r="55" spans="2:16" ht="14.4" hidden="1" x14ac:dyDescent="0.3">
      <c r="B55" s="248">
        <v>49</v>
      </c>
      <c r="C55" s="153" t="s">
        <v>5353</v>
      </c>
      <c r="D55" s="153" t="s">
        <v>5298</v>
      </c>
      <c r="E55" s="153" t="s">
        <v>5299</v>
      </c>
      <c r="F55" s="154" t="s">
        <v>5275</v>
      </c>
      <c r="G55" s="158">
        <v>44896</v>
      </c>
      <c r="H55" s="158">
        <v>44926</v>
      </c>
      <c r="I55" s="156">
        <v>1</v>
      </c>
      <c r="J55" s="156">
        <v>1</v>
      </c>
      <c r="K55" s="156">
        <v>32</v>
      </c>
      <c r="L55" s="167">
        <v>1215614.71</v>
      </c>
      <c r="M55" s="167">
        <f t="shared" si="2"/>
        <v>1215614.71</v>
      </c>
      <c r="N55" s="7">
        <f t="shared" si="9"/>
        <v>121561.47100000001</v>
      </c>
      <c r="O55" s="174">
        <f t="shared" si="10"/>
        <v>1094053.2390000001</v>
      </c>
      <c r="P55" s="166">
        <v>44896</v>
      </c>
    </row>
    <row r="56" spans="2:16" ht="14.4" hidden="1" x14ac:dyDescent="0.3">
      <c r="B56" s="249">
        <v>50</v>
      </c>
      <c r="C56" s="153" t="s">
        <v>5354</v>
      </c>
      <c r="D56" s="153" t="s">
        <v>5300</v>
      </c>
      <c r="E56" s="153" t="s">
        <v>5301</v>
      </c>
      <c r="F56" s="154" t="s">
        <v>5275</v>
      </c>
      <c r="G56" s="158">
        <v>44896</v>
      </c>
      <c r="H56" s="158">
        <v>44926</v>
      </c>
      <c r="I56" s="156">
        <v>1</v>
      </c>
      <c r="J56" s="156">
        <v>1</v>
      </c>
      <c r="K56" s="156">
        <v>42</v>
      </c>
      <c r="L56" s="167">
        <v>1435883.79</v>
      </c>
      <c r="M56" s="167">
        <f t="shared" si="2"/>
        <v>1435883.79</v>
      </c>
      <c r="N56" s="7">
        <f t="shared" si="9"/>
        <v>143588.37900000002</v>
      </c>
      <c r="O56" s="174">
        <f t="shared" si="10"/>
        <v>1292295.4110000001</v>
      </c>
      <c r="P56" s="166">
        <v>44896</v>
      </c>
    </row>
    <row r="57" spans="2:16" ht="14.4" hidden="1" x14ac:dyDescent="0.3">
      <c r="B57" s="248">
        <v>51</v>
      </c>
      <c r="C57" s="153" t="s">
        <v>5355</v>
      </c>
      <c r="D57" s="153" t="s">
        <v>5303</v>
      </c>
      <c r="E57" s="153" t="s">
        <v>5304</v>
      </c>
      <c r="F57" s="154" t="s">
        <v>5275</v>
      </c>
      <c r="G57" s="158">
        <v>44896</v>
      </c>
      <c r="H57" s="158">
        <v>44926</v>
      </c>
      <c r="I57" s="156">
        <v>1</v>
      </c>
      <c r="J57" s="156">
        <v>1</v>
      </c>
      <c r="K57" s="156">
        <v>60</v>
      </c>
      <c r="L57" s="167">
        <v>1744861.93</v>
      </c>
      <c r="M57" s="167">
        <f t="shared" si="2"/>
        <v>1744861.93</v>
      </c>
      <c r="N57" s="7">
        <f t="shared" si="9"/>
        <v>174486.193</v>
      </c>
      <c r="O57" s="174">
        <f t="shared" si="10"/>
        <v>1570375.737</v>
      </c>
      <c r="P57" s="166">
        <v>44896</v>
      </c>
    </row>
    <row r="58" spans="2:16" ht="14.4" x14ac:dyDescent="0.3">
      <c r="B58" s="249">
        <v>52</v>
      </c>
      <c r="C58" s="153" t="s">
        <v>5428</v>
      </c>
      <c r="D58" s="153" t="s">
        <v>5278</v>
      </c>
      <c r="E58" s="153" t="s">
        <v>5279</v>
      </c>
      <c r="F58" s="154" t="s">
        <v>5275</v>
      </c>
      <c r="G58" s="158">
        <v>44927</v>
      </c>
      <c r="H58" s="158">
        <v>44957</v>
      </c>
      <c r="I58" s="156">
        <v>1</v>
      </c>
      <c r="J58" s="156">
        <v>1</v>
      </c>
      <c r="K58" s="156">
        <v>32</v>
      </c>
      <c r="L58" s="167">
        <v>1215614.71</v>
      </c>
      <c r="M58" s="167">
        <f t="shared" ref="M58:M83" si="11">L58*J58</f>
        <v>1215614.71</v>
      </c>
      <c r="N58" s="7">
        <f t="shared" ref="N58:N83" si="12">M58*$N$5</f>
        <v>121561.47100000001</v>
      </c>
      <c r="O58" s="174">
        <f t="shared" ref="O58:O83" si="13">M58-N58</f>
        <v>1094053.2390000001</v>
      </c>
      <c r="P58" s="166">
        <v>44957</v>
      </c>
    </row>
    <row r="59" spans="2:16" ht="14.4" x14ac:dyDescent="0.3">
      <c r="B59" s="248">
        <v>53</v>
      </c>
      <c r="C59" s="153" t="s">
        <v>5429</v>
      </c>
      <c r="D59" s="153" t="s">
        <v>5280</v>
      </c>
      <c r="E59" s="153" t="s">
        <v>5281</v>
      </c>
      <c r="F59" s="154" t="s">
        <v>5275</v>
      </c>
      <c r="G59" s="158">
        <v>44927</v>
      </c>
      <c r="H59" s="158">
        <v>44957</v>
      </c>
      <c r="I59" s="156">
        <v>1</v>
      </c>
      <c r="J59" s="156">
        <v>1</v>
      </c>
      <c r="K59" s="156">
        <v>32</v>
      </c>
      <c r="L59" s="167">
        <v>1215614.71</v>
      </c>
      <c r="M59" s="167">
        <f t="shared" si="11"/>
        <v>1215614.71</v>
      </c>
      <c r="N59" s="7">
        <f t="shared" si="12"/>
        <v>121561.47100000001</v>
      </c>
      <c r="O59" s="174">
        <f t="shared" si="13"/>
        <v>1094053.2390000001</v>
      </c>
      <c r="P59" s="166">
        <v>44957</v>
      </c>
    </row>
    <row r="60" spans="2:16" ht="14.4" x14ac:dyDescent="0.3">
      <c r="B60" s="249">
        <v>54</v>
      </c>
      <c r="C60" s="153" t="s">
        <v>5430</v>
      </c>
      <c r="D60" s="153" t="s">
        <v>5282</v>
      </c>
      <c r="E60" s="153" t="s">
        <v>5283</v>
      </c>
      <c r="F60" s="154" t="s">
        <v>5275</v>
      </c>
      <c r="G60" s="158">
        <v>44927</v>
      </c>
      <c r="H60" s="158">
        <v>44957</v>
      </c>
      <c r="I60" s="156">
        <v>1</v>
      </c>
      <c r="J60" s="156">
        <v>1</v>
      </c>
      <c r="K60" s="156">
        <v>32</v>
      </c>
      <c r="L60" s="167">
        <v>1215614.71</v>
      </c>
      <c r="M60" s="167">
        <f t="shared" si="11"/>
        <v>1215614.71</v>
      </c>
      <c r="N60" s="7">
        <f t="shared" si="12"/>
        <v>121561.47100000001</v>
      </c>
      <c r="O60" s="174">
        <f t="shared" si="13"/>
        <v>1094053.2390000001</v>
      </c>
      <c r="P60" s="166">
        <v>44957</v>
      </c>
    </row>
    <row r="61" spans="2:16" ht="14.4" x14ac:dyDescent="0.3">
      <c r="B61" s="248">
        <v>55</v>
      </c>
      <c r="C61" s="153" t="s">
        <v>5431</v>
      </c>
      <c r="D61" s="153" t="s">
        <v>5284</v>
      </c>
      <c r="E61" s="153" t="s">
        <v>5285</v>
      </c>
      <c r="F61" s="154" t="s">
        <v>5275</v>
      </c>
      <c r="G61" s="158">
        <v>44927</v>
      </c>
      <c r="H61" s="158">
        <v>44957</v>
      </c>
      <c r="I61" s="156">
        <v>1</v>
      </c>
      <c r="J61" s="156">
        <v>1</v>
      </c>
      <c r="K61" s="156">
        <v>32</v>
      </c>
      <c r="L61" s="167">
        <v>1215614.71</v>
      </c>
      <c r="M61" s="167">
        <f t="shared" si="11"/>
        <v>1215614.71</v>
      </c>
      <c r="N61" s="7">
        <f t="shared" si="12"/>
        <v>121561.47100000001</v>
      </c>
      <c r="O61" s="174">
        <f t="shared" si="13"/>
        <v>1094053.2390000001</v>
      </c>
      <c r="P61" s="166">
        <v>44957</v>
      </c>
    </row>
    <row r="62" spans="2:16" ht="14.4" x14ac:dyDescent="0.3">
      <c r="B62" s="249">
        <v>56</v>
      </c>
      <c r="C62" s="153" t="s">
        <v>5432</v>
      </c>
      <c r="D62" s="153" t="s">
        <v>5286</v>
      </c>
      <c r="E62" s="153" t="s">
        <v>5287</v>
      </c>
      <c r="F62" s="154" t="s">
        <v>5275</v>
      </c>
      <c r="G62" s="158">
        <v>44927</v>
      </c>
      <c r="H62" s="158">
        <v>44957</v>
      </c>
      <c r="I62" s="156">
        <v>1</v>
      </c>
      <c r="J62" s="156">
        <v>1</v>
      </c>
      <c r="K62" s="156">
        <v>32</v>
      </c>
      <c r="L62" s="167">
        <v>1215614.71</v>
      </c>
      <c r="M62" s="167">
        <f t="shared" si="11"/>
        <v>1215614.71</v>
      </c>
      <c r="N62" s="7">
        <f t="shared" si="12"/>
        <v>121561.47100000001</v>
      </c>
      <c r="O62" s="174">
        <f t="shared" si="13"/>
        <v>1094053.2390000001</v>
      </c>
      <c r="P62" s="166">
        <v>44957</v>
      </c>
    </row>
    <row r="63" spans="2:16" ht="14.4" x14ac:dyDescent="0.3">
      <c r="B63" s="248">
        <v>57</v>
      </c>
      <c r="C63" s="153" t="s">
        <v>5433</v>
      </c>
      <c r="D63" s="153" t="s">
        <v>5288</v>
      </c>
      <c r="E63" s="153" t="s">
        <v>5289</v>
      </c>
      <c r="F63" s="154" t="s">
        <v>5275</v>
      </c>
      <c r="G63" s="158">
        <v>44927</v>
      </c>
      <c r="H63" s="158">
        <v>44957</v>
      </c>
      <c r="I63" s="156">
        <v>1</v>
      </c>
      <c r="J63" s="156">
        <v>1</v>
      </c>
      <c r="K63" s="156">
        <v>32</v>
      </c>
      <c r="L63" s="167">
        <v>1215614.71</v>
      </c>
      <c r="M63" s="167">
        <f t="shared" si="11"/>
        <v>1215614.71</v>
      </c>
      <c r="N63" s="7">
        <f t="shared" si="12"/>
        <v>121561.47100000001</v>
      </c>
      <c r="O63" s="174">
        <f t="shared" si="13"/>
        <v>1094053.2390000001</v>
      </c>
      <c r="P63" s="166">
        <v>44957</v>
      </c>
    </row>
    <row r="64" spans="2:16" ht="14.4" x14ac:dyDescent="0.3">
      <c r="B64" s="249">
        <v>58</v>
      </c>
      <c r="C64" s="153" t="s">
        <v>5434</v>
      </c>
      <c r="D64" s="153" t="s">
        <v>5290</v>
      </c>
      <c r="E64" s="153" t="s">
        <v>5291</v>
      </c>
      <c r="F64" s="154" t="s">
        <v>5275</v>
      </c>
      <c r="G64" s="158">
        <v>44927</v>
      </c>
      <c r="H64" s="158">
        <v>44957</v>
      </c>
      <c r="I64" s="156">
        <v>1</v>
      </c>
      <c r="J64" s="156">
        <v>1</v>
      </c>
      <c r="K64" s="156">
        <v>32</v>
      </c>
      <c r="L64" s="167">
        <v>1215614.71</v>
      </c>
      <c r="M64" s="167">
        <f t="shared" si="11"/>
        <v>1215614.71</v>
      </c>
      <c r="N64" s="7">
        <f t="shared" si="12"/>
        <v>121561.47100000001</v>
      </c>
      <c r="O64" s="174">
        <f t="shared" si="13"/>
        <v>1094053.2390000001</v>
      </c>
      <c r="P64" s="166">
        <v>44957</v>
      </c>
    </row>
    <row r="65" spans="2:16" ht="14.4" x14ac:dyDescent="0.3">
      <c r="B65" s="248">
        <v>59</v>
      </c>
      <c r="C65" s="153" t="s">
        <v>5435</v>
      </c>
      <c r="D65" s="153" t="s">
        <v>5292</v>
      </c>
      <c r="E65" s="153" t="s">
        <v>5293</v>
      </c>
      <c r="F65" s="154" t="s">
        <v>5275</v>
      </c>
      <c r="G65" s="158">
        <v>44927</v>
      </c>
      <c r="H65" s="158">
        <v>44957</v>
      </c>
      <c r="I65" s="156">
        <v>1</v>
      </c>
      <c r="J65" s="156">
        <v>1</v>
      </c>
      <c r="K65" s="156">
        <v>32</v>
      </c>
      <c r="L65" s="167">
        <v>1215614.71</v>
      </c>
      <c r="M65" s="167">
        <f t="shared" si="11"/>
        <v>1215614.71</v>
      </c>
      <c r="N65" s="7">
        <f t="shared" si="12"/>
        <v>121561.47100000001</v>
      </c>
      <c r="O65" s="174">
        <f t="shared" si="13"/>
        <v>1094053.2390000001</v>
      </c>
      <c r="P65" s="166">
        <v>44957</v>
      </c>
    </row>
    <row r="66" spans="2:16" ht="14.4" x14ac:dyDescent="0.3">
      <c r="B66" s="249">
        <v>60</v>
      </c>
      <c r="C66" s="153" t="s">
        <v>5436</v>
      </c>
      <c r="D66" s="153" t="s">
        <v>5294</v>
      </c>
      <c r="E66" s="153" t="s">
        <v>5295</v>
      </c>
      <c r="F66" s="154" t="s">
        <v>5275</v>
      </c>
      <c r="G66" s="158">
        <v>44927</v>
      </c>
      <c r="H66" s="158">
        <v>44957</v>
      </c>
      <c r="I66" s="156">
        <v>1</v>
      </c>
      <c r="J66" s="156">
        <v>1</v>
      </c>
      <c r="K66" s="156">
        <v>32</v>
      </c>
      <c r="L66" s="167">
        <v>1215614.71</v>
      </c>
      <c r="M66" s="167">
        <f t="shared" si="11"/>
        <v>1215614.71</v>
      </c>
      <c r="N66" s="7">
        <f t="shared" si="12"/>
        <v>121561.47100000001</v>
      </c>
      <c r="O66" s="174">
        <f t="shared" si="13"/>
        <v>1094053.2390000001</v>
      </c>
      <c r="P66" s="166">
        <v>44957</v>
      </c>
    </row>
    <row r="67" spans="2:16" ht="14.4" x14ac:dyDescent="0.3">
      <c r="B67" s="248">
        <v>61</v>
      </c>
      <c r="C67" s="153" t="s">
        <v>5437</v>
      </c>
      <c r="D67" s="153" t="s">
        <v>5296</v>
      </c>
      <c r="E67" s="153" t="s">
        <v>5297</v>
      </c>
      <c r="F67" s="154" t="s">
        <v>5275</v>
      </c>
      <c r="G67" s="158">
        <v>44927</v>
      </c>
      <c r="H67" s="158">
        <v>44957</v>
      </c>
      <c r="I67" s="156">
        <v>1</v>
      </c>
      <c r="J67" s="156">
        <v>1</v>
      </c>
      <c r="K67" s="156">
        <v>32</v>
      </c>
      <c r="L67" s="167">
        <v>1215614.71</v>
      </c>
      <c r="M67" s="167">
        <f t="shared" si="11"/>
        <v>1215614.71</v>
      </c>
      <c r="N67" s="7">
        <f t="shared" si="12"/>
        <v>121561.47100000001</v>
      </c>
      <c r="O67" s="174">
        <f t="shared" si="13"/>
        <v>1094053.2390000001</v>
      </c>
      <c r="P67" s="166">
        <v>44957</v>
      </c>
    </row>
    <row r="68" spans="2:16" ht="14.4" x14ac:dyDescent="0.3">
      <c r="B68" s="249">
        <v>62</v>
      </c>
      <c r="C68" s="153" t="s">
        <v>5438</v>
      </c>
      <c r="D68" s="153" t="s">
        <v>5298</v>
      </c>
      <c r="E68" s="153" t="s">
        <v>5299</v>
      </c>
      <c r="F68" s="154" t="s">
        <v>5275</v>
      </c>
      <c r="G68" s="158">
        <v>44927</v>
      </c>
      <c r="H68" s="158">
        <v>44957</v>
      </c>
      <c r="I68" s="156">
        <v>1</v>
      </c>
      <c r="J68" s="156">
        <v>1</v>
      </c>
      <c r="K68" s="156">
        <v>32</v>
      </c>
      <c r="L68" s="167">
        <v>1215614.71</v>
      </c>
      <c r="M68" s="167">
        <f t="shared" si="11"/>
        <v>1215614.71</v>
      </c>
      <c r="N68" s="7">
        <f t="shared" si="12"/>
        <v>121561.47100000001</v>
      </c>
      <c r="O68" s="174">
        <f t="shared" si="13"/>
        <v>1094053.2390000001</v>
      </c>
      <c r="P68" s="166">
        <v>44957</v>
      </c>
    </row>
    <row r="69" spans="2:16" ht="14.4" x14ac:dyDescent="0.3">
      <c r="B69" s="248">
        <v>63</v>
      </c>
      <c r="C69" s="153" t="s">
        <v>5439</v>
      </c>
      <c r="D69" s="153" t="s">
        <v>5300</v>
      </c>
      <c r="E69" s="153" t="s">
        <v>5301</v>
      </c>
      <c r="F69" s="154" t="s">
        <v>5275</v>
      </c>
      <c r="G69" s="158">
        <v>44927</v>
      </c>
      <c r="H69" s="158">
        <v>44957</v>
      </c>
      <c r="I69" s="156">
        <v>1</v>
      </c>
      <c r="J69" s="156">
        <v>1</v>
      </c>
      <c r="K69" s="156">
        <v>42</v>
      </c>
      <c r="L69" s="167">
        <v>1435883.79</v>
      </c>
      <c r="M69" s="167">
        <f t="shared" si="11"/>
        <v>1435883.79</v>
      </c>
      <c r="N69" s="7">
        <f t="shared" si="12"/>
        <v>143588.37900000002</v>
      </c>
      <c r="O69" s="174">
        <f t="shared" si="13"/>
        <v>1292295.4110000001</v>
      </c>
      <c r="P69" s="166">
        <v>44957</v>
      </c>
    </row>
    <row r="70" spans="2:16" ht="14.4" x14ac:dyDescent="0.3">
      <c r="B70" s="249">
        <v>64</v>
      </c>
      <c r="C70" s="153" t="s">
        <v>5440</v>
      </c>
      <c r="D70" s="153" t="s">
        <v>5303</v>
      </c>
      <c r="E70" s="153" t="s">
        <v>5304</v>
      </c>
      <c r="F70" s="154" t="s">
        <v>5275</v>
      </c>
      <c r="G70" s="158">
        <v>44927</v>
      </c>
      <c r="H70" s="158">
        <v>44957</v>
      </c>
      <c r="I70" s="156">
        <v>1</v>
      </c>
      <c r="J70" s="156">
        <v>1</v>
      </c>
      <c r="K70" s="156">
        <v>60</v>
      </c>
      <c r="L70" s="167">
        <v>1744861.93</v>
      </c>
      <c r="M70" s="167">
        <f t="shared" si="11"/>
        <v>1744861.93</v>
      </c>
      <c r="N70" s="7">
        <f t="shared" si="12"/>
        <v>174486.193</v>
      </c>
      <c r="O70" s="174">
        <f t="shared" si="13"/>
        <v>1570375.737</v>
      </c>
      <c r="P70" s="166">
        <v>44957</v>
      </c>
    </row>
    <row r="71" spans="2:16" ht="14.4" x14ac:dyDescent="0.3">
      <c r="B71" s="248">
        <v>65</v>
      </c>
      <c r="C71" s="153" t="s">
        <v>5441</v>
      </c>
      <c r="D71" s="153" t="s">
        <v>5278</v>
      </c>
      <c r="E71" s="153" t="s">
        <v>5279</v>
      </c>
      <c r="F71" s="154" t="s">
        <v>5275</v>
      </c>
      <c r="G71" s="158">
        <v>44958</v>
      </c>
      <c r="H71" s="158">
        <v>44985</v>
      </c>
      <c r="I71" s="156">
        <v>1</v>
      </c>
      <c r="J71" s="156">
        <v>1</v>
      </c>
      <c r="K71" s="156">
        <v>32</v>
      </c>
      <c r="L71" s="167">
        <v>1215614.71</v>
      </c>
      <c r="M71" s="167">
        <f t="shared" si="11"/>
        <v>1215614.71</v>
      </c>
      <c r="N71" s="7">
        <f t="shared" si="12"/>
        <v>121561.47100000001</v>
      </c>
      <c r="O71" s="174">
        <f t="shared" si="13"/>
        <v>1094053.2390000001</v>
      </c>
      <c r="P71" s="166">
        <v>44985</v>
      </c>
    </row>
    <row r="72" spans="2:16" ht="14.4" x14ac:dyDescent="0.3">
      <c r="B72" s="249">
        <v>66</v>
      </c>
      <c r="C72" s="153" t="s">
        <v>5442</v>
      </c>
      <c r="D72" s="153" t="s">
        <v>5280</v>
      </c>
      <c r="E72" s="153" t="s">
        <v>5281</v>
      </c>
      <c r="F72" s="154" t="s">
        <v>5275</v>
      </c>
      <c r="G72" s="158">
        <v>44958</v>
      </c>
      <c r="H72" s="158">
        <v>44985</v>
      </c>
      <c r="I72" s="156">
        <v>1</v>
      </c>
      <c r="J72" s="156">
        <v>1</v>
      </c>
      <c r="K72" s="156">
        <v>32</v>
      </c>
      <c r="L72" s="167">
        <v>1215614.71</v>
      </c>
      <c r="M72" s="167">
        <f t="shared" si="11"/>
        <v>1215614.71</v>
      </c>
      <c r="N72" s="7">
        <f t="shared" si="12"/>
        <v>121561.47100000001</v>
      </c>
      <c r="O72" s="174">
        <f t="shared" si="13"/>
        <v>1094053.2390000001</v>
      </c>
      <c r="P72" s="166">
        <v>44985</v>
      </c>
    </row>
    <row r="73" spans="2:16" ht="14.4" x14ac:dyDescent="0.3">
      <c r="B73" s="248">
        <v>67</v>
      </c>
      <c r="C73" s="153" t="s">
        <v>5443</v>
      </c>
      <c r="D73" s="153" t="s">
        <v>5282</v>
      </c>
      <c r="E73" s="153" t="s">
        <v>5283</v>
      </c>
      <c r="F73" s="154" t="s">
        <v>5275</v>
      </c>
      <c r="G73" s="158">
        <v>44958</v>
      </c>
      <c r="H73" s="158">
        <v>44985</v>
      </c>
      <c r="I73" s="156">
        <v>1</v>
      </c>
      <c r="J73" s="156">
        <v>1</v>
      </c>
      <c r="K73" s="156">
        <v>32</v>
      </c>
      <c r="L73" s="167">
        <v>1215614.71</v>
      </c>
      <c r="M73" s="167">
        <f t="shared" si="11"/>
        <v>1215614.71</v>
      </c>
      <c r="N73" s="7">
        <f t="shared" si="12"/>
        <v>121561.47100000001</v>
      </c>
      <c r="O73" s="174">
        <f t="shared" si="13"/>
        <v>1094053.2390000001</v>
      </c>
      <c r="P73" s="166">
        <v>44985</v>
      </c>
    </row>
    <row r="74" spans="2:16" ht="14.4" x14ac:dyDescent="0.3">
      <c r="B74" s="249">
        <v>68</v>
      </c>
      <c r="C74" s="153" t="s">
        <v>5444</v>
      </c>
      <c r="D74" s="153" t="s">
        <v>5284</v>
      </c>
      <c r="E74" s="153" t="s">
        <v>5285</v>
      </c>
      <c r="F74" s="154" t="s">
        <v>5275</v>
      </c>
      <c r="G74" s="158">
        <v>44958</v>
      </c>
      <c r="H74" s="158">
        <v>44985</v>
      </c>
      <c r="I74" s="156">
        <v>1</v>
      </c>
      <c r="J74" s="156">
        <v>1</v>
      </c>
      <c r="K74" s="156">
        <v>32</v>
      </c>
      <c r="L74" s="167">
        <v>1215614.71</v>
      </c>
      <c r="M74" s="167">
        <f t="shared" si="11"/>
        <v>1215614.71</v>
      </c>
      <c r="N74" s="7">
        <f t="shared" si="12"/>
        <v>121561.47100000001</v>
      </c>
      <c r="O74" s="174">
        <f t="shared" si="13"/>
        <v>1094053.2390000001</v>
      </c>
      <c r="P74" s="166">
        <v>44985</v>
      </c>
    </row>
    <row r="75" spans="2:16" ht="14.4" x14ac:dyDescent="0.3">
      <c r="B75" s="248">
        <v>69</v>
      </c>
      <c r="C75" s="153" t="s">
        <v>5445</v>
      </c>
      <c r="D75" s="153" t="s">
        <v>5286</v>
      </c>
      <c r="E75" s="153" t="s">
        <v>5287</v>
      </c>
      <c r="F75" s="154" t="s">
        <v>5275</v>
      </c>
      <c r="G75" s="158">
        <v>44958</v>
      </c>
      <c r="H75" s="158">
        <v>44985</v>
      </c>
      <c r="I75" s="156">
        <v>1</v>
      </c>
      <c r="J75" s="156">
        <v>1</v>
      </c>
      <c r="K75" s="156">
        <v>32</v>
      </c>
      <c r="L75" s="167">
        <v>1215614.71</v>
      </c>
      <c r="M75" s="167">
        <f t="shared" si="11"/>
        <v>1215614.71</v>
      </c>
      <c r="N75" s="7">
        <f t="shared" si="12"/>
        <v>121561.47100000001</v>
      </c>
      <c r="O75" s="174">
        <f t="shared" si="13"/>
        <v>1094053.2390000001</v>
      </c>
      <c r="P75" s="166">
        <v>44985</v>
      </c>
    </row>
    <row r="76" spans="2:16" ht="14.4" x14ac:dyDescent="0.3">
      <c r="B76" s="249">
        <v>70</v>
      </c>
      <c r="C76" s="153" t="s">
        <v>5446</v>
      </c>
      <c r="D76" s="153" t="s">
        <v>5288</v>
      </c>
      <c r="E76" s="153" t="s">
        <v>5289</v>
      </c>
      <c r="F76" s="154" t="s">
        <v>5275</v>
      </c>
      <c r="G76" s="158">
        <v>44958</v>
      </c>
      <c r="H76" s="158">
        <v>44985</v>
      </c>
      <c r="I76" s="156">
        <v>1</v>
      </c>
      <c r="J76" s="156">
        <v>1</v>
      </c>
      <c r="K76" s="156">
        <v>32</v>
      </c>
      <c r="L76" s="167">
        <v>1215614.71</v>
      </c>
      <c r="M76" s="167">
        <f t="shared" si="11"/>
        <v>1215614.71</v>
      </c>
      <c r="N76" s="7">
        <f t="shared" si="12"/>
        <v>121561.47100000001</v>
      </c>
      <c r="O76" s="174">
        <f t="shared" si="13"/>
        <v>1094053.2390000001</v>
      </c>
      <c r="P76" s="166">
        <v>44985</v>
      </c>
    </row>
    <row r="77" spans="2:16" ht="14.4" x14ac:dyDescent="0.3">
      <c r="B77" s="248">
        <v>71</v>
      </c>
      <c r="C77" s="153" t="s">
        <v>5447</v>
      </c>
      <c r="D77" s="153" t="s">
        <v>5290</v>
      </c>
      <c r="E77" s="153" t="s">
        <v>5291</v>
      </c>
      <c r="F77" s="154" t="s">
        <v>5275</v>
      </c>
      <c r="G77" s="158">
        <v>44958</v>
      </c>
      <c r="H77" s="158">
        <v>44985</v>
      </c>
      <c r="I77" s="156">
        <v>1</v>
      </c>
      <c r="J77" s="156">
        <v>1</v>
      </c>
      <c r="K77" s="156">
        <v>32</v>
      </c>
      <c r="L77" s="167">
        <v>1215614.71</v>
      </c>
      <c r="M77" s="167">
        <f t="shared" si="11"/>
        <v>1215614.71</v>
      </c>
      <c r="N77" s="7">
        <f t="shared" si="12"/>
        <v>121561.47100000001</v>
      </c>
      <c r="O77" s="174">
        <f t="shared" si="13"/>
        <v>1094053.2390000001</v>
      </c>
      <c r="P77" s="166">
        <v>44985</v>
      </c>
    </row>
    <row r="78" spans="2:16" ht="14.4" x14ac:dyDescent="0.3">
      <c r="B78" s="249">
        <v>72</v>
      </c>
      <c r="C78" s="153" t="s">
        <v>5448</v>
      </c>
      <c r="D78" s="153" t="s">
        <v>5292</v>
      </c>
      <c r="E78" s="153" t="s">
        <v>5293</v>
      </c>
      <c r="F78" s="154" t="s">
        <v>5275</v>
      </c>
      <c r="G78" s="158">
        <v>44958</v>
      </c>
      <c r="H78" s="158">
        <v>44985</v>
      </c>
      <c r="I78" s="156">
        <v>1</v>
      </c>
      <c r="J78" s="156">
        <v>1</v>
      </c>
      <c r="K78" s="156">
        <v>32</v>
      </c>
      <c r="L78" s="167">
        <v>1215614.71</v>
      </c>
      <c r="M78" s="167">
        <f t="shared" si="11"/>
        <v>1215614.71</v>
      </c>
      <c r="N78" s="7">
        <f t="shared" si="12"/>
        <v>121561.47100000001</v>
      </c>
      <c r="O78" s="174">
        <f t="shared" si="13"/>
        <v>1094053.2390000001</v>
      </c>
      <c r="P78" s="166">
        <v>44985</v>
      </c>
    </row>
    <row r="79" spans="2:16" ht="14.4" x14ac:dyDescent="0.3">
      <c r="B79" s="248">
        <v>73</v>
      </c>
      <c r="C79" s="153" t="s">
        <v>5449</v>
      </c>
      <c r="D79" s="153" t="s">
        <v>5294</v>
      </c>
      <c r="E79" s="153" t="s">
        <v>5295</v>
      </c>
      <c r="F79" s="154" t="s">
        <v>5275</v>
      </c>
      <c r="G79" s="158">
        <v>44958</v>
      </c>
      <c r="H79" s="158">
        <v>44985</v>
      </c>
      <c r="I79" s="156">
        <v>1</v>
      </c>
      <c r="J79" s="156">
        <v>1</v>
      </c>
      <c r="K79" s="156">
        <v>32</v>
      </c>
      <c r="L79" s="167">
        <v>1215614.71</v>
      </c>
      <c r="M79" s="167">
        <f t="shared" si="11"/>
        <v>1215614.71</v>
      </c>
      <c r="N79" s="7">
        <f t="shared" si="12"/>
        <v>121561.47100000001</v>
      </c>
      <c r="O79" s="174">
        <f t="shared" si="13"/>
        <v>1094053.2390000001</v>
      </c>
      <c r="P79" s="166">
        <v>44985</v>
      </c>
    </row>
    <row r="80" spans="2:16" ht="14.4" x14ac:dyDescent="0.3">
      <c r="B80" s="249">
        <v>74</v>
      </c>
      <c r="C80" s="153" t="s">
        <v>5450</v>
      </c>
      <c r="D80" s="153" t="s">
        <v>5296</v>
      </c>
      <c r="E80" s="153" t="s">
        <v>5297</v>
      </c>
      <c r="F80" s="154" t="s">
        <v>5275</v>
      </c>
      <c r="G80" s="158">
        <v>44958</v>
      </c>
      <c r="H80" s="158">
        <v>44985</v>
      </c>
      <c r="I80" s="156">
        <v>1</v>
      </c>
      <c r="J80" s="156">
        <v>1</v>
      </c>
      <c r="K80" s="156">
        <v>32</v>
      </c>
      <c r="L80" s="167">
        <v>1215614.71</v>
      </c>
      <c r="M80" s="167">
        <f t="shared" si="11"/>
        <v>1215614.71</v>
      </c>
      <c r="N80" s="7">
        <f t="shared" si="12"/>
        <v>121561.47100000001</v>
      </c>
      <c r="O80" s="174">
        <f t="shared" si="13"/>
        <v>1094053.2390000001</v>
      </c>
      <c r="P80" s="166">
        <v>44985</v>
      </c>
    </row>
    <row r="81" spans="2:16" ht="14.4" x14ac:dyDescent="0.3">
      <c r="B81" s="248">
        <v>75</v>
      </c>
      <c r="C81" s="153" t="s">
        <v>5451</v>
      </c>
      <c r="D81" s="153" t="s">
        <v>5298</v>
      </c>
      <c r="E81" s="153" t="s">
        <v>5299</v>
      </c>
      <c r="F81" s="154" t="s">
        <v>5275</v>
      </c>
      <c r="G81" s="158">
        <v>44958</v>
      </c>
      <c r="H81" s="158">
        <v>44985</v>
      </c>
      <c r="I81" s="156">
        <v>1</v>
      </c>
      <c r="J81" s="156">
        <v>1</v>
      </c>
      <c r="K81" s="156">
        <v>32</v>
      </c>
      <c r="L81" s="167">
        <v>1215614.71</v>
      </c>
      <c r="M81" s="167">
        <f t="shared" si="11"/>
        <v>1215614.71</v>
      </c>
      <c r="N81" s="7">
        <f t="shared" si="12"/>
        <v>121561.47100000001</v>
      </c>
      <c r="O81" s="174">
        <f t="shared" si="13"/>
        <v>1094053.2390000001</v>
      </c>
      <c r="P81" s="166">
        <v>44985</v>
      </c>
    </row>
    <row r="82" spans="2:16" ht="14.4" x14ac:dyDescent="0.3">
      <c r="B82" s="249">
        <v>76</v>
      </c>
      <c r="C82" s="153" t="s">
        <v>5452</v>
      </c>
      <c r="D82" s="153" t="s">
        <v>5300</v>
      </c>
      <c r="E82" s="153" t="s">
        <v>5301</v>
      </c>
      <c r="F82" s="154" t="s">
        <v>5275</v>
      </c>
      <c r="G82" s="158">
        <v>44958</v>
      </c>
      <c r="H82" s="158">
        <v>44985</v>
      </c>
      <c r="I82" s="156">
        <v>1</v>
      </c>
      <c r="J82" s="156">
        <v>1</v>
      </c>
      <c r="K82" s="156">
        <v>42</v>
      </c>
      <c r="L82" s="167">
        <v>1435883.79</v>
      </c>
      <c r="M82" s="167">
        <f t="shared" si="11"/>
        <v>1435883.79</v>
      </c>
      <c r="N82" s="7">
        <f t="shared" si="12"/>
        <v>143588.37900000002</v>
      </c>
      <c r="O82" s="174">
        <f t="shared" si="13"/>
        <v>1292295.4110000001</v>
      </c>
      <c r="P82" s="166">
        <v>44985</v>
      </c>
    </row>
    <row r="83" spans="2:16" ht="14.4" x14ac:dyDescent="0.3">
      <c r="B83" s="248">
        <v>77</v>
      </c>
      <c r="C83" s="153" t="s">
        <v>5453</v>
      </c>
      <c r="D83" s="153" t="s">
        <v>5303</v>
      </c>
      <c r="E83" s="153" t="s">
        <v>5304</v>
      </c>
      <c r="F83" s="154" t="s">
        <v>5275</v>
      </c>
      <c r="G83" s="158">
        <v>44958</v>
      </c>
      <c r="H83" s="158">
        <v>44985</v>
      </c>
      <c r="I83" s="156">
        <v>1</v>
      </c>
      <c r="J83" s="156">
        <v>1</v>
      </c>
      <c r="K83" s="156">
        <v>60</v>
      </c>
      <c r="L83" s="167">
        <v>1744861.93</v>
      </c>
      <c r="M83" s="167">
        <f t="shared" si="11"/>
        <v>1744861.93</v>
      </c>
      <c r="N83" s="7">
        <f t="shared" si="12"/>
        <v>174486.193</v>
      </c>
      <c r="O83" s="174">
        <f t="shared" si="13"/>
        <v>1570375.737</v>
      </c>
      <c r="P83" s="157">
        <v>44985</v>
      </c>
    </row>
    <row r="84" spans="2:16" ht="14.4" x14ac:dyDescent="0.3">
      <c r="B84" s="249">
        <v>78</v>
      </c>
      <c r="C84" s="153" t="s">
        <v>5454</v>
      </c>
      <c r="D84" s="153" t="s">
        <v>5278</v>
      </c>
      <c r="E84" s="153" t="s">
        <v>5279</v>
      </c>
      <c r="F84" s="154" t="s">
        <v>5275</v>
      </c>
      <c r="G84" s="158">
        <v>44986</v>
      </c>
      <c r="H84" s="158">
        <v>45016</v>
      </c>
      <c r="I84" s="156">
        <v>1</v>
      </c>
      <c r="J84" s="156">
        <v>1</v>
      </c>
      <c r="K84" s="156">
        <v>32</v>
      </c>
      <c r="L84" s="167">
        <v>1215614.71</v>
      </c>
      <c r="M84" s="167">
        <f t="shared" ref="M84:M96" si="14">L84*J84</f>
        <v>1215614.71</v>
      </c>
      <c r="N84" s="7">
        <f t="shared" ref="N84:N96" si="15">M84*$N$5</f>
        <v>121561.47100000001</v>
      </c>
      <c r="O84" s="174">
        <f t="shared" ref="O84:O96" si="16">M84-N84</f>
        <v>1094053.2390000001</v>
      </c>
      <c r="P84" s="157">
        <v>45016</v>
      </c>
    </row>
    <row r="85" spans="2:16" ht="14.4" x14ac:dyDescent="0.3">
      <c r="B85" s="248">
        <v>79</v>
      </c>
      <c r="C85" s="153" t="s">
        <v>5455</v>
      </c>
      <c r="D85" s="153" t="s">
        <v>5280</v>
      </c>
      <c r="E85" s="153" t="s">
        <v>5281</v>
      </c>
      <c r="F85" s="154" t="s">
        <v>5275</v>
      </c>
      <c r="G85" s="158">
        <v>44986</v>
      </c>
      <c r="H85" s="158">
        <v>45016</v>
      </c>
      <c r="I85" s="156">
        <v>1</v>
      </c>
      <c r="J85" s="156">
        <v>1</v>
      </c>
      <c r="K85" s="156">
        <v>32</v>
      </c>
      <c r="L85" s="167">
        <v>1215614.71</v>
      </c>
      <c r="M85" s="167">
        <f t="shared" si="14"/>
        <v>1215614.71</v>
      </c>
      <c r="N85" s="7">
        <f t="shared" si="15"/>
        <v>121561.47100000001</v>
      </c>
      <c r="O85" s="174">
        <f t="shared" si="16"/>
        <v>1094053.2390000001</v>
      </c>
      <c r="P85" s="157">
        <v>45016</v>
      </c>
    </row>
    <row r="86" spans="2:16" ht="14.4" x14ac:dyDescent="0.3">
      <c r="B86" s="249">
        <v>80</v>
      </c>
      <c r="C86" s="153" t="s">
        <v>5456</v>
      </c>
      <c r="D86" s="153" t="s">
        <v>5282</v>
      </c>
      <c r="E86" s="153" t="s">
        <v>5283</v>
      </c>
      <c r="F86" s="154" t="s">
        <v>5275</v>
      </c>
      <c r="G86" s="158">
        <v>44986</v>
      </c>
      <c r="H86" s="158">
        <v>45016</v>
      </c>
      <c r="I86" s="156">
        <v>1</v>
      </c>
      <c r="J86" s="156">
        <v>1</v>
      </c>
      <c r="K86" s="156">
        <v>32</v>
      </c>
      <c r="L86" s="167">
        <v>1215614.71</v>
      </c>
      <c r="M86" s="167">
        <f t="shared" si="14"/>
        <v>1215614.71</v>
      </c>
      <c r="N86" s="7">
        <f t="shared" si="15"/>
        <v>121561.47100000001</v>
      </c>
      <c r="O86" s="174">
        <f t="shared" si="16"/>
        <v>1094053.2390000001</v>
      </c>
      <c r="P86" s="157">
        <v>45016</v>
      </c>
    </row>
    <row r="87" spans="2:16" ht="14.4" x14ac:dyDescent="0.3">
      <c r="B87" s="248">
        <v>81</v>
      </c>
      <c r="C87" s="153" t="s">
        <v>5457</v>
      </c>
      <c r="D87" s="153" t="s">
        <v>5284</v>
      </c>
      <c r="E87" s="153" t="s">
        <v>5285</v>
      </c>
      <c r="F87" s="154" t="s">
        <v>5275</v>
      </c>
      <c r="G87" s="158">
        <v>44986</v>
      </c>
      <c r="H87" s="158">
        <v>45016</v>
      </c>
      <c r="I87" s="156">
        <v>1</v>
      </c>
      <c r="J87" s="156">
        <v>1</v>
      </c>
      <c r="K87" s="156">
        <v>32</v>
      </c>
      <c r="L87" s="167">
        <v>1215614.71</v>
      </c>
      <c r="M87" s="167">
        <f t="shared" si="14"/>
        <v>1215614.71</v>
      </c>
      <c r="N87" s="7">
        <f t="shared" si="15"/>
        <v>121561.47100000001</v>
      </c>
      <c r="O87" s="174">
        <f t="shared" si="16"/>
        <v>1094053.2390000001</v>
      </c>
      <c r="P87" s="157">
        <v>45016</v>
      </c>
    </row>
    <row r="88" spans="2:16" ht="14.4" x14ac:dyDescent="0.3">
      <c r="B88" s="249">
        <v>82</v>
      </c>
      <c r="C88" s="153" t="s">
        <v>5458</v>
      </c>
      <c r="D88" s="153" t="s">
        <v>5286</v>
      </c>
      <c r="E88" s="153" t="s">
        <v>5287</v>
      </c>
      <c r="F88" s="154" t="s">
        <v>5275</v>
      </c>
      <c r="G88" s="158">
        <v>44986</v>
      </c>
      <c r="H88" s="158">
        <v>45016</v>
      </c>
      <c r="I88" s="156">
        <v>1</v>
      </c>
      <c r="J88" s="156">
        <v>1</v>
      </c>
      <c r="K88" s="156">
        <v>32</v>
      </c>
      <c r="L88" s="167">
        <v>1215614.71</v>
      </c>
      <c r="M88" s="167">
        <f t="shared" si="14"/>
        <v>1215614.71</v>
      </c>
      <c r="N88" s="7">
        <f t="shared" si="15"/>
        <v>121561.47100000001</v>
      </c>
      <c r="O88" s="174">
        <f t="shared" si="16"/>
        <v>1094053.2390000001</v>
      </c>
      <c r="P88" s="157">
        <v>45016</v>
      </c>
    </row>
    <row r="89" spans="2:16" ht="14.4" x14ac:dyDescent="0.3">
      <c r="B89" s="248">
        <v>83</v>
      </c>
      <c r="C89" s="153" t="s">
        <v>5459</v>
      </c>
      <c r="D89" s="153" t="s">
        <v>5288</v>
      </c>
      <c r="E89" s="153" t="s">
        <v>5289</v>
      </c>
      <c r="F89" s="154" t="s">
        <v>5275</v>
      </c>
      <c r="G89" s="158">
        <v>44986</v>
      </c>
      <c r="H89" s="158">
        <v>45016</v>
      </c>
      <c r="I89" s="156">
        <v>1</v>
      </c>
      <c r="J89" s="156">
        <v>1</v>
      </c>
      <c r="K89" s="156">
        <v>32</v>
      </c>
      <c r="L89" s="167">
        <v>1215614.71</v>
      </c>
      <c r="M89" s="167">
        <f t="shared" si="14"/>
        <v>1215614.71</v>
      </c>
      <c r="N89" s="7">
        <f t="shared" si="15"/>
        <v>121561.47100000001</v>
      </c>
      <c r="O89" s="174">
        <f t="shared" si="16"/>
        <v>1094053.2390000001</v>
      </c>
      <c r="P89" s="157">
        <v>45016</v>
      </c>
    </row>
    <row r="90" spans="2:16" ht="14.4" x14ac:dyDescent="0.3">
      <c r="B90" s="249">
        <v>84</v>
      </c>
      <c r="C90" s="153" t="s">
        <v>5460</v>
      </c>
      <c r="D90" s="153" t="s">
        <v>5290</v>
      </c>
      <c r="E90" s="153" t="s">
        <v>5291</v>
      </c>
      <c r="F90" s="154" t="s">
        <v>5275</v>
      </c>
      <c r="G90" s="158">
        <v>44986</v>
      </c>
      <c r="H90" s="158">
        <v>45016</v>
      </c>
      <c r="I90" s="156">
        <v>1</v>
      </c>
      <c r="J90" s="156">
        <v>1</v>
      </c>
      <c r="K90" s="156">
        <v>32</v>
      </c>
      <c r="L90" s="167">
        <v>1215614.71</v>
      </c>
      <c r="M90" s="167">
        <f t="shared" si="14"/>
        <v>1215614.71</v>
      </c>
      <c r="N90" s="7">
        <f t="shared" si="15"/>
        <v>121561.47100000001</v>
      </c>
      <c r="O90" s="174">
        <f t="shared" si="16"/>
        <v>1094053.2390000001</v>
      </c>
      <c r="P90" s="157">
        <v>45016</v>
      </c>
    </row>
    <row r="91" spans="2:16" ht="14.4" x14ac:dyDescent="0.3">
      <c r="B91" s="248">
        <v>85</v>
      </c>
      <c r="C91" s="153" t="s">
        <v>5461</v>
      </c>
      <c r="D91" s="153" t="s">
        <v>5292</v>
      </c>
      <c r="E91" s="153" t="s">
        <v>5293</v>
      </c>
      <c r="F91" s="154" t="s">
        <v>5275</v>
      </c>
      <c r="G91" s="158">
        <v>44986</v>
      </c>
      <c r="H91" s="158">
        <v>45016</v>
      </c>
      <c r="I91" s="156">
        <v>1</v>
      </c>
      <c r="J91" s="156">
        <v>1</v>
      </c>
      <c r="K91" s="156">
        <v>32</v>
      </c>
      <c r="L91" s="167">
        <v>1215614.71</v>
      </c>
      <c r="M91" s="167">
        <f t="shared" si="14"/>
        <v>1215614.71</v>
      </c>
      <c r="N91" s="7">
        <f t="shared" si="15"/>
        <v>121561.47100000001</v>
      </c>
      <c r="O91" s="174">
        <f t="shared" si="16"/>
        <v>1094053.2390000001</v>
      </c>
      <c r="P91" s="157">
        <v>45016</v>
      </c>
    </row>
    <row r="92" spans="2:16" ht="14.4" x14ac:dyDescent="0.3">
      <c r="B92" s="249">
        <v>86</v>
      </c>
      <c r="C92" s="153" t="s">
        <v>5462</v>
      </c>
      <c r="D92" s="153" t="s">
        <v>5294</v>
      </c>
      <c r="E92" s="153" t="s">
        <v>5295</v>
      </c>
      <c r="F92" s="154" t="s">
        <v>5275</v>
      </c>
      <c r="G92" s="158">
        <v>44986</v>
      </c>
      <c r="H92" s="158">
        <v>45016</v>
      </c>
      <c r="I92" s="156">
        <v>1</v>
      </c>
      <c r="J92" s="156">
        <v>1</v>
      </c>
      <c r="K92" s="156">
        <v>32</v>
      </c>
      <c r="L92" s="167">
        <v>1215614.71</v>
      </c>
      <c r="M92" s="167">
        <f t="shared" si="14"/>
        <v>1215614.71</v>
      </c>
      <c r="N92" s="7">
        <f t="shared" si="15"/>
        <v>121561.47100000001</v>
      </c>
      <c r="O92" s="174">
        <f t="shared" si="16"/>
        <v>1094053.2390000001</v>
      </c>
      <c r="P92" s="157">
        <v>45016</v>
      </c>
    </row>
    <row r="93" spans="2:16" ht="14.4" x14ac:dyDescent="0.3">
      <c r="B93" s="248">
        <v>87</v>
      </c>
      <c r="C93" s="153" t="s">
        <v>5463</v>
      </c>
      <c r="D93" s="153" t="s">
        <v>5296</v>
      </c>
      <c r="E93" s="153" t="s">
        <v>5297</v>
      </c>
      <c r="F93" s="154" t="s">
        <v>5275</v>
      </c>
      <c r="G93" s="158">
        <v>44986</v>
      </c>
      <c r="H93" s="158">
        <v>45016</v>
      </c>
      <c r="I93" s="156">
        <v>1</v>
      </c>
      <c r="J93" s="156">
        <v>1</v>
      </c>
      <c r="K93" s="156">
        <v>32</v>
      </c>
      <c r="L93" s="167">
        <v>1215614.71</v>
      </c>
      <c r="M93" s="167">
        <f t="shared" si="14"/>
        <v>1215614.71</v>
      </c>
      <c r="N93" s="7">
        <f t="shared" si="15"/>
        <v>121561.47100000001</v>
      </c>
      <c r="O93" s="174">
        <f t="shared" si="16"/>
        <v>1094053.2390000001</v>
      </c>
      <c r="P93" s="157">
        <v>45016</v>
      </c>
    </row>
    <row r="94" spans="2:16" ht="14.4" x14ac:dyDescent="0.3">
      <c r="B94" s="249">
        <v>88</v>
      </c>
      <c r="C94" s="153" t="s">
        <v>5464</v>
      </c>
      <c r="D94" s="153" t="s">
        <v>5298</v>
      </c>
      <c r="E94" s="153" t="s">
        <v>5299</v>
      </c>
      <c r="F94" s="154" t="s">
        <v>5275</v>
      </c>
      <c r="G94" s="158">
        <v>44986</v>
      </c>
      <c r="H94" s="158">
        <v>45016</v>
      </c>
      <c r="I94" s="156">
        <v>1</v>
      </c>
      <c r="J94" s="156">
        <v>1</v>
      </c>
      <c r="K94" s="156">
        <v>32</v>
      </c>
      <c r="L94" s="167">
        <v>1215614.71</v>
      </c>
      <c r="M94" s="167">
        <f t="shared" si="14"/>
        <v>1215614.71</v>
      </c>
      <c r="N94" s="7">
        <f t="shared" si="15"/>
        <v>121561.47100000001</v>
      </c>
      <c r="O94" s="174">
        <f t="shared" si="16"/>
        <v>1094053.2390000001</v>
      </c>
      <c r="P94" s="157">
        <v>45016</v>
      </c>
    </row>
    <row r="95" spans="2:16" ht="14.4" x14ac:dyDescent="0.3">
      <c r="B95" s="248">
        <v>89</v>
      </c>
      <c r="C95" s="153" t="s">
        <v>5465</v>
      </c>
      <c r="D95" s="153" t="s">
        <v>5300</v>
      </c>
      <c r="E95" s="153" t="s">
        <v>5301</v>
      </c>
      <c r="F95" s="154" t="s">
        <v>5275</v>
      </c>
      <c r="G95" s="158">
        <v>44986</v>
      </c>
      <c r="H95" s="158">
        <v>45016</v>
      </c>
      <c r="I95" s="156">
        <v>1</v>
      </c>
      <c r="J95" s="156">
        <v>1</v>
      </c>
      <c r="K95" s="156">
        <v>42</v>
      </c>
      <c r="L95" s="167">
        <v>1435883.79</v>
      </c>
      <c r="M95" s="167">
        <f t="shared" si="14"/>
        <v>1435883.79</v>
      </c>
      <c r="N95" s="7">
        <f t="shared" si="15"/>
        <v>143588.37900000002</v>
      </c>
      <c r="O95" s="174">
        <f t="shared" si="16"/>
        <v>1292295.4110000001</v>
      </c>
      <c r="P95" s="157">
        <v>45016</v>
      </c>
    </row>
    <row r="96" spans="2:16" ht="14.4" x14ac:dyDescent="0.3">
      <c r="B96" s="249">
        <v>90</v>
      </c>
      <c r="C96" s="153" t="s">
        <v>5466</v>
      </c>
      <c r="D96" s="153" t="s">
        <v>5303</v>
      </c>
      <c r="E96" s="153" t="s">
        <v>5304</v>
      </c>
      <c r="F96" s="154" t="s">
        <v>5275</v>
      </c>
      <c r="G96" s="158">
        <v>44986</v>
      </c>
      <c r="H96" s="158">
        <v>45016</v>
      </c>
      <c r="I96" s="156">
        <v>1</v>
      </c>
      <c r="J96" s="156">
        <v>1</v>
      </c>
      <c r="K96" s="156">
        <v>60</v>
      </c>
      <c r="L96" s="167">
        <v>1744861.93</v>
      </c>
      <c r="M96" s="167">
        <f t="shared" si="14"/>
        <v>1744861.93</v>
      </c>
      <c r="N96" s="7">
        <f t="shared" si="15"/>
        <v>174486.193</v>
      </c>
      <c r="O96" s="174">
        <f t="shared" si="16"/>
        <v>1570375.737</v>
      </c>
      <c r="P96" s="157">
        <v>45016</v>
      </c>
    </row>
  </sheetData>
  <protectedRanges>
    <protectedRange sqref="P6 B5:O6 C9:E20 B8:E8 B7:F7 J7:O7 I19:L19 J20:L20 I20:I31 N8:O20 J8:L18 F8:F96 M8:M96 B9:B96" name="EditRange"/>
    <protectedRange sqref="C21:E30 J31:K31 J21:L30 N21:O96 G45:H96" name="EditRange_1"/>
    <protectedRange sqref="G7:I18 G19:H44" name="EditRange_2"/>
  </protectedRanges>
  <autoFilter ref="B6:P96" xr:uid="{0676CA7D-D2E4-4A3C-9F14-BEAE5890F9DF}">
    <filterColumn colId="14">
      <filters>
        <dateGroupItem year="2023" dateTimeGrouping="year"/>
      </filters>
    </filterColumn>
  </autoFilter>
  <mergeCells count="1">
    <mergeCell ref="B5:C5"/>
  </mergeCells>
  <conditionalFormatting sqref="B6:C6">
    <cfRule type="duplicateValues" dxfId="3" priority="1"/>
  </conditionalFormatting>
  <conditionalFormatting sqref="D6:F6">
    <cfRule type="duplicateValues" dxfId="2" priority="2"/>
  </conditionalFormatting>
  <conditionalFormatting sqref="B6:F6">
    <cfRule type="duplicateValues" dxfId="1" priority="3"/>
  </conditionalFormatting>
  <conditionalFormatting sqref="B7 B9 B11 B13 B15 B17 B19 B21 B23 B25 B27 B29 B31 B33 B35 B37 B39 B41 B43 B45 B47 B49 B51 B53 B55 B57 B59 B61 B63 B65 B67 B69 B71 B73 B75 B77 B79 B81 B83 B85 B87 B89 B91 B93 B95">
    <cfRule type="duplicateValues" dxfId="0" priority="11663"/>
  </conditionalFormatting>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B6CBB-1A53-4505-B536-FCC283C06CD2}">
  <dimension ref="B2:L14"/>
  <sheetViews>
    <sheetView workbookViewId="0">
      <selection activeCell="L8" sqref="L8:L9"/>
    </sheetView>
  </sheetViews>
  <sheetFormatPr baseColWidth="10" defaultRowHeight="14.4" x14ac:dyDescent="0.3"/>
  <cols>
    <col min="3" max="3" width="18.33203125" customWidth="1"/>
    <col min="4" max="4" width="13.109375" customWidth="1"/>
    <col min="11" max="11" width="14.33203125" customWidth="1"/>
    <col min="12" max="12" width="17.33203125" customWidth="1"/>
  </cols>
  <sheetData>
    <row r="2" spans="2:12" ht="46.8" x14ac:dyDescent="0.3">
      <c r="B2" s="185" t="s">
        <v>5019</v>
      </c>
      <c r="C2" s="185" t="s">
        <v>5251</v>
      </c>
      <c r="D2" s="186" t="s">
        <v>5020</v>
      </c>
      <c r="E2" s="296" t="s">
        <v>5021</v>
      </c>
      <c r="F2" s="297"/>
      <c r="G2" s="297"/>
      <c r="H2" s="297"/>
      <c r="I2" s="298"/>
      <c r="J2" s="186" t="s">
        <v>5022</v>
      </c>
      <c r="K2" s="186" t="s">
        <v>5023</v>
      </c>
      <c r="L2" s="185" t="s">
        <v>5024</v>
      </c>
    </row>
    <row r="3" spans="2:12" ht="15.6" x14ac:dyDescent="0.3">
      <c r="B3" s="187"/>
      <c r="C3" s="187"/>
      <c r="D3" s="188"/>
      <c r="E3" s="299" t="s">
        <v>5362</v>
      </c>
      <c r="F3" s="300"/>
      <c r="G3" s="300"/>
      <c r="H3" s="300"/>
      <c r="I3" s="301"/>
      <c r="J3" s="189"/>
      <c r="K3" s="190"/>
      <c r="L3" s="191"/>
    </row>
    <row r="4" spans="2:12" ht="15.6" x14ac:dyDescent="0.3">
      <c r="B4" s="192"/>
      <c r="C4" s="187"/>
      <c r="D4" s="193"/>
      <c r="E4" s="194"/>
      <c r="F4" s="195"/>
      <c r="G4" s="195"/>
      <c r="H4" s="195"/>
      <c r="I4" s="196"/>
      <c r="J4" s="197"/>
      <c r="K4" s="198"/>
      <c r="L4" s="199"/>
    </row>
    <row r="5" spans="2:12" ht="15.6" x14ac:dyDescent="0.3">
      <c r="B5" s="192"/>
      <c r="C5" s="192"/>
      <c r="D5" s="187"/>
      <c r="E5" s="200"/>
      <c r="F5" s="201"/>
      <c r="G5" s="201"/>
      <c r="H5" s="202"/>
      <c r="I5" s="203"/>
      <c r="J5" s="204"/>
      <c r="K5" s="198"/>
      <c r="L5" s="199"/>
    </row>
    <row r="6" spans="2:12" ht="15.6" x14ac:dyDescent="0.3">
      <c r="B6" s="192"/>
      <c r="C6" s="192"/>
      <c r="D6" s="187"/>
      <c r="E6" s="200"/>
      <c r="F6" s="201"/>
      <c r="G6" s="201"/>
      <c r="H6" s="202"/>
      <c r="I6" s="203"/>
      <c r="J6" s="204"/>
      <c r="K6" s="198"/>
      <c r="L6" s="199"/>
    </row>
    <row r="7" spans="2:12" ht="15.6" x14ac:dyDescent="0.3">
      <c r="B7" s="192"/>
      <c r="C7" s="192"/>
      <c r="D7" s="187"/>
      <c r="E7" s="200"/>
      <c r="F7" s="201"/>
      <c r="G7" s="201"/>
      <c r="H7" s="202"/>
      <c r="I7" s="203"/>
      <c r="J7" s="204"/>
      <c r="K7" s="198"/>
      <c r="L7" s="199"/>
    </row>
    <row r="8" spans="2:12" ht="15.6" x14ac:dyDescent="0.3">
      <c r="B8" s="192">
        <v>1</v>
      </c>
      <c r="C8" s="192" t="s">
        <v>3770</v>
      </c>
      <c r="D8" s="187" t="s">
        <v>4270</v>
      </c>
      <c r="E8" s="200"/>
      <c r="F8" s="201"/>
      <c r="G8" s="205"/>
      <c r="H8" s="206">
        <v>44866</v>
      </c>
      <c r="I8" s="203">
        <v>44895</v>
      </c>
      <c r="J8" s="207">
        <v>-488651.55</v>
      </c>
      <c r="K8" s="208">
        <v>1</v>
      </c>
      <c r="L8" s="199">
        <f>J8*K8</f>
        <v>-488651.55</v>
      </c>
    </row>
    <row r="9" spans="2:12" ht="15.6" x14ac:dyDescent="0.3">
      <c r="B9" s="192">
        <v>2</v>
      </c>
      <c r="C9" s="192" t="s">
        <v>3770</v>
      </c>
      <c r="D9" s="187" t="s">
        <v>4270</v>
      </c>
      <c r="E9" s="200"/>
      <c r="F9" s="201"/>
      <c r="G9" s="205"/>
      <c r="H9" s="206">
        <v>44896</v>
      </c>
      <c r="I9" s="203">
        <v>44926</v>
      </c>
      <c r="J9" s="207">
        <v>-488651.55</v>
      </c>
      <c r="K9" s="223">
        <v>1</v>
      </c>
      <c r="L9" s="199">
        <f t="shared" ref="L9" si="0">J9*K9</f>
        <v>-488651.55</v>
      </c>
    </row>
    <row r="10" spans="2:12" ht="15.6" x14ac:dyDescent="0.3">
      <c r="B10" s="192"/>
      <c r="C10" s="192"/>
      <c r="D10" s="187"/>
      <c r="E10" s="200"/>
      <c r="F10" s="201"/>
      <c r="G10" s="205"/>
      <c r="H10" s="206"/>
      <c r="I10" s="203"/>
      <c r="J10" s="207"/>
      <c r="K10" s="223"/>
      <c r="L10" s="199"/>
    </row>
    <row r="11" spans="2:12" ht="15.6" x14ac:dyDescent="0.3">
      <c r="B11" s="192"/>
      <c r="C11" s="209"/>
      <c r="D11" s="210"/>
      <c r="E11" s="211"/>
      <c r="F11" s="212"/>
      <c r="G11" s="212"/>
      <c r="H11" s="213"/>
      <c r="I11" s="214"/>
      <c r="J11" s="215"/>
      <c r="K11" s="216"/>
      <c r="L11" s="199"/>
    </row>
    <row r="12" spans="2:12" x14ac:dyDescent="0.3">
      <c r="B12" s="217"/>
      <c r="C12" s="217"/>
      <c r="D12" s="218"/>
      <c r="E12" s="217"/>
      <c r="F12" s="217"/>
      <c r="G12" s="217"/>
      <c r="H12" s="219"/>
      <c r="I12" s="219"/>
      <c r="J12" s="219" t="s">
        <v>5025</v>
      </c>
      <c r="K12" s="217"/>
      <c r="L12" s="220">
        <f>SUM(L8:L10)</f>
        <v>-977303.1</v>
      </c>
    </row>
    <row r="13" spans="2:12" x14ac:dyDescent="0.3">
      <c r="B13" s="217"/>
      <c r="C13" s="218"/>
      <c r="D13" s="218"/>
      <c r="E13" s="217"/>
      <c r="F13" s="217"/>
      <c r="G13" s="217"/>
      <c r="H13" s="219"/>
      <c r="I13" s="219"/>
      <c r="J13" s="219" t="s">
        <v>5252</v>
      </c>
      <c r="K13" s="221" t="s">
        <v>5253</v>
      </c>
      <c r="L13" s="220">
        <f>IF(L12&lt;&gt;"",ROUND(L12*18%,0),"")</f>
        <v>-175915</v>
      </c>
    </row>
    <row r="14" spans="2:12" x14ac:dyDescent="0.3">
      <c r="B14" s="217"/>
      <c r="C14" s="218"/>
      <c r="D14" s="218"/>
      <c r="E14" s="217"/>
      <c r="F14" s="217"/>
      <c r="G14" s="217"/>
      <c r="H14" s="219"/>
      <c r="I14" s="219"/>
      <c r="J14" s="219" t="s">
        <v>5026</v>
      </c>
      <c r="K14" s="217"/>
      <c r="L14" s="222">
        <f>IF(L12&lt;&gt;"",SUM(L12:L13),"")</f>
        <v>-1153218.1000000001</v>
      </c>
    </row>
  </sheetData>
  <mergeCells count="2">
    <mergeCell ref="E2:I2"/>
    <mergeCell ref="E3:I3"/>
  </mergeCell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A289F-3905-45C9-90AE-0DED9DE7A072}">
  <dimension ref="C4:M18"/>
  <sheetViews>
    <sheetView workbookViewId="0">
      <selection activeCell="F22" sqref="F22"/>
    </sheetView>
  </sheetViews>
  <sheetFormatPr baseColWidth="10" defaultRowHeight="14.4" x14ac:dyDescent="0.3"/>
  <cols>
    <col min="4" max="4" width="20.6640625" customWidth="1"/>
    <col min="5" max="5" width="13.33203125" customWidth="1"/>
    <col min="11" max="11" width="15.5546875" customWidth="1"/>
    <col min="12" max="12" width="16.77734375" customWidth="1"/>
    <col min="13" max="13" width="16.44140625" customWidth="1"/>
  </cols>
  <sheetData>
    <row r="4" spans="3:13" ht="46.8" x14ac:dyDescent="0.3">
      <c r="C4" s="226" t="s">
        <v>5019</v>
      </c>
      <c r="D4" s="226" t="s">
        <v>5251</v>
      </c>
      <c r="E4" s="227" t="s">
        <v>5020</v>
      </c>
      <c r="F4" s="296" t="s">
        <v>5021</v>
      </c>
      <c r="G4" s="297"/>
      <c r="H4" s="297"/>
      <c r="I4" s="297"/>
      <c r="J4" s="298"/>
      <c r="K4" s="227" t="s">
        <v>5022</v>
      </c>
      <c r="L4" s="227" t="s">
        <v>5023</v>
      </c>
      <c r="M4" s="226" t="s">
        <v>5255</v>
      </c>
    </row>
    <row r="5" spans="3:13" ht="15.6" x14ac:dyDescent="0.3">
      <c r="C5" s="277"/>
      <c r="D5" s="229"/>
      <c r="E5" s="228"/>
      <c r="F5" s="302" t="s">
        <v>5254</v>
      </c>
      <c r="G5" s="303"/>
      <c r="H5" s="303"/>
      <c r="I5" s="303"/>
      <c r="J5" s="304"/>
      <c r="K5" s="229"/>
      <c r="L5" s="230"/>
      <c r="M5" s="231"/>
    </row>
    <row r="6" spans="3:13" ht="15.6" x14ac:dyDescent="0.3">
      <c r="C6" s="278"/>
      <c r="D6" s="189"/>
      <c r="E6" s="193"/>
      <c r="F6" s="194"/>
      <c r="G6" s="195"/>
      <c r="H6" s="195"/>
      <c r="I6" s="195"/>
      <c r="J6" s="196"/>
      <c r="K6" s="197"/>
      <c r="L6" s="198"/>
      <c r="M6" s="232"/>
    </row>
    <row r="7" spans="3:13" ht="15.6" x14ac:dyDescent="0.3">
      <c r="C7" s="278"/>
      <c r="D7" s="275"/>
      <c r="E7" s="187"/>
      <c r="F7" s="200"/>
      <c r="G7" s="201"/>
      <c r="H7" s="201"/>
      <c r="I7" s="202"/>
      <c r="J7" s="203"/>
      <c r="K7" s="204"/>
      <c r="L7" s="198"/>
      <c r="M7" s="232"/>
    </row>
    <row r="8" spans="3:13" ht="15.6" x14ac:dyDescent="0.3">
      <c r="C8" s="278"/>
      <c r="D8" s="275"/>
      <c r="E8" s="187"/>
      <c r="F8" s="200"/>
      <c r="G8" s="201"/>
      <c r="H8" s="201"/>
      <c r="I8" s="202"/>
      <c r="J8" s="203"/>
      <c r="K8" s="204"/>
      <c r="L8" s="198"/>
      <c r="M8" s="232"/>
    </row>
    <row r="9" spans="3:13" ht="15.6" x14ac:dyDescent="0.3">
      <c r="C9" s="278"/>
      <c r="D9" s="275"/>
      <c r="E9" s="187"/>
      <c r="F9" s="200"/>
      <c r="G9" s="201"/>
      <c r="H9" s="201"/>
      <c r="I9" s="202"/>
      <c r="J9" s="203"/>
      <c r="K9" s="204"/>
      <c r="L9" s="198"/>
      <c r="M9" s="232"/>
    </row>
    <row r="10" spans="3:13" ht="15.6" x14ac:dyDescent="0.3">
      <c r="C10" s="278">
        <v>1</v>
      </c>
      <c r="D10" s="275" t="s">
        <v>3843</v>
      </c>
      <c r="E10" s="187" t="s">
        <v>4344</v>
      </c>
      <c r="F10" s="200"/>
      <c r="G10" s="201"/>
      <c r="H10" s="205"/>
      <c r="I10" s="206">
        <v>44746</v>
      </c>
      <c r="J10" s="203">
        <v>44773</v>
      </c>
      <c r="K10" s="207">
        <v>314871</v>
      </c>
      <c r="L10" s="208">
        <v>0.9</v>
      </c>
      <c r="M10" s="232">
        <f>K10*L10</f>
        <v>283383.90000000002</v>
      </c>
    </row>
    <row r="11" spans="3:13" ht="15.6" x14ac:dyDescent="0.3">
      <c r="C11" s="278">
        <v>2</v>
      </c>
      <c r="D11" s="275" t="s">
        <v>3843</v>
      </c>
      <c r="E11" s="187" t="s">
        <v>4344</v>
      </c>
      <c r="F11" s="200"/>
      <c r="G11" s="201"/>
      <c r="H11" s="205"/>
      <c r="I11" s="206">
        <v>44774</v>
      </c>
      <c r="J11" s="203">
        <v>44804</v>
      </c>
      <c r="K11" s="207">
        <v>314871</v>
      </c>
      <c r="L11" s="223">
        <v>1</v>
      </c>
      <c r="M11" s="232">
        <f t="shared" ref="M11:M12" si="0">K11*L11</f>
        <v>314871</v>
      </c>
    </row>
    <row r="12" spans="3:13" ht="15.6" x14ac:dyDescent="0.3">
      <c r="C12" s="278">
        <v>3</v>
      </c>
      <c r="D12" s="276" t="s">
        <v>3843</v>
      </c>
      <c r="E12" s="233" t="s">
        <v>4344</v>
      </c>
      <c r="F12" s="234"/>
      <c r="G12" s="235"/>
      <c r="H12" s="236"/>
      <c r="I12" s="237">
        <v>44805</v>
      </c>
      <c r="J12" s="238">
        <v>44834</v>
      </c>
      <c r="K12" s="239">
        <v>314871</v>
      </c>
      <c r="L12" s="240">
        <v>1</v>
      </c>
      <c r="M12" s="241">
        <f t="shared" si="0"/>
        <v>314871</v>
      </c>
    </row>
    <row r="13" spans="3:13" ht="15.6" x14ac:dyDescent="0.3">
      <c r="C13" s="278">
        <v>4</v>
      </c>
      <c r="D13" s="276" t="s">
        <v>3843</v>
      </c>
      <c r="E13" s="233" t="s">
        <v>4344</v>
      </c>
      <c r="F13" s="234"/>
      <c r="G13" s="235"/>
      <c r="H13" s="236"/>
      <c r="I13" s="237">
        <v>44835</v>
      </c>
      <c r="J13" s="238">
        <v>44865</v>
      </c>
      <c r="K13" s="239">
        <v>314871</v>
      </c>
      <c r="L13" s="240">
        <v>1</v>
      </c>
      <c r="M13" s="241">
        <f t="shared" ref="M13:M15" si="1">K13*L13</f>
        <v>314871</v>
      </c>
    </row>
    <row r="14" spans="3:13" ht="15.6" x14ac:dyDescent="0.3">
      <c r="C14" s="278">
        <v>5</v>
      </c>
      <c r="D14" s="276" t="s">
        <v>3843</v>
      </c>
      <c r="E14" s="233" t="s">
        <v>4344</v>
      </c>
      <c r="F14" s="234"/>
      <c r="G14" s="235"/>
      <c r="H14" s="236"/>
      <c r="I14" s="237">
        <v>44866</v>
      </c>
      <c r="J14" s="238">
        <v>44895</v>
      </c>
      <c r="K14" s="239">
        <v>314871</v>
      </c>
      <c r="L14" s="240">
        <v>1</v>
      </c>
      <c r="M14" s="241">
        <f t="shared" si="1"/>
        <v>314871</v>
      </c>
    </row>
    <row r="15" spans="3:13" ht="15.6" x14ac:dyDescent="0.3">
      <c r="C15" s="278">
        <v>6</v>
      </c>
      <c r="D15" s="276" t="s">
        <v>3843</v>
      </c>
      <c r="E15" s="233" t="s">
        <v>4344</v>
      </c>
      <c r="F15" s="234"/>
      <c r="G15" s="235"/>
      <c r="H15" s="236"/>
      <c r="I15" s="237">
        <v>44896</v>
      </c>
      <c r="J15" s="238">
        <v>44926</v>
      </c>
      <c r="K15" s="239">
        <v>314871</v>
      </c>
      <c r="L15" s="240">
        <v>1</v>
      </c>
      <c r="M15" s="241">
        <f t="shared" si="1"/>
        <v>314871</v>
      </c>
    </row>
    <row r="16" spans="3:13" ht="15.6" x14ac:dyDescent="0.3">
      <c r="C16" s="278">
        <v>7</v>
      </c>
      <c r="D16" s="276" t="s">
        <v>3843</v>
      </c>
      <c r="E16" s="233" t="s">
        <v>4344</v>
      </c>
      <c r="F16" s="234"/>
      <c r="G16" s="235"/>
      <c r="H16" s="236"/>
      <c r="I16" s="237">
        <v>44927</v>
      </c>
      <c r="J16" s="238">
        <v>44957</v>
      </c>
      <c r="K16" s="239">
        <v>314871</v>
      </c>
      <c r="L16" s="240">
        <v>1</v>
      </c>
      <c r="M16" s="241">
        <f t="shared" ref="M16" si="2">K16*L16</f>
        <v>314871</v>
      </c>
    </row>
    <row r="17" spans="3:13" ht="15.6" x14ac:dyDescent="0.3">
      <c r="C17" s="278">
        <v>8</v>
      </c>
      <c r="D17" s="276" t="s">
        <v>3843</v>
      </c>
      <c r="E17" s="233" t="s">
        <v>4344</v>
      </c>
      <c r="F17" s="234"/>
      <c r="G17" s="235"/>
      <c r="H17" s="236"/>
      <c r="I17" s="237">
        <v>44958</v>
      </c>
      <c r="J17" s="238">
        <v>44985</v>
      </c>
      <c r="K17" s="239">
        <v>314871</v>
      </c>
      <c r="L17" s="240">
        <v>1</v>
      </c>
      <c r="M17" s="241">
        <f t="shared" ref="M17:M18" si="3">K17*L17</f>
        <v>314871</v>
      </c>
    </row>
    <row r="18" spans="3:13" ht="15.6" x14ac:dyDescent="0.3">
      <c r="C18" s="279">
        <v>9</v>
      </c>
      <c r="D18" s="276" t="s">
        <v>3843</v>
      </c>
      <c r="E18" s="233" t="s">
        <v>4344</v>
      </c>
      <c r="F18" s="234"/>
      <c r="G18" s="235"/>
      <c r="H18" s="236"/>
      <c r="I18" s="237">
        <v>44986</v>
      </c>
      <c r="J18" s="238">
        <v>45016</v>
      </c>
      <c r="K18" s="239">
        <v>314871</v>
      </c>
      <c r="L18" s="240">
        <v>1</v>
      </c>
      <c r="M18" s="241">
        <f t="shared" si="3"/>
        <v>314871</v>
      </c>
    </row>
  </sheetData>
  <mergeCells count="2">
    <mergeCell ref="F4:J4"/>
    <mergeCell ref="F5:J5"/>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6D83E2DB6AE94AA296C72920FE21E7" ma:contentTypeVersion="11" ma:contentTypeDescription="Create a new document." ma:contentTypeScope="" ma:versionID="ebaaec29553a610113ae3f01b4f0ab9c">
  <xsd:schema xmlns:xsd="http://www.w3.org/2001/XMLSchema" xmlns:xs="http://www.w3.org/2001/XMLSchema" xmlns:p="http://schemas.microsoft.com/office/2006/metadata/properties" xmlns:ns3="c9114985-c2ce-4607-8e80-8d48c3425065" xmlns:ns4="2272b81a-e5ff-49d0-bdac-f1bf4360aa1a" targetNamespace="http://schemas.microsoft.com/office/2006/metadata/properties" ma:root="true" ma:fieldsID="ea82ef70352e151f696699ddc008480d" ns3:_="" ns4:_="">
    <xsd:import namespace="c9114985-c2ce-4607-8e80-8d48c3425065"/>
    <xsd:import namespace="2272b81a-e5ff-49d0-bdac-f1bf4360aa1a"/>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OCR" minOccurs="0"/>
                <xsd:element ref="ns3:MediaServiceLocation"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114985-c2ce-4607-8e80-8d48c34250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72b81a-e5ff-49d0-bdac-f1bf4360aa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4E1312C-B72E-488E-812C-FFB17D03B244}">
  <ds:schemaRefs>
    <ds:schemaRef ds:uri="http://schemas.microsoft.com/sharepoint/v3/contenttype/forms"/>
  </ds:schemaRefs>
</ds:datastoreItem>
</file>

<file path=customXml/itemProps2.xml><?xml version="1.0" encoding="utf-8"?>
<ds:datastoreItem xmlns:ds="http://schemas.openxmlformats.org/officeDocument/2006/customXml" ds:itemID="{0CA0AC19-A8A0-4954-AF13-D259A14415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114985-c2ce-4607-8e80-8d48c3425065"/>
    <ds:schemaRef ds:uri="2272b81a-e5ff-49d0-bdac-f1bf4360a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F4FE91-EEF6-456F-9FCF-711DF6D0FEE2}">
  <ds:schemaRefs>
    <ds:schemaRef ds:uri="http://schemas.microsoft.com/office/2006/documentManagement/types"/>
    <ds:schemaRef ds:uri="2272b81a-e5ff-49d0-bdac-f1bf4360aa1a"/>
    <ds:schemaRef ds:uri="http://purl.org/dc/elements/1.1/"/>
    <ds:schemaRef ds:uri="http://schemas.microsoft.com/office/2006/metadata/properties"/>
    <ds:schemaRef ds:uri="c9114985-c2ce-4607-8e80-8d48c3425065"/>
    <ds:schemaRef ds:uri="http://purl.org/dc/terms/"/>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16</vt:i4>
      </vt:variant>
    </vt:vector>
  </HeadingPairs>
  <TitlesOfParts>
    <vt:vector size="16" baseType="lpstr">
      <vt:lpstr>PRICING </vt:lpstr>
      <vt:lpstr>SUMMARY ORANGE Q1-2023 INVOICES</vt:lpstr>
      <vt:lpstr>OCI-MLL 1108 SIT Q1 -2023</vt:lpstr>
      <vt:lpstr>OCI-MLL BPCI 22  SIT Q1- 2023</vt:lpstr>
      <vt:lpstr>OCI-MLL BPCI 18  SIT Q1 - 2023</vt:lpstr>
      <vt:lpstr>OCI-COLOC 399 SIT Q1 - 2023</vt:lpstr>
      <vt:lpstr>OCI-PREST 193 ATHENA 1 Q1- 2023</vt:lpstr>
      <vt:lpstr>OCI-ATHENA 2-125 SIT Q1- 2023</vt:lpstr>
      <vt:lpstr>OCI-BTS 150 SIT Q1 - 2023</vt:lpstr>
      <vt:lpstr>OCI-65 SIT  BARTER Q1 - 2023</vt:lpstr>
      <vt:lpstr>OCI-33 SITES TIERS JANVIER  23</vt:lpstr>
      <vt:lpstr>AVOIR 18 SIT LOYER BARTER Q1-23</vt:lpstr>
      <vt:lpstr>PROV 18 Sites Coloc Nawa  22-23</vt:lpstr>
      <vt:lpstr>PROV 13 SITES BTS Nawa 22-23</vt:lpstr>
      <vt:lpstr>AVOIR TERRAFRIC décom 01 NOV 22</vt:lpstr>
      <vt:lpstr>PROV ORANGE -PRESTAT° ONE RADIO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Habib Diouf</dc:creator>
  <cp:lastModifiedBy>Dramane Kone</cp:lastModifiedBy>
  <dcterms:created xsi:type="dcterms:W3CDTF">2019-12-08T17:01:29Z</dcterms:created>
  <dcterms:modified xsi:type="dcterms:W3CDTF">2022-12-29T12:27:34Z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0x010100616D83E2DB6AE94AA296C72920FE21E7</vt:lpwstr>
  </property>
  <property fmtid="{D5CDD505-2E9C-101B-9397-08002B2CF9AE}" pid="3" name="MSIP_Label_e54bec0a-695e-42ba-9a19-49db84e3a711_Enabled">
    <vt:lpwstr>true</vt:lpwstr>
  </property>
  <property fmtid="{D5CDD505-2E9C-101B-9397-08002B2CF9AE}" pid="4" name="MSIP_Label_e54bec0a-695e-42ba-9a19-49db84e3a711_SetDate">
    <vt:lpwstr>2021-03-18T17:34:25Z</vt:lpwstr>
  </property>
  <property fmtid="{D5CDD505-2E9C-101B-9397-08002B2CF9AE}" pid="5" name="MSIP_Label_e54bec0a-695e-42ba-9a19-49db84e3a711_Method">
    <vt:lpwstr>Privileged</vt:lpwstr>
  </property>
  <property fmtid="{D5CDD505-2E9C-101B-9397-08002B2CF9AE}" pid="6" name="MSIP_Label_e54bec0a-695e-42ba-9a19-49db84e3a711_Name">
    <vt:lpwstr>Internal</vt:lpwstr>
  </property>
  <property fmtid="{D5CDD505-2E9C-101B-9397-08002B2CF9AE}" pid="7" name="MSIP_Label_e54bec0a-695e-42ba-9a19-49db84e3a711_SiteId">
    <vt:lpwstr>5dadcdcb-ea32-47fe-84b2-0f6cc63c2e0f</vt:lpwstr>
  </property>
  <property fmtid="{D5CDD505-2E9C-101B-9397-08002B2CF9AE}" pid="8" name="MSIP_Label_e54bec0a-695e-42ba-9a19-49db84e3a711_ActionId">
    <vt:lpwstr>c4fdf59a-9ff4-435f-b716-5bd620a42855</vt:lpwstr>
  </property>
  <property fmtid="{D5CDD505-2E9C-101B-9397-08002B2CF9AE}" pid="9" name="MSIP_Label_e54bec0a-695e-42ba-9a19-49db84e3a711_ContentBits">
    <vt:lpwstr>0</vt:lpwstr>
  </property>
</Properties>
</file>